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ml.chartshapes+xml"/>
  <Override PartName="/xl/drawings/drawing11.xml" ContentType="application/vnd.openxmlformats-officedocument.drawingml.chartshapes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3.xml" ContentType="application/vnd.openxmlformats-officedocument.drawingml.chartshapes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drawings/drawing7.xml" ContentType="application/vnd.openxmlformats-officedocument.drawingml.chartshapes+xml"/>
  <Override PartName="/xl/drawings/drawing12.xml" ContentType="application/vnd.openxmlformats-officedocument.drawing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s" sheetId="1" state="visible" r:id="rId3"/>
    <sheet name="S-Toll (All-Tax)" sheetId="2" state="visible" r:id="rId4"/>
    <sheet name="S-Toll(All-Toll)" sheetId="3" state="visible" r:id="rId5"/>
    <sheet name="S-Wcompare" sheetId="4" state="visible" r:id="rId6"/>
    <sheet name="W-React-JS=10" sheetId="5" state="visible" r:id="rId7"/>
    <sheet name="W-React-JS=1" sheetId="6" state="visible" r:id="rId8"/>
    <sheet name="P-React-JS=10" sheetId="7" state="visible" r:id="rId9"/>
    <sheet name="P-React-JS=1" sheetId="8" state="visible" r:id="rId10"/>
    <sheet name="Toll-Compare" sheetId="9" state="visible" r:id="rId11"/>
    <sheet name="W-UNIQUE-JS=1" sheetId="10" state="visible" r:id="rId12"/>
    <sheet name="Module1" sheetId="11" state="hidden" r:id="rId13"/>
  </sheets>
  <definedNames>
    <definedName function="false" hidden="false" name="a" vbProcedure="false">'S-Toll (All-Tax)'!$D$2:$D$16384</definedName>
    <definedName function="false" hidden="false" name="alpha" vbProcedure="false">Defaults!$B$9</definedName>
    <definedName function="false" hidden="false" name="b" vbProcedure="false">'S-Toll (All-Tax)'!$E$2:$E$16384</definedName>
    <definedName function="false" hidden="false" name="BCCIJ" vbProcedure="false">'S-Toll (All-Tax)'!$J$2:$J$16384</definedName>
    <definedName function="false" hidden="false" name="BCCJJ" vbProcedure="false">'S-Toll (All-Tax)'!$K$2:$K$16384</definedName>
    <definedName function="false" hidden="false" name="BCk" vbProcedure="false">'S-Toll (All-Tax)'!$L$2:$L$16384</definedName>
    <definedName function="false" hidden="false" name="BCPTII" vbProcedure="false">'S-Toll (All-Tax)'!$P$2:$P$16384</definedName>
    <definedName function="false" hidden="false" name="BCPTIJ" vbProcedure="false">'S-Toll (All-Tax)'!$O$2:$O$16384</definedName>
    <definedName function="false" hidden="false" name="BCPTJJ" vbProcedure="false">'S-Toll (All-Tax)'!$N$2:$N$16384</definedName>
    <definedName function="false" hidden="false" name="BCS" vbProcedure="false">'S-Toll (All-Tax)'!$M$2:$M$16384</definedName>
    <definedName function="false" hidden="false" name="Beta" vbProcedure="false">Defaults!$B$5</definedName>
    <definedName function="false" hidden="false" name="BRIJ" vbProcedure="false">'S-Toll (All-Tax)'!$Q$2:$Q$16384</definedName>
    <definedName function="false" hidden="false" name="BRJJ" vbProcedure="false">'S-Toll (All-Tax)'!$R$2:$R$16384</definedName>
    <definedName function="false" hidden="false" name="BUTII" vbProcedure="false">'S-Toll (All-Tax)'!$I$2:$I$16384</definedName>
    <definedName function="false" hidden="false" name="BUTIJ" vbProcedure="false">'S-Toll (All-Tax)'!$H$2:$H$16384</definedName>
    <definedName function="false" hidden="false" name="Capita" vbProcedure="false">#REF!</definedName>
    <definedName function="false" hidden="false" name="Cost" vbProcedure="false">'S-Toll (All-Tax)'!$X$2:$X$16384</definedName>
    <definedName function="false" hidden="false" name="Gamma" vbProcedure="false">Defaults!$B$7</definedName>
    <definedName function="false" hidden="false" name="ij" vbProcedure="false">'S-Toll (All-Tax)'!$F$2:$F$16384</definedName>
    <definedName function="false" hidden="false" name="jj" vbProcedure="false">'S-Toll (All-Tax)'!$G$2:$G$16384</definedName>
    <definedName function="false" hidden="false" name="kappa" vbProcedure="false">Defaults!$B$12</definedName>
    <definedName function="false" hidden="false" name="OldTau" vbProcedure="false">#REF!</definedName>
    <definedName function="false" hidden="false" name="Phi" vbProcedure="false">Defaults!$B$8</definedName>
    <definedName function="false" hidden="false" name="Profit" vbProcedure="false">'S-Toll (All-Tax)'!$V$2:$V$16384</definedName>
    <definedName function="false" hidden="false" name="psi" vbProcedure="false">Defaults!$B$10</definedName>
    <definedName function="false" hidden="false" name="Revenue" vbProcedure="false">#REF!</definedName>
    <definedName function="false" hidden="false" name="size" vbProcedure="false">#REF!</definedName>
    <definedName function="false" hidden="false" name="Size2" vbProcedure="false">#REF!</definedName>
    <definedName function="false" hidden="false" name="tau" vbProcedure="false">#REF!</definedName>
    <definedName function="false" hidden="false" name="Theta" vbProcedure="false">Defaults!$B$6</definedName>
    <definedName function="false" hidden="false" name="Toll" vbProcedure="false">'S-Toll(All-Toll)'!$S$2:$S$16384</definedName>
    <definedName function="false" hidden="false" name="Utility" vbProcedure="false">#REF!</definedName>
    <definedName function="false" hidden="false" name="U_Capita" vbProcedure="false">#REF!</definedName>
    <definedName function="false" hidden="false" name="v" vbProcedure="false">Defaults!$B$2</definedName>
    <definedName function="false" hidden="false" name="w" vbProcedure="false">Defaults!$B$3</definedName>
    <definedName function="false" hidden="false" name="Welfare" vbProcedure="false">#REF!</definedName>
    <definedName function="false" hidden="false" name="W_Capita" vbProcedure="false">#REF!</definedName>
    <definedName function="false" hidden="false" name="y" vbProcedure="false">Defaults!$B$4</definedName>
    <definedName function="false" hidden="false" name="zeta" vbProcedure="false">Defaults!$B$11</definedName>
    <definedName function="false" hidden="false" localSheetId="0" name="solver_adj" vbProcedure="false">#REF!</definedName>
    <definedName function="false" hidden="false" localSheetId="0" name="solver_lin" vbProcedure="false">0</definedName>
    <definedName function="false" hidden="false" localSheetId="0" name="solver_num" vbProcedure="false">0</definedName>
    <definedName function="false" hidden="false" localSheetId="0" name="solver_opt" vbProcedure="false">#REF!</definedName>
    <definedName function="false" hidden="false" localSheetId="0" name="solver_typ" vbProcedure="false">1</definedName>
    <definedName function="false" hidden="false" localSheetId="0" name="solver_val" vbProcedure="false">0</definedName>
    <definedName function="false" hidden="false" localSheetId="1" name="a" vbProcedure="false">'S-Toll (All-Tax)'!$D$2:$D$16384</definedName>
    <definedName function="false" hidden="false" localSheetId="1" name="b" vbProcedure="false">'S-Toll (All-Tax)'!$E$2:$E$16384</definedName>
    <definedName function="false" hidden="false" localSheetId="1" name="ea2t" vbProcedure="false">'S-Toll (All-Tax)'!$G$2:$G$54</definedName>
    <definedName function="false" hidden="false" localSheetId="1" name="eat" vbProcedure="false">'S-Toll (All-Tax)'!$F$2:$F$54</definedName>
    <definedName function="false" hidden="false" localSheetId="1" name="OldTau" vbProcedure="false">'S-Toll (All-Tax)'!$B$2:$B$16384</definedName>
    <definedName function="false" hidden="false" localSheetId="1" name="Revenue" vbProcedure="false">'S-Toll (All-Tax)'!$W$2:$W$16384</definedName>
    <definedName function="false" hidden="false" localSheetId="1" name="Size" vbProcedure="false">'S-Toll (All-Tax)'!$C$2:$C$16384</definedName>
    <definedName function="false" hidden="false" localSheetId="1" name="Tau" vbProcedure="false">'S-Toll (All-Tax)'!$A$2:$A$16384</definedName>
    <definedName function="false" hidden="false" localSheetId="1" name="Utility" vbProcedure="false">'S-Toll (All-Tax)'!$U$2:$U$16384</definedName>
    <definedName function="false" hidden="false" localSheetId="1" name="Welfare" vbProcedure="false">'S-Toll (All-Tax)'!$T$2:$T$16384</definedName>
    <definedName function="false" hidden="false" localSheetId="1" name="z" vbProcedure="false">#REF!</definedName>
    <definedName function="false" hidden="false" localSheetId="2" name="a" vbProcedure="false">'S-Toll(All-Toll)'!$D$2:$D$16384</definedName>
    <definedName function="false" hidden="false" localSheetId="2" name="b" vbProcedure="false">'S-Toll(All-Toll)'!$E$2:$E$16384</definedName>
    <definedName function="false" hidden="false" localSheetId="2" name="BCCIJ" vbProcedure="false">'S-Toll(All-Toll)'!$J$2:$J$16384</definedName>
    <definedName function="false" hidden="false" localSheetId="2" name="BCCJJ" vbProcedure="false">'S-Toll(All-Toll)'!$K$2:$K$16384</definedName>
    <definedName function="false" hidden="false" localSheetId="2" name="BCk" vbProcedure="false">'S-Toll(All-Toll)'!$L$2:$L$16384</definedName>
    <definedName function="false" hidden="false" localSheetId="2" name="BCPTII" vbProcedure="false">'S-Toll(All-Toll)'!$P$2:$P$16384</definedName>
    <definedName function="false" hidden="false" localSheetId="2" name="BCPTIJ" vbProcedure="false">'S-Toll(All-Toll)'!$O$2:$O$16384</definedName>
    <definedName function="false" hidden="false" localSheetId="2" name="BCPTJJ" vbProcedure="false">'S-Toll(All-Toll)'!$N$2:$N$16384</definedName>
    <definedName function="false" hidden="false" localSheetId="2" name="BCS" vbProcedure="false">'S-Toll(All-Toll)'!$M$2:$M$16384</definedName>
    <definedName function="false" hidden="false" localSheetId="2" name="BRIJ" vbProcedure="false">'S-Toll(All-Toll)'!$Q$2:$Q$16384</definedName>
    <definedName function="false" hidden="false" localSheetId="2" name="BRJJ" vbProcedure="false">'S-Toll(All-Toll)'!$R$2:$R$16384</definedName>
    <definedName function="false" hidden="false" localSheetId="2" name="BUTII" vbProcedure="false">'S-Toll(All-Toll)'!$I$2:$I$16384</definedName>
    <definedName function="false" hidden="false" localSheetId="2" name="BUTIJ" vbProcedure="false">'S-Toll(All-Toll)'!$H$2:$H$16384</definedName>
    <definedName function="false" hidden="false" localSheetId="2" name="Cost" vbProcedure="false">'S-Toll(All-Toll)'!$X$2:$X$16384</definedName>
    <definedName function="false" hidden="false" localSheetId="2" name="ii" vbProcedure="false">#REF!</definedName>
    <definedName function="false" hidden="false" localSheetId="2" name="ij" vbProcedure="false">'S-Toll(All-Toll)'!$F$2:$F$16384</definedName>
    <definedName function="false" hidden="false" localSheetId="2" name="jj" vbProcedure="false">'S-Toll(All-Toll)'!$G$2:$G$16384</definedName>
    <definedName function="false" hidden="false" localSheetId="2" name="OldTau" vbProcedure="false">'S-Toll(All-Toll)'!$B$2:$B$16384</definedName>
    <definedName function="false" hidden="false" localSheetId="2" name="Profit" vbProcedure="false">'S-Toll(All-Toll)'!$V$2:$V$16384</definedName>
    <definedName function="false" hidden="false" localSheetId="2" name="Revenue" vbProcedure="false">'S-Toll(All-Toll)'!$W$2:$W$16384</definedName>
    <definedName function="false" hidden="false" localSheetId="2" name="Size" vbProcedure="false">'S-Toll(All-Toll)'!$C$2:$C$16384</definedName>
    <definedName function="false" hidden="false" localSheetId="2" name="Tau" vbProcedure="false">'S-Toll(All-Toll)'!$A$2:$A$16384</definedName>
    <definedName function="false" hidden="false" localSheetId="2" name="Utility" vbProcedure="false">'S-Toll(All-Toll)'!$U$2:$U$16384</definedName>
    <definedName function="false" hidden="false" localSheetId="2" name="Welfare" vbProcedure="false">'S-Toll(All-Toll)'!$T$2:$T$16384</definedName>
    <definedName function="false" hidden="false" localSheetId="3" name="BUTII" vbProcedure="false">'S-Wcompare'!$I$4:$I$16384</definedName>
    <definedName function="false" hidden="false" localSheetId="3" name="BUTIJ" vbProcedure="false">'S-Wcompare'!$H$4:$H$16384</definedName>
    <definedName function="false" hidden="false" localSheetId="3" name="Cost" vbProcedure="false">'S-Wcompare'!$X$4:$X$16384</definedName>
    <definedName function="false" hidden="false" localSheetId="3" name="ij" vbProcedure="false">'S-Wcompare'!$F$4:$F$16384</definedName>
    <definedName function="false" hidden="false" localSheetId="3" name="Profit" vbProcedure="false">'S-Wcompare'!$V$4:$V$16384</definedName>
    <definedName function="false" hidden="false" localSheetId="3" name="Revenue" vbProcedure="false">'S-Wcompare'!$W$4:$W$16384</definedName>
    <definedName function="false" hidden="false" localSheetId="3" name="Utility" vbProcedure="false">'S-Wcompare'!$U$4:$U$16384</definedName>
    <definedName function="false" hidden="false" localSheetId="4" name="a" vbProcedure="false">'W-React-JS=10'!$D$2:$D$16384</definedName>
    <definedName function="false" hidden="false" localSheetId="4" name="b" vbProcedure="false">'W-React-JS=10'!$E$2:$E$16384</definedName>
    <definedName function="false" hidden="false" localSheetId="4" name="BCCIJ" vbProcedure="false">'W-React-JS=10'!$J$2:$J$16384</definedName>
    <definedName function="false" hidden="false" localSheetId="4" name="BCCJJ" vbProcedure="false">'W-React-JS=10'!$K$2:$K$16384</definedName>
    <definedName function="false" hidden="false" localSheetId="4" name="BCk" vbProcedure="false">'W-React-JS=10'!$L$2:$L$16384</definedName>
    <definedName function="false" hidden="false" localSheetId="4" name="BCPTII" vbProcedure="false">'W-React-JS=10'!$P$2:$P$16384</definedName>
    <definedName function="false" hidden="false" localSheetId="4" name="BCPTIJ" vbProcedure="false">'W-React-JS=10'!$O$2:$O$16384</definedName>
    <definedName function="false" hidden="false" localSheetId="4" name="BCPTJJ" vbProcedure="false">'W-React-JS=10'!$N$2:$N$16384</definedName>
    <definedName function="false" hidden="false" localSheetId="4" name="BCS" vbProcedure="false">'W-React-JS=10'!$M$2:$M$16384</definedName>
    <definedName function="false" hidden="false" localSheetId="4" name="BRIJ" vbProcedure="false">'W-React-JS=10'!$Q$2:$Q$16384</definedName>
    <definedName function="false" hidden="false" localSheetId="4" name="BRJJ" vbProcedure="false">'W-React-JS=10'!$R$2:$R$16384</definedName>
    <definedName function="false" hidden="false" localSheetId="4" name="BUTII" vbProcedure="false">'W-React-JS=10'!$I$2:$I$16384</definedName>
    <definedName function="false" hidden="false" localSheetId="4" name="BUTIJ" vbProcedure="false">'W-React-JS=10'!$H$2:$H$16384</definedName>
    <definedName function="false" hidden="false" localSheetId="4" name="Cost" vbProcedure="false">'W-React-JS=10'!$V$2:$V$16384</definedName>
    <definedName function="false" hidden="false" localSheetId="4" name="ii" vbProcedure="false">#REF!</definedName>
    <definedName function="false" hidden="false" localSheetId="4" name="ij" vbProcedure="false">'W-React-JS=10'!$F$2:$F$16384</definedName>
    <definedName function="false" hidden="false" localSheetId="4" name="jj" vbProcedure="false">'W-React-JS=10'!$G$2:$G$16384</definedName>
    <definedName function="false" hidden="false" localSheetId="4" name="OldTau" vbProcedure="false">'W-React-JS=10'!$B$2:$B$16384</definedName>
    <definedName function="false" hidden="false" localSheetId="4" name="Profit" vbProcedure="false">'W-React-JS=10'!$X$2:$X$16384</definedName>
    <definedName function="false" hidden="false" localSheetId="4" name="Revenue" vbProcedure="false">'W-React-JS=10'!$U$2:$U$16384</definedName>
    <definedName function="false" hidden="false" localSheetId="4" name="Size" vbProcedure="false">'W-React-JS=10'!$C$2:$C$16384</definedName>
    <definedName function="false" hidden="false" localSheetId="4" name="solver_adj" vbProcedure="false">'W-React-JS=10'!$A$12</definedName>
    <definedName function="false" hidden="false" localSheetId="4" name="solver_lin" vbProcedure="false">0</definedName>
    <definedName function="false" hidden="false" localSheetId="4" name="solver_num" vbProcedure="false">0</definedName>
    <definedName function="false" hidden="false" localSheetId="4" name="solver_opt" vbProcedure="false">'W-React-JS=10'!$T$12</definedName>
    <definedName function="false" hidden="false" localSheetId="4" name="solver_typ" vbProcedure="false">1</definedName>
    <definedName function="false" hidden="false" localSheetId="4" name="solver_val" vbProcedure="false">0</definedName>
    <definedName function="false" hidden="false" localSheetId="4" name="Tau" vbProcedure="false">'W-React-JS=10'!$A$2:$A$16384</definedName>
    <definedName function="false" hidden="false" localSheetId="4" name="Toll" vbProcedure="false">'W-React-JS=10'!$S$2:$S$16384</definedName>
    <definedName function="false" hidden="false" localSheetId="4" name="Utility" vbProcedure="false">'W-React-JS=10'!$W$2:$W$16384</definedName>
    <definedName function="false" hidden="false" localSheetId="4" name="Welfare" vbProcedure="false">'W-React-JS=10'!$T$2:$T$16384</definedName>
    <definedName function="false" hidden="false" localSheetId="5" name="a" vbProcedure="false">'W-React-JS=1'!$D$2:$D$16384</definedName>
    <definedName function="false" hidden="false" localSheetId="5" name="b" vbProcedure="false">'W-React-JS=1'!$E$2:$E$16384</definedName>
    <definedName function="false" hidden="false" localSheetId="5" name="BCCIJ" vbProcedure="false">'W-React-JS=1'!$J$2:$J$16384</definedName>
    <definedName function="false" hidden="false" localSheetId="5" name="BCCJJ" vbProcedure="false">'W-React-JS=1'!$K$2:$K$16384</definedName>
    <definedName function="false" hidden="false" localSheetId="5" name="BCk" vbProcedure="false">'W-React-JS=1'!$L$2:$L$16384</definedName>
    <definedName function="false" hidden="false" localSheetId="5" name="BCPTII" vbProcedure="false">'W-React-JS=1'!$P$2:$P$16384</definedName>
    <definedName function="false" hidden="false" localSheetId="5" name="BCPTIJ" vbProcedure="false">'W-React-JS=1'!$O$2:$O$16384</definedName>
    <definedName function="false" hidden="false" localSheetId="5" name="BCPTJJ" vbProcedure="false">'W-React-JS=1'!$N$2:$N$16384</definedName>
    <definedName function="false" hidden="false" localSheetId="5" name="BCS" vbProcedure="false">'W-React-JS=1'!$M$2:$M$16384</definedName>
    <definedName function="false" hidden="false" localSheetId="5" name="BRIJ" vbProcedure="false">'W-React-JS=1'!$Q$2:$Q$16384</definedName>
    <definedName function="false" hidden="false" localSheetId="5" name="BRJJ" vbProcedure="false">'W-React-JS=1'!$R$2:$R$16384</definedName>
    <definedName function="false" hidden="false" localSheetId="5" name="BUTII" vbProcedure="false">'W-React-JS=1'!$I$2:$I$16384</definedName>
    <definedName function="false" hidden="false" localSheetId="5" name="BUTIJ" vbProcedure="false">'W-React-JS=1'!$H$2:$H$16384</definedName>
    <definedName function="false" hidden="false" localSheetId="5" name="Cost" vbProcedure="false">'W-React-JS=1'!$V$2:$V$16384</definedName>
    <definedName function="false" hidden="false" localSheetId="5" name="ii" vbProcedure="false">#REF!</definedName>
    <definedName function="false" hidden="false" localSheetId="5" name="ij" vbProcedure="false">'W-React-JS=1'!$F$2:$F$16384</definedName>
    <definedName function="false" hidden="false" localSheetId="5" name="jj" vbProcedure="false">'W-React-JS=1'!$G$2:$G$16384</definedName>
    <definedName function="false" hidden="false" localSheetId="5" name="OldTau" vbProcedure="false">'W-React-JS=1'!$B$2:$B$16384</definedName>
    <definedName function="false" hidden="false" localSheetId="5" name="Profit" vbProcedure="false">'W-React-JS=1'!$X$2:$X$16384</definedName>
    <definedName function="false" hidden="false" localSheetId="5" name="Revenue" vbProcedure="false">'W-React-JS=1'!$U$2:$U$16384</definedName>
    <definedName function="false" hidden="false" localSheetId="5" name="Size" vbProcedure="false">'W-React-JS=1'!$C$2:$C$16384</definedName>
    <definedName function="false" hidden="false" localSheetId="5" name="solver_adj" vbProcedure="false">'W-React-JS=1'!$A$12</definedName>
    <definedName function="false" hidden="false" localSheetId="5" name="solver_lin" vbProcedure="false">0</definedName>
    <definedName function="false" hidden="false" localSheetId="5" name="solver_num" vbProcedure="false">0</definedName>
    <definedName function="false" hidden="false" localSheetId="5" name="solver_opt" vbProcedure="false">'W-React-JS=1'!$T$12</definedName>
    <definedName function="false" hidden="false" localSheetId="5" name="solver_typ" vbProcedure="false">1</definedName>
    <definedName function="false" hidden="false" localSheetId="5" name="solver_val" vbProcedure="false">0</definedName>
    <definedName function="false" hidden="false" localSheetId="5" name="Tau" vbProcedure="false">'W-React-JS=1'!$A$2:$A$16384</definedName>
    <definedName function="false" hidden="false" localSheetId="5" name="Toll" vbProcedure="false">'W-React-JS=1'!$S$2:$S$16384</definedName>
    <definedName function="false" hidden="false" localSheetId="5" name="Utility" vbProcedure="false">'W-React-JS=1'!$W$2:$W$16384</definedName>
    <definedName function="false" hidden="false" localSheetId="5" name="Welfare" vbProcedure="false">'W-React-JS=1'!$T$2:$T$16384</definedName>
    <definedName function="false" hidden="false" localSheetId="6" name="a" vbProcedure="false">'P-React-JS=10'!$D$2:$D$16384</definedName>
    <definedName function="false" hidden="false" localSheetId="6" name="b" vbProcedure="false">'P-React-JS=10'!$E$2:$E$16384</definedName>
    <definedName function="false" hidden="false" localSheetId="6" name="BCCIJ" vbProcedure="false">'P-React-JS=10'!$J$2:$J$16384</definedName>
    <definedName function="false" hidden="false" localSheetId="6" name="BCCJJ" vbProcedure="false">'P-React-JS=10'!$K$2:$K$16384</definedName>
    <definedName function="false" hidden="false" localSheetId="6" name="BCk" vbProcedure="false">'P-React-JS=10'!$L$2:$L$16384</definedName>
    <definedName function="false" hidden="false" localSheetId="6" name="BCPTII" vbProcedure="false">'P-React-JS=10'!$P$2:$P$16384</definedName>
    <definedName function="false" hidden="false" localSheetId="6" name="BCPTIJ" vbProcedure="false">'P-React-JS=10'!$O$2:$O$16384</definedName>
    <definedName function="false" hidden="false" localSheetId="6" name="BCPTJJ" vbProcedure="false">'P-React-JS=10'!$N$2:$N$16384</definedName>
    <definedName function="false" hidden="false" localSheetId="6" name="BCS" vbProcedure="false">'P-React-JS=10'!$M$2:$M$16384</definedName>
    <definedName function="false" hidden="false" localSheetId="6" name="BRIJ" vbProcedure="false">'P-React-JS=10'!$Q$2:$Q$16384</definedName>
    <definedName function="false" hidden="false" localSheetId="6" name="BRJJ" vbProcedure="false">'P-React-JS=10'!$R$2:$R$16384</definedName>
    <definedName function="false" hidden="false" localSheetId="6" name="BUTII" vbProcedure="false">'P-React-JS=10'!$I$2:$I$16384</definedName>
    <definedName function="false" hidden="false" localSheetId="6" name="BUTIJ" vbProcedure="false">'P-React-JS=10'!$H$2:$H$16384</definedName>
    <definedName function="false" hidden="false" localSheetId="6" name="Cost" vbProcedure="false">'P-React-JS=10'!$V$2:$V$16384</definedName>
    <definedName function="false" hidden="false" localSheetId="6" name="ii" vbProcedure="false">#REF!</definedName>
    <definedName function="false" hidden="false" localSheetId="6" name="ij" vbProcedure="false">'P-React-JS=10'!$F$2:$F$16384</definedName>
    <definedName function="false" hidden="false" localSheetId="6" name="jj" vbProcedure="false">'P-React-JS=10'!$G$2:$G$16384</definedName>
    <definedName function="false" hidden="false" localSheetId="6" name="OldTau" vbProcedure="false">'P-React-JS=10'!$B$2:$B$16384</definedName>
    <definedName function="false" hidden="false" localSheetId="6" name="Profit" vbProcedure="false">'P-React-JS=10'!$X$2:$X$16384</definedName>
    <definedName function="false" hidden="false" localSheetId="6" name="Revenue" vbProcedure="false">'P-React-JS=10'!$U$2:$U$16384</definedName>
    <definedName function="false" hidden="false" localSheetId="6" name="Size" vbProcedure="false">'P-React-JS=10'!$C$2:$C$16384</definedName>
    <definedName function="false" hidden="false" localSheetId="6" name="solver_adj" vbProcedure="false">'P-React-JS=10'!$A$12</definedName>
    <definedName function="false" hidden="false" localSheetId="6" name="solver_lin" vbProcedure="false">0</definedName>
    <definedName function="false" hidden="false" localSheetId="6" name="solver_num" vbProcedure="false">0</definedName>
    <definedName function="false" hidden="false" localSheetId="6" name="solver_opt" vbProcedure="false">'P-React-JS=10'!$X$12</definedName>
    <definedName function="false" hidden="false" localSheetId="6" name="solver_typ" vbProcedure="false">1</definedName>
    <definedName function="false" hidden="false" localSheetId="6" name="solver_val" vbProcedure="false">0</definedName>
    <definedName function="false" hidden="false" localSheetId="6" name="Tau" vbProcedure="false">'P-React-JS=10'!$A$2:$A$16384</definedName>
    <definedName function="false" hidden="false" localSheetId="6" name="Toll" vbProcedure="false">'P-React-JS=10'!$S$2:$S$16384</definedName>
    <definedName function="false" hidden="false" localSheetId="6" name="Utility" vbProcedure="false">'P-React-JS=10'!$W$2:$W$16384</definedName>
    <definedName function="false" hidden="false" localSheetId="6" name="Welfare" vbProcedure="false">'P-React-JS=10'!$T$2:$T$16384</definedName>
    <definedName function="false" hidden="false" localSheetId="7" name="a" vbProcedure="false">'P-React-JS=1'!$D$2:$D$16384</definedName>
    <definedName function="false" hidden="false" localSheetId="7" name="b" vbProcedure="false">'P-React-JS=1'!$E$2:$E$16384</definedName>
    <definedName function="false" hidden="false" localSheetId="7" name="BCCIJ" vbProcedure="false">'P-React-JS=1'!$J$2:$J$16384</definedName>
    <definedName function="false" hidden="false" localSheetId="7" name="BCCJJ" vbProcedure="false">'P-React-JS=1'!$K$2:$K$16384</definedName>
    <definedName function="false" hidden="false" localSheetId="7" name="BCk" vbProcedure="false">'P-React-JS=1'!$L$2:$L$16384</definedName>
    <definedName function="false" hidden="false" localSheetId="7" name="BCPTII" vbProcedure="false">'P-React-JS=1'!$P$2:$P$16384</definedName>
    <definedName function="false" hidden="false" localSheetId="7" name="BCPTIJ" vbProcedure="false">'P-React-JS=1'!$O$2:$O$16384</definedName>
    <definedName function="false" hidden="false" localSheetId="7" name="BCPTJJ" vbProcedure="false">'P-React-JS=1'!$N$2:$N$16384</definedName>
    <definedName function="false" hidden="false" localSheetId="7" name="BCS" vbProcedure="false">'P-React-JS=1'!$M$2:$M$16384</definedName>
    <definedName function="false" hidden="false" localSheetId="7" name="BRIJ" vbProcedure="false">'P-React-JS=1'!$Q$2:$Q$16384</definedName>
    <definedName function="false" hidden="false" localSheetId="7" name="BRJJ" vbProcedure="false">'P-React-JS=1'!$R$2:$R$16384</definedName>
    <definedName function="false" hidden="false" localSheetId="7" name="BUTII" vbProcedure="false">'P-React-JS=1'!$I$2:$I$16384</definedName>
    <definedName function="false" hidden="false" localSheetId="7" name="BUTIJ" vbProcedure="false">'P-React-JS=1'!$H$2:$H$16384</definedName>
    <definedName function="false" hidden="false" localSheetId="7" name="Cost" vbProcedure="false">'P-React-JS=1'!$V$2:$V$16384</definedName>
    <definedName function="false" hidden="false" localSheetId="7" name="ii" vbProcedure="false">#REF!</definedName>
    <definedName function="false" hidden="false" localSheetId="7" name="ij" vbProcedure="false">'P-React-JS=1'!$F$2:$F$16384</definedName>
    <definedName function="false" hidden="false" localSheetId="7" name="jj" vbProcedure="false">'P-React-JS=1'!$G$2:$G$16384</definedName>
    <definedName function="false" hidden="false" localSheetId="7" name="OldTau" vbProcedure="false">'P-React-JS=1'!$B$2:$B$16384</definedName>
    <definedName function="false" hidden="false" localSheetId="7" name="Profit" vbProcedure="false">'P-React-JS=1'!$X$2:$X$16384</definedName>
    <definedName function="false" hidden="false" localSheetId="7" name="Revenue" vbProcedure="false">'P-React-JS=1'!$U$2:$U$16384</definedName>
    <definedName function="false" hidden="false" localSheetId="7" name="Size" vbProcedure="false">'P-React-JS=1'!$C$2:$C$16384</definedName>
    <definedName function="false" hidden="false" localSheetId="7" name="solver_adj" vbProcedure="false">'P-React-JS=1'!$A$12</definedName>
    <definedName function="false" hidden="false" localSheetId="7" name="solver_lin" vbProcedure="false">0</definedName>
    <definedName function="false" hidden="false" localSheetId="7" name="solver_num" vbProcedure="false">0</definedName>
    <definedName function="false" hidden="false" localSheetId="7" name="solver_opt" vbProcedure="false">'P-React-JS=1'!$X$12</definedName>
    <definedName function="false" hidden="false" localSheetId="7" name="solver_typ" vbProcedure="false">1</definedName>
    <definedName function="false" hidden="false" localSheetId="7" name="solver_val" vbProcedure="false">0</definedName>
    <definedName function="false" hidden="false" localSheetId="7" name="Tau" vbProcedure="false">'P-React-JS=1'!$A$2:$A$16384</definedName>
    <definedName function="false" hidden="false" localSheetId="7" name="Toll" vbProcedure="false">'P-React-JS=1'!$S$2:$S$16384</definedName>
    <definedName function="false" hidden="false" localSheetId="7" name="Utility" vbProcedure="false">'P-React-JS=1'!$W$2:$W$16384</definedName>
    <definedName function="false" hidden="false" localSheetId="7" name="Welfare" vbProcedure="false">'P-React-JS=1'!$T$2:$T$16384</definedName>
    <definedName function="false" hidden="false" localSheetId="9" name="a" vbProcedure="false">'W-UNIQUE-JS=1'!$D$2:$D$16384</definedName>
    <definedName function="false" hidden="false" localSheetId="9" name="b" vbProcedure="false">'W-UNIQUE-JS=1'!$E$2:$E$16384</definedName>
    <definedName function="false" hidden="false" localSheetId="9" name="BCCIJ" vbProcedure="false">'W-UNIQUE-JS=1'!$J$2:$J$16384</definedName>
    <definedName function="false" hidden="false" localSheetId="9" name="BCCJJ" vbProcedure="false">'W-UNIQUE-JS=1'!$K$2:$K$16384</definedName>
    <definedName function="false" hidden="false" localSheetId="9" name="BCk" vbProcedure="false">'W-UNIQUE-JS=1'!$L$2:$L$16384</definedName>
    <definedName function="false" hidden="false" localSheetId="9" name="BCPTII" vbProcedure="false">'W-UNIQUE-JS=1'!$P$2:$P$16384</definedName>
    <definedName function="false" hidden="false" localSheetId="9" name="BCPTIJ" vbProcedure="false">'W-UNIQUE-JS=1'!$O$2:$O$16384</definedName>
    <definedName function="false" hidden="false" localSheetId="9" name="BCPTJJ" vbProcedure="false">'W-UNIQUE-JS=1'!$N$2:$N$16384</definedName>
    <definedName function="false" hidden="false" localSheetId="9" name="BCS" vbProcedure="false">'W-UNIQUE-JS=1'!$M$2:$M$16384</definedName>
    <definedName function="false" hidden="false" localSheetId="9" name="BRIJ" vbProcedure="false">'W-UNIQUE-JS=1'!$Q$2:$Q$16384</definedName>
    <definedName function="false" hidden="false" localSheetId="9" name="BRJJ" vbProcedure="false">'W-UNIQUE-JS=1'!$R$2:$R$16384</definedName>
    <definedName function="false" hidden="false" localSheetId="9" name="BUTII" vbProcedure="false">'W-UNIQUE-JS=1'!$I$2:$I$16384</definedName>
    <definedName function="false" hidden="false" localSheetId="9" name="BUTIJ" vbProcedure="false">'W-UNIQUE-JS=1'!$H$2:$H$16384</definedName>
    <definedName function="false" hidden="false" localSheetId="9" name="Cost" vbProcedure="false">'W-UNIQUE-JS=1'!$V$2:$V$16384</definedName>
    <definedName function="false" hidden="false" localSheetId="9" name="ii" vbProcedure="false">#REF!</definedName>
    <definedName function="false" hidden="false" localSheetId="9" name="ij" vbProcedure="false">'W-UNIQUE-JS=1'!$F$2:$F$16384</definedName>
    <definedName function="false" hidden="false" localSheetId="9" name="jj" vbProcedure="false">'W-UNIQUE-JS=1'!$G$2:$G$16384</definedName>
    <definedName function="false" hidden="false" localSheetId="9" name="OldTau" vbProcedure="false">'W-UNIQUE-JS=1'!$B$2:$B$16384</definedName>
    <definedName function="false" hidden="false" localSheetId="9" name="Profit" vbProcedure="false">'W-UNIQUE-JS=1'!$X$2:$X$16384</definedName>
    <definedName function="false" hidden="false" localSheetId="9" name="Revenue" vbProcedure="false">'W-UNIQUE-JS=1'!$U$2:$U$16384</definedName>
    <definedName function="false" hidden="false" localSheetId="9" name="Size" vbProcedure="false">'W-UNIQUE-JS=1'!$C$2:$C$16384</definedName>
    <definedName function="false" hidden="false" localSheetId="9" name="solver_adj" vbProcedure="false">'W-UNIQUE-JS=1'!$A$24</definedName>
    <definedName function="false" hidden="false" localSheetId="9" name="solver_lin" vbProcedure="false">0</definedName>
    <definedName function="false" hidden="false" localSheetId="9" name="solver_num" vbProcedure="false">0</definedName>
    <definedName function="false" hidden="false" localSheetId="9" name="solver_opt" vbProcedure="false">'W-UNIQUE-JS=1'!$T$24</definedName>
    <definedName function="false" hidden="false" localSheetId="9" name="solver_typ" vbProcedure="false">1</definedName>
    <definedName function="false" hidden="false" localSheetId="9" name="solver_val" vbProcedure="false">0</definedName>
    <definedName function="false" hidden="false" localSheetId="9" name="Tau" vbProcedure="false">'W-UNIQUE-JS=1'!$A$2:$A$16384</definedName>
    <definedName function="false" hidden="false" localSheetId="9" name="Toll" vbProcedure="false">'W-UNIQUE-JS=1'!$S$2:$S$16384</definedName>
    <definedName function="false" hidden="false" localSheetId="9" name="Utility" vbProcedure="false">'W-UNIQUE-JS=1'!$W$2:$W$16384</definedName>
    <definedName function="false" hidden="false" localSheetId="9" name="Welfare" vbProcedure="false">'W-UNIQUE-JS=1'!$T$2:$T$16384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<sst xmlns="http://schemas.openxmlformats.org/spreadsheetml/2006/main" count="200" uniqueCount="54">
  <si>
    <t xml:space="preserve">Values in Model</t>
  </si>
  <si>
    <t xml:space="preserve">Original</t>
  </si>
  <si>
    <t xml:space="preserve">v</t>
  </si>
  <si>
    <t xml:space="preserve">w</t>
  </si>
  <si>
    <t xml:space="preserve">y</t>
  </si>
  <si>
    <t xml:space="preserve">Beta</t>
  </si>
  <si>
    <t xml:space="preserve">Theta</t>
  </si>
  <si>
    <t xml:space="preserve">Gamma</t>
  </si>
  <si>
    <t xml:space="preserve">Phi</t>
  </si>
  <si>
    <t xml:space="preserve">alpha</t>
  </si>
  <si>
    <t xml:space="preserve">psi</t>
  </si>
  <si>
    <t xml:space="preserve">zeta</t>
  </si>
  <si>
    <t xml:space="preserve">kappa</t>
  </si>
  <si>
    <t xml:space="preserve">Tau</t>
  </si>
  <si>
    <t xml:space="preserve">OldTau</t>
  </si>
  <si>
    <t xml:space="preserve">Size</t>
  </si>
  <si>
    <t xml:space="preserve">a</t>
  </si>
  <si>
    <t xml:space="preserve">b</t>
  </si>
  <si>
    <t xml:space="preserve">ij</t>
  </si>
  <si>
    <t xml:space="preserve">jj</t>
  </si>
  <si>
    <t xml:space="preserve">BUTIJ</t>
  </si>
  <si>
    <t xml:space="preserve">BUTII</t>
  </si>
  <si>
    <t xml:space="preserve">BCCIJ</t>
  </si>
  <si>
    <t xml:space="preserve">BCCJJ</t>
  </si>
  <si>
    <t xml:space="preserve">BCk</t>
  </si>
  <si>
    <t xml:space="preserve">BCS</t>
  </si>
  <si>
    <t xml:space="preserve">BCPTJJ</t>
  </si>
  <si>
    <t xml:space="preserve">BCPTIJ</t>
  </si>
  <si>
    <t xml:space="preserve">BCPTII</t>
  </si>
  <si>
    <t xml:space="preserve">BRIJ</t>
  </si>
  <si>
    <t xml:space="preserve">BRJJ</t>
  </si>
  <si>
    <t xml:space="preserve">Toll</t>
  </si>
  <si>
    <t xml:space="preserve">Welfare</t>
  </si>
  <si>
    <t xml:space="preserve">Utility</t>
  </si>
  <si>
    <t xml:space="preserve">Profit</t>
  </si>
  <si>
    <t xml:space="preserve">Revenue</t>
  </si>
  <si>
    <t xml:space="preserve">Cost</t>
  </si>
  <si>
    <t xml:space="preserve">All-Tax Environment</t>
  </si>
  <si>
    <t xml:space="preserve">All-Toll Environment</t>
  </si>
  <si>
    <t xml:space="preserve">Welfare-Tax Environment</t>
  </si>
  <si>
    <t xml:space="preserve">Consumers' Surplus-Tax Environment</t>
  </si>
  <si>
    <t xml:space="preserve">Profit-Tax Environment</t>
  </si>
  <si>
    <t xml:space="preserve">Welfare-Toll Enviornment</t>
  </si>
  <si>
    <t xml:space="preserve">Consumers' Surplus-Toll Environment</t>
  </si>
  <si>
    <t xml:space="preserve">Profit-Toll Environment</t>
  </si>
  <si>
    <t xml:space="preserve">∏-Jurisdiction Size=10 km</t>
  </si>
  <si>
    <t xml:space="preserve">W-Jurisdiction Size=10 km</t>
  </si>
  <si>
    <t xml:space="preserve">∏-Jurisdiction Size=1 km</t>
  </si>
  <si>
    <t xml:space="preserve">W-Jurisdiction Size=1 km</t>
  </si>
  <si>
    <t xml:space="preserve">Iteration</t>
  </si>
  <si>
    <t xml:space="preserve">S=-1</t>
  </si>
  <si>
    <t xml:space="preserve">S=0</t>
  </si>
  <si>
    <t xml:space="preserve">S=1</t>
  </si>
  <si>
    <t xml:space="preserve">S=10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</si>
</sst>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00"/>
    <numFmt numFmtId="167" formatCode="0"/>
    <numFmt numFmtId="168" formatCode="0.00"/>
    <numFmt numFmtId="169" formatCode="0.0000"/>
  </numFmts>
  <fonts count="17">
    <font>
      <sz val="10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Geneva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4"/>
      <name val="Geneva"/>
      <family val="2"/>
    </font>
    <font>
      <b val="true"/>
      <sz val="9"/>
      <name val="Geneva"/>
      <family val="2"/>
    </font>
    <font>
      <sz val="10.75"/>
      <name val="Geneva"/>
      <family val="0"/>
    </font>
    <font>
      <sz val="11"/>
      <name val="Symbol"/>
      <family val="0"/>
    </font>
    <font>
      <sz val="10.75"/>
      <color rgb="FF000000"/>
      <name val="Geneva"/>
      <family val="2"/>
    </font>
    <font>
      <b val="true"/>
      <sz val="10.75"/>
      <name val="Geneva"/>
      <family val="2"/>
    </font>
    <font>
      <b val="true"/>
      <sz val="10.75"/>
      <color rgb="FF000000"/>
      <name val="Geneva"/>
      <family val="2"/>
    </font>
    <font>
      <sz val="12"/>
      <name val="Geneva"/>
      <family val="0"/>
    </font>
    <font>
      <b val="true"/>
      <vertAlign val="subscript"/>
      <sz val="9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FB71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<Relationship Id="rId2" Type="http://schemas.microsoft.com/office/2011/relationships/chartStyle" Target="style1.xml"/><Relationship Id="rId3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<Relationship Id="rId2" Type="http://schemas.microsoft.com/office/2011/relationships/chartStyle" Target="style2.xml"/><Relationship Id="rId3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<Relationship Id="rId2" Type="http://schemas.microsoft.com/office/2011/relationships/chartStyle" Target="style3.xml"/><Relationship Id="rId3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7.xml"/><Relationship Id="rId2" Type="http://schemas.microsoft.com/office/2011/relationships/chartStyle" Target="style4.xml"/><Relationship Id="rId3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<Relationship Id="rId2" Type="http://schemas.microsoft.com/office/2011/relationships/chartStyle" Target="style5.xml"/><Relationship Id="rId3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openxmlformats.org/officeDocument/2006/relationships/chartUserShapes" Target="../drawings/drawing10.xml"/><Relationship Id="rId2" Type="http://schemas.microsoft.com/office/2011/relationships/chartStyle" Target="style6.xml"/><Relationship Id="rId3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openxmlformats.org/officeDocument/2006/relationships/chartUserShapes" Target="../drawings/drawing11.xml"/><Relationship Id="rId2" Type="http://schemas.microsoft.com/office/2011/relationships/chartStyle" Target="style7.xml"/><Relationship Id="rId3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13.xml"/><Relationship Id="rId2" Type="http://schemas.microsoft.com/office/2011/relationships/chartStyle" Target="style8.xml"/><Relationship Id="rId3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vs. Tolls (All-Tax Environment)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8354542149275"/>
          <c:y val="0.176151172893136"/>
          <c:w val="0.788292733599958"/>
          <c:h val="0.682232841007819"/>
        </c:manualLayout>
      </c:layout>
      <c:scatterChart>
        <c:scatterStyle val="line"/>
        <c:varyColors val="0"/>
        <c:ser>
          <c:idx val="0"/>
          <c:order val="0"/>
          <c:tx>
            <c:strRef>
              <c:f>'S-Toll (All-Tax)'!$T$1</c:f>
              <c:strCache>
                <c:ptCount val="1"/>
                <c:pt idx="0">
                  <c:v>Welfare</c:v>
                </c:pt>
              </c:strCache>
            </c:strRef>
          </c:tx>
          <c:spPr>
            <a:solidFill>
              <a:srgbClr val="000080">
                <a:alpha val="50000"/>
              </a:srgbClr>
            </a:solidFill>
            <a:ln w="0">
              <a:solidFill>
                <a:srgbClr val="000080">
                  <a:alpha val="50000"/>
                </a:srgbClr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'S-Toll (All-Tax)'!$S$2:$S$51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'S-Toll (All-Tax)'!$T$2:$T$51</c:f>
              <c:numCache>
                <c:formatCode>0</c:formatCode>
                <c:ptCount val="50"/>
                <c:pt idx="0">
                  <c:v>3086.60962030988</c:v>
                </c:pt>
                <c:pt idx="1">
                  <c:v>2622.47512087838</c:v>
                </c:pt>
                <c:pt idx="2">
                  <c:v>2947.21279675016</c:v>
                </c:pt>
                <c:pt idx="3">
                  <c:v>3184.15133739831</c:v>
                </c:pt>
                <c:pt idx="4">
                  <c:v>3350.59922863758</c:v>
                </c:pt>
                <c:pt idx="5">
                  <c:v>3460.60949953957</c:v>
                </c:pt>
                <c:pt idx="6">
                  <c:v>3525.60048492171</c:v>
                </c:pt>
                <c:pt idx="7">
                  <c:v>3554.85552481855</c:v>
                </c:pt>
                <c:pt idx="8">
                  <c:v>3555.92557728335</c:v>
                </c:pt>
                <c:pt idx="9">
                  <c:v>3534.95394142101</c:v>
                </c:pt>
                <c:pt idx="10">
                  <c:v>3496.93846101311</c:v>
                </c:pt>
                <c:pt idx="11">
                  <c:v>3445.94351610864</c:v>
                </c:pt>
                <c:pt idx="12">
                  <c:v>3385.27165860813</c:v>
                </c:pt>
                <c:pt idx="13">
                  <c:v>3317.60278633284</c:v>
                </c:pt>
                <c:pt idx="14">
                  <c:v>3245.10718066367</c:v>
                </c:pt>
                <c:pt idx="15">
                  <c:v>3169.53747727276</c:v>
                </c:pt>
                <c:pt idx="16">
                  <c:v>3092.30363502872</c:v>
                </c:pt>
                <c:pt idx="17">
                  <c:v>3014.53416459779</c:v>
                </c:pt>
                <c:pt idx="18">
                  <c:v>2937.12623536334</c:v>
                </c:pt>
                <c:pt idx="19">
                  <c:v>2860.78676484974</c:v>
                </c:pt>
                <c:pt idx="20">
                  <c:v>2786.06618310157</c:v>
                </c:pt>
                <c:pt idx="21">
                  <c:v>2713.38623483028</c:v>
                </c:pt>
                <c:pt idx="22">
                  <c:v>2643.06291811764</c:v>
                </c:pt>
                <c:pt idx="23">
                  <c:v>2575.3254468877</c:v>
                </c:pt>
                <c:pt idx="24">
                  <c:v>2510.33195469684</c:v>
                </c:pt>
                <c:pt idx="25">
                  <c:v>2448.18252123427</c:v>
                </c:pt>
                <c:pt idx="26">
                  <c:v>2388.92999355299</c:v>
                </c:pt>
                <c:pt idx="27">
                  <c:v>2332.588986097</c:v>
                </c:pt>
                <c:pt idx="28">
                  <c:v>2279.1433727697</c:v>
                </c:pt>
                <c:pt idx="29">
                  <c:v>2228.55252717803</c:v>
                </c:pt>
                <c:pt idx="30">
                  <c:v>2180.75652105652</c:v>
                </c:pt>
                <c:pt idx="31">
                  <c:v>2135.68045354278</c:v>
                </c:pt>
                <c:pt idx="32">
                  <c:v>2093.23805369955</c:v>
                </c:pt>
                <c:pt idx="33">
                  <c:v>2053.3346740684</c:v>
                </c:pt>
                <c:pt idx="34">
                  <c:v>2015.86977298408</c:v>
                </c:pt>
                <c:pt idx="35">
                  <c:v>1980.73896698952</c:v>
                </c:pt>
                <c:pt idx="36">
                  <c:v>1947.83572125961</c:v>
                </c:pt>
                <c:pt idx="37">
                  <c:v>1917.05273489896</c:v>
                </c:pt>
                <c:pt idx="38">
                  <c:v>1888.28306887041</c:v>
                </c:pt>
                <c:pt idx="39">
                  <c:v>1861.42105677285</c:v>
                </c:pt>
                <c:pt idx="40">
                  <c:v>1836.36303242605</c:v>
                </c:pt>
                <c:pt idx="41">
                  <c:v>1813.00790300272</c:v>
                </c:pt>
                <c:pt idx="42">
                  <c:v>1791.25759208334</c:v>
                </c:pt>
                <c:pt idx="43">
                  <c:v>1771.01737334662</c:v>
                </c:pt>
                <c:pt idx="44">
                  <c:v>1752.19611252338</c:v>
                </c:pt>
                <c:pt idx="45">
                  <c:v>1734.70643263491</c:v>
                </c:pt>
                <c:pt idx="46">
                  <c:v>1718.46481532703</c:v>
                </c:pt>
                <c:pt idx="47">
                  <c:v>1703.39164923315</c:v>
                </c:pt>
                <c:pt idx="48">
                  <c:v>1689.41123469765</c:v>
                </c:pt>
                <c:pt idx="49">
                  <c:v>1676.45175282326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'S-Toll (All-Tax)'!$U$1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'S-Toll (All-Tax)'!$S$2:$S$51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'S-Toll (All-Tax)'!$U$2:$U$51</c:f>
              <c:numCache>
                <c:formatCode>0</c:formatCode>
                <c:ptCount val="50"/>
                <c:pt idx="0">
                  <c:v>3507.51093217031</c:v>
                </c:pt>
                <c:pt idx="1">
                  <c:v>3507.51093217031</c:v>
                </c:pt>
                <c:pt idx="2">
                  <c:v>3334.63988911147</c:v>
                </c:pt>
                <c:pt idx="3">
                  <c:v>3178.21970085692</c:v>
                </c:pt>
                <c:pt idx="4">
                  <c:v>3036.68486158797</c:v>
                </c:pt>
                <c:pt idx="5">
                  <c:v>2908.61884306173</c:v>
                </c:pt>
                <c:pt idx="6">
                  <c:v>2792.73991752029</c:v>
                </c:pt>
                <c:pt idx="7">
                  <c:v>2687.8883297286</c:v>
                </c:pt>
                <c:pt idx="8">
                  <c:v>2593.01468975419</c:v>
                </c:pt>
                <c:pt idx="9">
                  <c:v>2507.16947032008</c:v>
                </c:pt>
                <c:pt idx="10">
                  <c:v>2429.49350361658</c:v>
                </c:pt>
                <c:pt idx="11">
                  <c:v>2359.20938246114</c:v>
                </c:pt>
                <c:pt idx="12">
                  <c:v>2295.61367974593</c:v>
                </c:pt>
                <c:pt idx="13">
                  <c:v>2238.06990830292</c:v>
                </c:pt>
                <c:pt idx="14">
                  <c:v>2186.00215072637</c:v>
                </c:pt>
                <c:pt idx="15">
                  <c:v>2138.88929539788</c:v>
                </c:pt>
                <c:pt idx="16">
                  <c:v>2096.25982102615</c:v>
                </c:pt>
                <c:pt idx="17">
                  <c:v>2057.6870775034</c:v>
                </c:pt>
                <c:pt idx="18">
                  <c:v>2022.78501584772</c:v>
                </c:pt>
                <c:pt idx="19">
                  <c:v>1991.20432449506</c:v>
                </c:pt>
                <c:pt idx="20">
                  <c:v>1962.62893327172</c:v>
                </c:pt>
                <c:pt idx="21">
                  <c:v>1936.77285005783</c:v>
                </c:pt>
                <c:pt idx="22">
                  <c:v>1913.37729848206</c:v>
                </c:pt>
                <c:pt idx="23">
                  <c:v>1892.2081280007</c:v>
                </c:pt>
                <c:pt idx="24">
                  <c:v>1873.05347044039</c:v>
                </c:pt>
                <c:pt idx="25">
                  <c:v>1855.72161955016</c:v>
                </c:pt>
                <c:pt idx="26">
                  <c:v>1840.03911234085</c:v>
                </c:pt>
                <c:pt idx="27">
                  <c:v>1825.84899300925</c:v>
                </c:pt>
                <c:pt idx="28">
                  <c:v>1813.00924207163</c:v>
                </c:pt>
                <c:pt idx="29">
                  <c:v>1801.39135498501</c:v>
                </c:pt>
                <c:pt idx="30">
                  <c:v>1790.87905603051</c:v>
                </c:pt>
                <c:pt idx="31">
                  <c:v>1781.3671345869</c:v>
                </c:pt>
                <c:pt idx="32">
                  <c:v>1772.76039214731</c:v>
                </c:pt>
                <c:pt idx="33">
                  <c:v>1764.97268954056</c:v>
                </c:pt>
                <c:pt idx="34">
                  <c:v>1757.92608482145</c:v>
                </c:pt>
                <c:pt idx="35">
                  <c:v>1751.55005320148</c:v>
                </c:pt>
                <c:pt idx="36">
                  <c:v>1745.78078121315</c:v>
                </c:pt>
                <c:pt idx="37">
                  <c:v>1740.56052804329</c:v>
                </c:pt>
                <c:pt idx="38">
                  <c:v>1735.83704764358</c:v>
                </c:pt>
                <c:pt idx="39">
                  <c:v>1731.56306583456</c:v>
                </c:pt>
                <c:pt idx="40">
                  <c:v>1727.69580716975</c:v>
                </c:pt>
                <c:pt idx="41">
                  <c:v>1724.19656682461</c:v>
                </c:pt>
                <c:pt idx="42">
                  <c:v>1721.03032322562</c:v>
                </c:pt>
                <c:pt idx="43">
                  <c:v>1718.16538754264</c:v>
                </c:pt>
                <c:pt idx="44">
                  <c:v>1715.57308653642</c:v>
                </c:pt>
                <c:pt idx="45">
                  <c:v>1713.22747558718</c:v>
                </c:pt>
                <c:pt idx="46">
                  <c:v>1711.10507903214</c:v>
                </c:pt>
                <c:pt idx="47">
                  <c:v>1709.18465521324</c:v>
                </c:pt>
                <c:pt idx="48">
                  <c:v>1707.44698388341</c:v>
                </c:pt>
                <c:pt idx="49">
                  <c:v>1705.87467384393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'S-Toll (All-Tax)'!$V$1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333399"/>
            </a:solidFill>
            <a:ln w="37800">
              <a:solidFill>
                <a:srgbClr val="3333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'S-Toll (All-Tax)'!$S$2:$S$51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'S-Toll (All-Tax)'!$V$2:$V$51</c:f>
              <c:numCache>
                <c:formatCode>0</c:formatCode>
                <c:ptCount val="50"/>
                <c:pt idx="0">
                  <c:v>-420.901311860438</c:v>
                </c:pt>
                <c:pt idx="1">
                  <c:v>-885.035811291938</c:v>
                </c:pt>
                <c:pt idx="2">
                  <c:v>-387.427092361309</c:v>
                </c:pt>
                <c:pt idx="3">
                  <c:v>5.93163654139221</c:v>
                </c:pt>
                <c:pt idx="4">
                  <c:v>313.914367049605</c:v>
                </c:pt>
                <c:pt idx="5">
                  <c:v>551.990656477844</c:v>
                </c:pt>
                <c:pt idx="6">
                  <c:v>732.860567401417</c:v>
                </c:pt>
                <c:pt idx="7">
                  <c:v>866.967195089952</c:v>
                </c:pt>
                <c:pt idx="8">
                  <c:v>962.91088752916</c:v>
                </c:pt>
                <c:pt idx="9">
                  <c:v>1027.78447110093</c:v>
                </c:pt>
                <c:pt idx="10">
                  <c:v>1067.44495739653</c:v>
                </c:pt>
                <c:pt idx="11">
                  <c:v>1086.7341336475</c:v>
                </c:pt>
                <c:pt idx="12">
                  <c:v>1089.6579788622</c:v>
                </c:pt>
                <c:pt idx="13">
                  <c:v>1079.53287802993</c:v>
                </c:pt>
                <c:pt idx="14">
                  <c:v>1059.1050299373</c:v>
                </c:pt>
                <c:pt idx="15">
                  <c:v>1030.64818187488</c:v>
                </c:pt>
                <c:pt idx="16">
                  <c:v>996.043814002573</c:v>
                </c:pt>
                <c:pt idx="17">
                  <c:v>956.847087094383</c:v>
                </c:pt>
                <c:pt idx="18">
                  <c:v>914.341219515623</c:v>
                </c:pt>
                <c:pt idx="19">
                  <c:v>869.582440354683</c:v>
                </c:pt>
                <c:pt idx="20">
                  <c:v>823.43724982985</c:v>
                </c:pt>
                <c:pt idx="21">
                  <c:v>776.613384772444</c:v>
                </c:pt>
                <c:pt idx="22">
                  <c:v>729.685619635579</c:v>
                </c:pt>
                <c:pt idx="23">
                  <c:v>683.117318886996</c:v>
                </c:pt>
                <c:pt idx="24">
                  <c:v>637.27848425645</c:v>
                </c:pt>
                <c:pt idx="25">
                  <c:v>592.460901684118</c:v>
                </c:pt>
                <c:pt idx="26">
                  <c:v>548.890881212134</c:v>
                </c:pt>
                <c:pt idx="27">
                  <c:v>506.739993087743</c:v>
                </c:pt>
                <c:pt idx="28">
                  <c:v>466.134130698069</c:v>
                </c:pt>
                <c:pt idx="29">
                  <c:v>427.161172193021</c:v>
                </c:pt>
                <c:pt idx="30">
                  <c:v>389.877465026015</c:v>
                </c:pt>
                <c:pt idx="31">
                  <c:v>354.313318955881</c:v>
                </c:pt>
                <c:pt idx="32">
                  <c:v>320.477661552239</c:v>
                </c:pt>
                <c:pt idx="33">
                  <c:v>288.361984527832</c:v>
                </c:pt>
                <c:pt idx="34">
                  <c:v>257.94368816263</c:v>
                </c:pt>
                <c:pt idx="35">
                  <c:v>229.188913788035</c:v>
                </c:pt>
                <c:pt idx="36">
                  <c:v>202.054940046452</c:v>
                </c:pt>
                <c:pt idx="37">
                  <c:v>176.492206855667</c:v>
                </c:pt>
                <c:pt idx="38">
                  <c:v>152.446021226838</c:v>
                </c:pt>
                <c:pt idx="39">
                  <c:v>129.857990938292</c:v>
                </c:pt>
                <c:pt idx="40">
                  <c:v>108.6672252563</c:v>
                </c:pt>
                <c:pt idx="41">
                  <c:v>88.8113361781158</c:v>
                </c:pt>
                <c:pt idx="42">
                  <c:v>70.2272688577203</c:v>
                </c:pt>
                <c:pt idx="43">
                  <c:v>52.8519858039732</c:v>
                </c:pt>
                <c:pt idx="44">
                  <c:v>36.6230259869631</c:v>
                </c:pt>
                <c:pt idx="45">
                  <c:v>21.4789570477303</c:v>
                </c:pt>
                <c:pt idx="46">
                  <c:v>7.35973629488976</c:v>
                </c:pt>
                <c:pt idx="47">
                  <c:v>-5.79300598008908</c:v>
                </c:pt>
                <c:pt idx="48">
                  <c:v>-18.0357491857624</c:v>
                </c:pt>
                <c:pt idx="49">
                  <c:v>-29.4229210206686</c:v>
                </c:pt>
              </c:numCache>
            </c:numRef>
          </c:yVal>
          <c:smooth val="1"/>
        </c:ser>
        <c:axId val="22600097"/>
        <c:axId val="60593510"/>
      </c:scatterChart>
      <c:valAx>
        <c:axId val="22600097"/>
        <c:scaling>
          <c:orientation val="minMax"/>
          <c:max val="2.5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0593510"/>
        <c:crossesAt val="0"/>
        <c:crossBetween val="midCat"/>
      </c:valAx>
      <c:valAx>
        <c:axId val="6059351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(W,  U, ∏)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2600097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42881628837064"/>
          <c:y val="0.397371850564726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Welfare vs. Tolls (All-Toll Environment)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5990146782467"/>
          <c:y val="0.162333854573886"/>
          <c:w val="0.792625323784855"/>
          <c:h val="0.703283815480844"/>
        </c:manualLayout>
      </c:layout>
      <c:scatterChart>
        <c:scatterStyle val="line"/>
        <c:varyColors val="0"/>
        <c:ser>
          <c:idx val="0"/>
          <c:order val="0"/>
          <c:tx>
            <c:strRef>
              <c:f>'S-Toll(All-Toll)'!$T$1</c:f>
              <c:strCache>
                <c:ptCount val="1"/>
                <c:pt idx="0">
                  <c:v>Welfare</c:v>
                </c:pt>
              </c:strCache>
            </c:strRef>
          </c:tx>
          <c:spPr>
            <a:solidFill>
              <a:srgbClr val="000080">
                <a:alpha val="50000"/>
              </a:srgbClr>
            </a:solidFill>
            <a:ln w="0">
              <a:solidFill>
                <a:srgbClr val="000080">
                  <a:alpha val="50000"/>
                </a:srgbClr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'S-Toll(All-Toll)'!$S$2:$S$51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'S-Toll(All-Toll)'!$T$2:$T$51</c:f>
              <c:numCache>
                <c:formatCode>0</c:formatCode>
                <c:ptCount val="50"/>
                <c:pt idx="0">
                  <c:v>2309.35809324044</c:v>
                </c:pt>
                <c:pt idx="1">
                  <c:v>2069.06764267771</c:v>
                </c:pt>
                <c:pt idx="2">
                  <c:v>2188.3152208911</c:v>
                </c:pt>
                <c:pt idx="3">
                  <c:v>2276.56500482107</c:v>
                </c:pt>
                <c:pt idx="4">
                  <c:v>2339.37609023363</c:v>
                </c:pt>
                <c:pt idx="5">
                  <c:v>2381.37224377935</c:v>
                </c:pt>
                <c:pt idx="6">
                  <c:v>2406.4025671229</c:v>
                </c:pt>
                <c:pt idx="7">
                  <c:v>2417.6732845724</c:v>
                </c:pt>
                <c:pt idx="8">
                  <c:v>2417.85606494604</c:v>
                </c:pt>
                <c:pt idx="9">
                  <c:v>2409.1772459184</c:v>
                </c:pt>
                <c:pt idx="10">
                  <c:v>2393.49149040778</c:v>
                </c:pt>
                <c:pt idx="11">
                  <c:v>2372.34272963365</c:v>
                </c:pt>
                <c:pt idx="12">
                  <c:v>2347.01470410673</c:v>
                </c:pt>
                <c:pt idx="13">
                  <c:v>2318.57297615423</c:v>
                </c:pt>
                <c:pt idx="14">
                  <c:v>2287.89993486611</c:v>
                </c:pt>
                <c:pt idx="15">
                  <c:v>2255.72402989378</c:v>
                </c:pt>
                <c:pt idx="16">
                  <c:v>2222.64424095156</c:v>
                </c:pt>
                <c:pt idx="17">
                  <c:v>2189.15060440714</c:v>
                </c:pt>
                <c:pt idx="18">
                  <c:v>2155.64146836852</c:v>
                </c:pt>
                <c:pt idx="19">
                  <c:v>2122.43802624773</c:v>
                </c:pt>
                <c:pt idx="20">
                  <c:v>2089.79658034025</c:v>
                </c:pt>
                <c:pt idx="21">
                  <c:v>2057.91890703355</c:v>
                </c:pt>
                <c:pt idx="22">
                  <c:v>2026.96103025878</c:v>
                </c:pt>
                <c:pt idx="23">
                  <c:v>1997.04065684271</c:v>
                </c:pt>
                <c:pt idx="24">
                  <c:v>1968.24348418537</c:v>
                </c:pt>
                <c:pt idx="25">
                  <c:v>1940.62855532037</c:v>
                </c:pt>
                <c:pt idx="26">
                  <c:v>1914.23280741175</c:v>
                </c:pt>
                <c:pt idx="27">
                  <c:v>1889.0749358985</c:v>
                </c:pt>
                <c:pt idx="28">
                  <c:v>1865.15867684555</c:v>
                </c:pt>
                <c:pt idx="29">
                  <c:v>1842.47559381641</c:v>
                </c:pt>
                <c:pt idx="30">
                  <c:v>1821.00744211738</c:v>
                </c:pt>
                <c:pt idx="31">
                  <c:v>1800.72817206757</c:v>
                </c:pt>
                <c:pt idx="32">
                  <c:v>1781.60562361147</c:v>
                </c:pt>
                <c:pt idx="33">
                  <c:v>1763.60295677847</c:v>
                </c:pt>
                <c:pt idx="34">
                  <c:v>1746.67985593719</c:v>
                </c:pt>
                <c:pt idx="35">
                  <c:v>1730.79354027195</c:v>
                </c:pt>
                <c:pt idx="36">
                  <c:v>1715.89960824637</c:v>
                </c:pt>
                <c:pt idx="37">
                  <c:v>1701.95273986922</c:v>
                </c:pt>
                <c:pt idx="38">
                  <c:v>1688.90727722203</c:v>
                </c:pt>
                <c:pt idx="39">
                  <c:v>1676.71770084805</c:v>
                </c:pt>
                <c:pt idx="40">
                  <c:v>1665.33901715978</c:v>
                </c:pt>
                <c:pt idx="41">
                  <c:v>1654.72706992941</c:v>
                </c:pt>
                <c:pt idx="42">
                  <c:v>1644.83878713043</c:v>
                </c:pt>
                <c:pt idx="43">
                  <c:v>1635.6323728535</c:v>
                </c:pt>
                <c:pt idx="44">
                  <c:v>1627.06745268713</c:v>
                </c:pt>
                <c:pt idx="45">
                  <c:v>1619.10517980398</c:v>
                </c:pt>
                <c:pt idx="46">
                  <c:v>1611.70830799881</c:v>
                </c:pt>
                <c:pt idx="47">
                  <c:v>1604.84123706295</c:v>
                </c:pt>
                <c:pt idx="48">
                  <c:v>1598.47003513416</c:v>
                </c:pt>
                <c:pt idx="49">
                  <c:v>1592.5624420128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'S-Toll(All-Toll)'!$U$1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'S-Toll(All-Toll)'!$S$2:$S$51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'S-Toll(All-Toll)'!$U$2:$U$51</c:f>
              <c:numCache>
                <c:formatCode>0</c:formatCode>
                <c:ptCount val="50"/>
                <c:pt idx="0">
                  <c:v>2521.23724443199</c:v>
                </c:pt>
                <c:pt idx="1">
                  <c:v>2521.23724443199</c:v>
                </c:pt>
                <c:pt idx="2">
                  <c:v>2442.22255202152</c:v>
                </c:pt>
                <c:pt idx="3">
                  <c:v>2370.72710175393</c:v>
                </c:pt>
                <c:pt idx="4">
                  <c:v>2306.03534313247</c:v>
                </c:pt>
                <c:pt idx="5">
                  <c:v>2247.49981929324</c:v>
                </c:pt>
                <c:pt idx="6">
                  <c:v>2194.53468703916</c:v>
                </c:pt>
                <c:pt idx="7">
                  <c:v>2146.60985352444</c:v>
                </c:pt>
                <c:pt idx="8">
                  <c:v>2103.24567090718</c:v>
                </c:pt>
                <c:pt idx="9">
                  <c:v>2064.00813587255</c:v>
                </c:pt>
                <c:pt idx="10">
                  <c:v>2028.50454598171</c:v>
                </c:pt>
                <c:pt idx="11">
                  <c:v>1996.37956937387</c:v>
                </c:pt>
                <c:pt idx="12">
                  <c:v>1967.31168848558</c:v>
                </c:pt>
                <c:pt idx="13">
                  <c:v>1941.00998219483</c:v>
                </c:pt>
                <c:pt idx="14">
                  <c:v>1917.21121418477</c:v>
                </c:pt>
                <c:pt idx="15">
                  <c:v>1895.67719838612</c:v>
                </c:pt>
                <c:pt idx="16">
                  <c:v>1876.19241513092</c:v>
                </c:pt>
                <c:pt idx="17">
                  <c:v>1858.56185415929</c:v>
                </c:pt>
                <c:pt idx="18">
                  <c:v>1842.6090628912</c:v>
                </c:pt>
                <c:pt idx="19">
                  <c:v>1828.17438042971</c:v>
                </c:pt>
                <c:pt idx="20">
                  <c:v>1815.11333962109</c:v>
                </c:pt>
                <c:pt idx="21">
                  <c:v>1803.29522117895</c:v>
                </c:pt>
                <c:pt idx="22">
                  <c:v>1792.60174540172</c:v>
                </c:pt>
                <c:pt idx="23">
                  <c:v>1782.92588838963</c:v>
                </c:pt>
                <c:pt idx="24">
                  <c:v>1774.17081091352</c:v>
                </c:pt>
                <c:pt idx="25">
                  <c:v>1766.24888921533</c:v>
                </c:pt>
                <c:pt idx="26">
                  <c:v>1759.08083804006</c:v>
                </c:pt>
                <c:pt idx="27">
                  <c:v>1752.59491712228</c:v>
                </c:pt>
                <c:pt idx="28">
                  <c:v>1746.72621318545</c:v>
                </c:pt>
                <c:pt idx="29">
                  <c:v>1741.41599026803</c:v>
                </c:pt>
                <c:pt idx="30">
                  <c:v>1736.61110187424</c:v>
                </c:pt>
                <c:pt idx="31">
                  <c:v>1732.26345906605</c:v>
                </c:pt>
                <c:pt idx="32">
                  <c:v>1728.32954917294</c:v>
                </c:pt>
                <c:pt idx="33">
                  <c:v>1724.77000030248</c:v>
                </c:pt>
                <c:pt idx="34">
                  <c:v>1721.54918729316</c:v>
                </c:pt>
                <c:pt idx="35">
                  <c:v>1718.63487516582</c:v>
                </c:pt>
                <c:pt idx="36">
                  <c:v>1715.99789650518</c:v>
                </c:pt>
                <c:pt idx="37">
                  <c:v>1713.61185954246</c:v>
                </c:pt>
                <c:pt idx="38">
                  <c:v>1711.45288401778</c:v>
                </c:pt>
                <c:pt idx="39">
                  <c:v>1709.49936217842</c:v>
                </c:pt>
                <c:pt idx="40">
                  <c:v>1707.73174252122</c:v>
                </c:pt>
                <c:pt idx="41">
                  <c:v>1706.13233411453</c:v>
                </c:pt>
                <c:pt idx="42">
                  <c:v>1704.68512954144</c:v>
                </c:pt>
                <c:pt idx="43">
                  <c:v>1703.37564469215</c:v>
                </c:pt>
                <c:pt idx="44">
                  <c:v>1702.19077380216</c:v>
                </c:pt>
                <c:pt idx="45">
                  <c:v>1701.11865828536</c:v>
                </c:pt>
                <c:pt idx="46">
                  <c:v>1700.1485680493</c:v>
                </c:pt>
                <c:pt idx="47">
                  <c:v>1699.27079410484</c:v>
                </c:pt>
                <c:pt idx="48">
                  <c:v>1698.47655139532</c:v>
                </c:pt>
                <c:pt idx="49">
                  <c:v>1697.75789087274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'S-Toll(All-Toll)'!$V$1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333399"/>
            </a:solidFill>
            <a:ln w="37800">
              <a:solidFill>
                <a:srgbClr val="333399"/>
              </a:solidFill>
              <a:custDash>
                <a:ds d="101905" sp="101905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  <a:custDash>
                    <a:ds d="101905" sp="101905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'S-Toll(All-Toll)'!$S$2:$S$51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'S-Toll(All-Toll)'!$V$2:$V$51</c:f>
              <c:numCache>
                <c:formatCode>0</c:formatCode>
                <c:ptCount val="50"/>
                <c:pt idx="0">
                  <c:v>-211.879151191554</c:v>
                </c:pt>
                <c:pt idx="1">
                  <c:v>-452.169601754279</c:v>
                </c:pt>
                <c:pt idx="2">
                  <c:v>-253.907331130423</c:v>
                </c:pt>
                <c:pt idx="3">
                  <c:v>-94.1620969328527</c:v>
                </c:pt>
                <c:pt idx="4">
                  <c:v>33.3407471011517</c:v>
                </c:pt>
                <c:pt idx="5">
                  <c:v>133.872424486119</c:v>
                </c:pt>
                <c:pt idx="6">
                  <c:v>211.867880083742</c:v>
                </c:pt>
                <c:pt idx="7">
                  <c:v>271.063431047962</c:v>
                </c:pt>
                <c:pt idx="8">
                  <c:v>314.610394038853</c:v>
                </c:pt>
                <c:pt idx="9">
                  <c:v>345.169110045858</c:v>
                </c:pt>
                <c:pt idx="10">
                  <c:v>364.986944426068</c:v>
                </c:pt>
                <c:pt idx="11">
                  <c:v>375.963160259777</c:v>
                </c:pt>
                <c:pt idx="12">
                  <c:v>379.703015621149</c:v>
                </c:pt>
                <c:pt idx="13">
                  <c:v>377.562993959401</c:v>
                </c:pt>
                <c:pt idx="14">
                  <c:v>370.688720681333</c:v>
                </c:pt>
                <c:pt idx="15">
                  <c:v>360.04683150766</c:v>
                </c:pt>
                <c:pt idx="16">
                  <c:v>346.451825820644</c:v>
                </c:pt>
                <c:pt idx="17">
                  <c:v>330.588750247853</c:v>
                </c:pt>
                <c:pt idx="18">
                  <c:v>313.032405477327</c:v>
                </c:pt>
                <c:pt idx="19">
                  <c:v>294.263645818027</c:v>
                </c:pt>
                <c:pt idx="20">
                  <c:v>274.683240719168</c:v>
                </c:pt>
                <c:pt idx="21">
                  <c:v>254.623685854598</c:v>
                </c:pt>
                <c:pt idx="22">
                  <c:v>234.35928485705</c:v>
                </c:pt>
                <c:pt idx="23">
                  <c:v>214.114768453076</c:v>
                </c:pt>
                <c:pt idx="24">
                  <c:v>194.072673271846</c:v>
                </c:pt>
                <c:pt idx="25">
                  <c:v>174.379666105032</c:v>
                </c:pt>
                <c:pt idx="26">
                  <c:v>155.151969371681</c:v>
                </c:pt>
                <c:pt idx="27">
                  <c:v>136.480018776214</c:v>
                </c:pt>
                <c:pt idx="28">
                  <c:v>118.4324636601</c:v>
                </c:pt>
                <c:pt idx="29">
                  <c:v>101.05960354838</c:v>
                </c:pt>
                <c:pt idx="30">
                  <c:v>84.3963402431369</c:v>
                </c:pt>
                <c:pt idx="31">
                  <c:v>68.4647130015196</c:v>
                </c:pt>
                <c:pt idx="32">
                  <c:v>53.2760744385278</c:v>
                </c:pt>
                <c:pt idx="33">
                  <c:v>38.8329564759915</c:v>
                </c:pt>
                <c:pt idx="34">
                  <c:v>25.1306686440337</c:v>
                </c:pt>
                <c:pt idx="35">
                  <c:v>12.1586651061306</c:v>
                </c:pt>
                <c:pt idx="36">
                  <c:v>-0.0982882588076279</c:v>
                </c:pt>
                <c:pt idx="37">
                  <c:v>-11.6591196732375</c:v>
                </c:pt>
                <c:pt idx="38">
                  <c:v>-22.5456067957531</c:v>
                </c:pt>
                <c:pt idx="39">
                  <c:v>-32.7816613303767</c:v>
                </c:pt>
                <c:pt idx="40">
                  <c:v>-42.3927253614392</c:v>
                </c:pt>
                <c:pt idx="41">
                  <c:v>-51.4052641851259</c:v>
                </c:pt>
                <c:pt idx="42">
                  <c:v>-59.8463424110105</c:v>
                </c:pt>
                <c:pt idx="43">
                  <c:v>-67.7432718386517</c:v>
                </c:pt>
                <c:pt idx="44">
                  <c:v>-75.1233211150332</c:v>
                </c:pt>
                <c:pt idx="45">
                  <c:v>-82.013478481376</c:v>
                </c:pt>
                <c:pt idx="46">
                  <c:v>-88.4402600504929</c:v>
                </c:pt>
                <c:pt idx="47">
                  <c:v>-94.429557041887</c:v>
                </c:pt>
                <c:pt idx="48">
                  <c:v>-100.00651626116</c:v>
                </c:pt>
                <c:pt idx="49">
                  <c:v>-105.195448859945</c:v>
                </c:pt>
              </c:numCache>
            </c:numRef>
          </c:yVal>
          <c:smooth val="1"/>
        </c:ser>
        <c:axId val="20270742"/>
        <c:axId val="55822183"/>
      </c:scatterChart>
      <c:valAx>
        <c:axId val="20270742"/>
        <c:scaling>
          <c:orientation val="minMax"/>
          <c:max val="2.5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5822183"/>
        <c:crossesAt val="0"/>
        <c:crossBetween val="midCat"/>
      </c:valAx>
      <c:valAx>
        <c:axId val="55822183"/>
        <c:scaling>
          <c:orientation val="minMax"/>
          <c:max val="4000"/>
          <c:min val="-10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(W, U, ∏)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0270742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46462491746661"/>
          <c:y val="0.43100078186082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Welfare v.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Toll, All-Tax Environment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3352710361866"/>
          <c:y val="0.100287384798335"/>
          <c:w val="0.940076539262704"/>
          <c:h val="0.654246358140918"/>
        </c:manualLayout>
      </c:layout>
      <c:scatterChart>
        <c:scatterStyle val="line"/>
        <c:varyColors val="0"/>
        <c:ser>
          <c:idx val="0"/>
          <c:order val="0"/>
          <c:tx>
            <c:strRef>
              <c:f>'S-Wcompare'!$B$2</c:f>
              <c:strCache>
                <c:ptCount val="1"/>
                <c:pt idx="0">
                  <c:v>Welfare-Tax Environment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'S-Wcompare'!$B$3:$B$52</c:f>
              <c:numCache>
                <c:formatCode>0</c:formatCode>
                <c:ptCount val="50"/>
                <c:pt idx="0">
                  <c:v>3086.60962030988</c:v>
                </c:pt>
                <c:pt idx="1">
                  <c:v>2622.47512087838</c:v>
                </c:pt>
                <c:pt idx="2">
                  <c:v>2947.21279675016</c:v>
                </c:pt>
                <c:pt idx="3">
                  <c:v>3184.15133739831</c:v>
                </c:pt>
                <c:pt idx="4">
                  <c:v>3350.59922863758</c:v>
                </c:pt>
                <c:pt idx="5">
                  <c:v>3460.60949953957</c:v>
                </c:pt>
                <c:pt idx="6">
                  <c:v>3525.60048492171</c:v>
                </c:pt>
                <c:pt idx="7">
                  <c:v>3554.85552481855</c:v>
                </c:pt>
                <c:pt idx="8">
                  <c:v>3555.92557728335</c:v>
                </c:pt>
                <c:pt idx="9">
                  <c:v>3534.95394142101</c:v>
                </c:pt>
                <c:pt idx="10">
                  <c:v>3496.93846101311</c:v>
                </c:pt>
                <c:pt idx="11">
                  <c:v>3445.94351610864</c:v>
                </c:pt>
                <c:pt idx="12">
                  <c:v>3385.27165860813</c:v>
                </c:pt>
                <c:pt idx="13">
                  <c:v>3317.60278633284</c:v>
                </c:pt>
                <c:pt idx="14">
                  <c:v>3245.10718066367</c:v>
                </c:pt>
                <c:pt idx="15">
                  <c:v>3169.53747727276</c:v>
                </c:pt>
                <c:pt idx="16">
                  <c:v>3092.30363502872</c:v>
                </c:pt>
                <c:pt idx="17">
                  <c:v>3014.53416459779</c:v>
                </c:pt>
                <c:pt idx="18">
                  <c:v>2937.12623536334</c:v>
                </c:pt>
                <c:pt idx="19">
                  <c:v>2860.78676484974</c:v>
                </c:pt>
                <c:pt idx="20">
                  <c:v>2786.06618310157</c:v>
                </c:pt>
                <c:pt idx="21">
                  <c:v>2713.38623483028</c:v>
                </c:pt>
                <c:pt idx="22">
                  <c:v>2643.06291811764</c:v>
                </c:pt>
                <c:pt idx="23">
                  <c:v>2575.3254468877</c:v>
                </c:pt>
                <c:pt idx="24">
                  <c:v>2510.33195469684</c:v>
                </c:pt>
                <c:pt idx="25">
                  <c:v>2448.18252123427</c:v>
                </c:pt>
                <c:pt idx="26">
                  <c:v>2388.92999355299</c:v>
                </c:pt>
                <c:pt idx="27">
                  <c:v>2332.588986097</c:v>
                </c:pt>
                <c:pt idx="28">
                  <c:v>2279.1433727697</c:v>
                </c:pt>
                <c:pt idx="29">
                  <c:v>2228.55252717803</c:v>
                </c:pt>
                <c:pt idx="30">
                  <c:v>2180.75652105652</c:v>
                </c:pt>
                <c:pt idx="31">
                  <c:v>2135.68045354278</c:v>
                </c:pt>
                <c:pt idx="32">
                  <c:v>2093.23805369955</c:v>
                </c:pt>
                <c:pt idx="33">
                  <c:v>2053.3346740684</c:v>
                </c:pt>
                <c:pt idx="34">
                  <c:v>2015.86977298408</c:v>
                </c:pt>
                <c:pt idx="35">
                  <c:v>1980.73896698952</c:v>
                </c:pt>
                <c:pt idx="36">
                  <c:v>1947.83572125961</c:v>
                </c:pt>
                <c:pt idx="37">
                  <c:v>1917.05273489896</c:v>
                </c:pt>
                <c:pt idx="38">
                  <c:v>1888.28306887041</c:v>
                </c:pt>
                <c:pt idx="39">
                  <c:v>1861.42105677285</c:v>
                </c:pt>
                <c:pt idx="40">
                  <c:v>1836.36303242605</c:v>
                </c:pt>
                <c:pt idx="41">
                  <c:v>1813.00790300272</c:v>
                </c:pt>
                <c:pt idx="42">
                  <c:v>1791.25759208334</c:v>
                </c:pt>
                <c:pt idx="43">
                  <c:v>1771.01737334662</c:v>
                </c:pt>
                <c:pt idx="44">
                  <c:v>1752.19611252338</c:v>
                </c:pt>
                <c:pt idx="45">
                  <c:v>1734.70643263491</c:v>
                </c:pt>
                <c:pt idx="46">
                  <c:v>1718.46481532703</c:v>
                </c:pt>
                <c:pt idx="47">
                  <c:v>1703.39164923315</c:v>
                </c:pt>
                <c:pt idx="48">
                  <c:v>1689.41123469765</c:v>
                </c:pt>
                <c:pt idx="49">
                  <c:v>1676.45175282326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'S-Wcompare'!$C$2</c:f>
              <c:strCache>
                <c:ptCount val="1"/>
                <c:pt idx="0">
                  <c:v>Consumers' Surplus-Tax Environment</c:v>
                </c:pt>
              </c:strCache>
            </c:strRef>
          </c:tx>
          <c:spPr>
            <a:solidFill>
              <a:srgbClr val="FF00FF">
                <a:alpha val="25000"/>
              </a:srgbClr>
            </a:solidFill>
            <a:ln w="37800">
              <a:solidFill>
                <a:srgbClr val="FF00FF">
                  <a:alpha val="2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'S-Wcompare'!$C$3:$C$52</c:f>
              <c:numCache>
                <c:formatCode>0</c:formatCode>
                <c:ptCount val="50"/>
                <c:pt idx="0">
                  <c:v>3507.51093217031</c:v>
                </c:pt>
                <c:pt idx="1">
                  <c:v>3507.51093217031</c:v>
                </c:pt>
                <c:pt idx="2">
                  <c:v>3334.63988911147</c:v>
                </c:pt>
                <c:pt idx="3">
                  <c:v>3178.21970085692</c:v>
                </c:pt>
                <c:pt idx="4">
                  <c:v>3036.68486158797</c:v>
                </c:pt>
                <c:pt idx="5">
                  <c:v>2908.61884306173</c:v>
                </c:pt>
                <c:pt idx="6">
                  <c:v>2792.73991752029</c:v>
                </c:pt>
                <c:pt idx="7">
                  <c:v>2687.8883297286</c:v>
                </c:pt>
                <c:pt idx="8">
                  <c:v>2593.01468975419</c:v>
                </c:pt>
                <c:pt idx="9">
                  <c:v>2507.16947032008</c:v>
                </c:pt>
                <c:pt idx="10">
                  <c:v>2429.49350361658</c:v>
                </c:pt>
                <c:pt idx="11">
                  <c:v>2359.20938246114</c:v>
                </c:pt>
                <c:pt idx="12">
                  <c:v>2295.61367974593</c:v>
                </c:pt>
                <c:pt idx="13">
                  <c:v>2238.06990830292</c:v>
                </c:pt>
                <c:pt idx="14">
                  <c:v>2186.00215072637</c:v>
                </c:pt>
                <c:pt idx="15">
                  <c:v>2138.88929539788</c:v>
                </c:pt>
                <c:pt idx="16">
                  <c:v>2096.25982102615</c:v>
                </c:pt>
                <c:pt idx="17">
                  <c:v>2057.6870775034</c:v>
                </c:pt>
                <c:pt idx="18">
                  <c:v>2022.78501584772</c:v>
                </c:pt>
                <c:pt idx="19">
                  <c:v>1991.20432449506</c:v>
                </c:pt>
                <c:pt idx="20">
                  <c:v>1962.62893327172</c:v>
                </c:pt>
                <c:pt idx="21">
                  <c:v>1936.77285005783</c:v>
                </c:pt>
                <c:pt idx="22">
                  <c:v>1913.37729848206</c:v>
                </c:pt>
                <c:pt idx="23">
                  <c:v>1892.2081280007</c:v>
                </c:pt>
                <c:pt idx="24">
                  <c:v>1873.05347044039</c:v>
                </c:pt>
                <c:pt idx="25">
                  <c:v>1855.72161955016</c:v>
                </c:pt>
                <c:pt idx="26">
                  <c:v>1840.03911234085</c:v>
                </c:pt>
                <c:pt idx="27">
                  <c:v>1825.84899300925</c:v>
                </c:pt>
                <c:pt idx="28">
                  <c:v>1813.00924207163</c:v>
                </c:pt>
                <c:pt idx="29">
                  <c:v>1801.39135498501</c:v>
                </c:pt>
                <c:pt idx="30">
                  <c:v>1790.87905603051</c:v>
                </c:pt>
                <c:pt idx="31">
                  <c:v>1781.3671345869</c:v>
                </c:pt>
                <c:pt idx="32">
                  <c:v>1772.76039214731</c:v>
                </c:pt>
                <c:pt idx="33">
                  <c:v>1764.97268954056</c:v>
                </c:pt>
                <c:pt idx="34">
                  <c:v>1757.92608482145</c:v>
                </c:pt>
                <c:pt idx="35">
                  <c:v>1751.55005320148</c:v>
                </c:pt>
                <c:pt idx="36">
                  <c:v>1745.78078121315</c:v>
                </c:pt>
                <c:pt idx="37">
                  <c:v>1740.56052804329</c:v>
                </c:pt>
                <c:pt idx="38">
                  <c:v>1735.83704764358</c:v>
                </c:pt>
                <c:pt idx="39">
                  <c:v>1731.56306583456</c:v>
                </c:pt>
                <c:pt idx="40">
                  <c:v>1727.69580716975</c:v>
                </c:pt>
                <c:pt idx="41">
                  <c:v>1724.19656682461</c:v>
                </c:pt>
                <c:pt idx="42">
                  <c:v>1721.03032322562</c:v>
                </c:pt>
                <c:pt idx="43">
                  <c:v>1718.16538754264</c:v>
                </c:pt>
                <c:pt idx="44">
                  <c:v>1715.57308653642</c:v>
                </c:pt>
                <c:pt idx="45">
                  <c:v>1713.22747558718</c:v>
                </c:pt>
                <c:pt idx="46">
                  <c:v>1711.10507903214</c:v>
                </c:pt>
                <c:pt idx="47">
                  <c:v>1709.18465521324</c:v>
                </c:pt>
                <c:pt idx="48">
                  <c:v>1707.44698388341</c:v>
                </c:pt>
                <c:pt idx="49">
                  <c:v>1705.87467384393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'S-Wcompare'!$D$2</c:f>
              <c:strCache>
                <c:ptCount val="1"/>
                <c:pt idx="0">
                  <c:v>Profit-Tax Environment</c:v>
                </c:pt>
              </c:strCache>
            </c:strRef>
          </c:tx>
          <c:spPr>
            <a:solidFill>
              <a:srgbClr val="1FB714"/>
            </a:solidFill>
            <a:ln w="37800">
              <a:solidFill>
                <a:srgbClr val="1FB714"/>
              </a:solidFill>
              <a:custDash>
                <a:ds d="101905" sp="101905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  <a:custDash>
                    <a:ds d="101905" sp="101905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'S-Wcompare'!$D$3:$D$52</c:f>
              <c:numCache>
                <c:formatCode>0</c:formatCode>
                <c:ptCount val="50"/>
                <c:pt idx="0">
                  <c:v>-420.901311860438</c:v>
                </c:pt>
                <c:pt idx="1">
                  <c:v>-885.035811291938</c:v>
                </c:pt>
                <c:pt idx="2">
                  <c:v>-387.427092361309</c:v>
                </c:pt>
                <c:pt idx="3">
                  <c:v>5.93163654139221</c:v>
                </c:pt>
                <c:pt idx="4">
                  <c:v>313.914367049605</c:v>
                </c:pt>
                <c:pt idx="5">
                  <c:v>551.990656477844</c:v>
                </c:pt>
                <c:pt idx="6">
                  <c:v>732.860567401417</c:v>
                </c:pt>
                <c:pt idx="7">
                  <c:v>866.967195089952</c:v>
                </c:pt>
                <c:pt idx="8">
                  <c:v>962.91088752916</c:v>
                </c:pt>
                <c:pt idx="9">
                  <c:v>1027.78447110093</c:v>
                </c:pt>
                <c:pt idx="10">
                  <c:v>1067.44495739653</c:v>
                </c:pt>
                <c:pt idx="11">
                  <c:v>1086.7341336475</c:v>
                </c:pt>
                <c:pt idx="12">
                  <c:v>1089.6579788622</c:v>
                </c:pt>
                <c:pt idx="13">
                  <c:v>1079.53287802993</c:v>
                </c:pt>
                <c:pt idx="14">
                  <c:v>1059.1050299373</c:v>
                </c:pt>
                <c:pt idx="15">
                  <c:v>1030.64818187488</c:v>
                </c:pt>
                <c:pt idx="16">
                  <c:v>996.043814002573</c:v>
                </c:pt>
                <c:pt idx="17">
                  <c:v>956.847087094383</c:v>
                </c:pt>
                <c:pt idx="18">
                  <c:v>914.341219515623</c:v>
                </c:pt>
                <c:pt idx="19">
                  <c:v>869.582440354683</c:v>
                </c:pt>
                <c:pt idx="20">
                  <c:v>823.43724982985</c:v>
                </c:pt>
                <c:pt idx="21">
                  <c:v>776.613384772444</c:v>
                </c:pt>
                <c:pt idx="22">
                  <c:v>729.685619635579</c:v>
                </c:pt>
                <c:pt idx="23">
                  <c:v>683.117318886996</c:v>
                </c:pt>
                <c:pt idx="24">
                  <c:v>637.27848425645</c:v>
                </c:pt>
                <c:pt idx="25">
                  <c:v>592.460901684118</c:v>
                </c:pt>
                <c:pt idx="26">
                  <c:v>548.890881212134</c:v>
                </c:pt>
                <c:pt idx="27">
                  <c:v>506.739993087743</c:v>
                </c:pt>
                <c:pt idx="28">
                  <c:v>466.134130698069</c:v>
                </c:pt>
                <c:pt idx="29">
                  <c:v>427.161172193021</c:v>
                </c:pt>
                <c:pt idx="30">
                  <c:v>389.877465026015</c:v>
                </c:pt>
                <c:pt idx="31">
                  <c:v>354.313318955881</c:v>
                </c:pt>
                <c:pt idx="32">
                  <c:v>320.477661552239</c:v>
                </c:pt>
                <c:pt idx="33">
                  <c:v>288.361984527832</c:v>
                </c:pt>
                <c:pt idx="34">
                  <c:v>257.94368816263</c:v>
                </c:pt>
                <c:pt idx="35">
                  <c:v>229.188913788035</c:v>
                </c:pt>
                <c:pt idx="36">
                  <c:v>202.054940046452</c:v>
                </c:pt>
                <c:pt idx="37">
                  <c:v>176.492206855667</c:v>
                </c:pt>
                <c:pt idx="38">
                  <c:v>152.446021226838</c:v>
                </c:pt>
                <c:pt idx="39">
                  <c:v>129.857990938292</c:v>
                </c:pt>
                <c:pt idx="40">
                  <c:v>108.6672252563</c:v>
                </c:pt>
                <c:pt idx="41">
                  <c:v>88.8113361781158</c:v>
                </c:pt>
                <c:pt idx="42">
                  <c:v>70.2272688577203</c:v>
                </c:pt>
                <c:pt idx="43">
                  <c:v>52.8519858039732</c:v>
                </c:pt>
                <c:pt idx="44">
                  <c:v>36.6230259869631</c:v>
                </c:pt>
                <c:pt idx="45">
                  <c:v>21.4789570477303</c:v>
                </c:pt>
                <c:pt idx="46">
                  <c:v>7.35973629488976</c:v>
                </c:pt>
                <c:pt idx="47">
                  <c:v>-5.79300598008908</c:v>
                </c:pt>
                <c:pt idx="48">
                  <c:v>-18.0357491857624</c:v>
                </c:pt>
                <c:pt idx="49">
                  <c:v>-29.4229210206686</c:v>
                </c:pt>
              </c:numCache>
            </c:numRef>
          </c:yVal>
          <c:smooth val="1"/>
        </c:ser>
        <c:axId val="15324879"/>
        <c:axId val="73115675"/>
      </c:scatterChart>
      <c:valAx>
        <c:axId val="15324879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 ($/crossing)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3115675"/>
        <c:crossesAt val="0"/>
        <c:crossBetween val="midCat"/>
      </c:valAx>
      <c:valAx>
        <c:axId val="731156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(W, U, ∏)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5324879"/>
        <c:crossesAt val="0"/>
        <c:crossBetween val="midCat"/>
      </c:valAx>
      <c:spPr>
        <a:noFill/>
        <a:ln w="0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0.0431138884852008"/>
          <c:y val="0.794866712912496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Welfare  vs.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Toll, All-Cordon Toll Environment</a:t>
            </a:r>
          </a:p>
        </c:rich>
      </c:tx>
      <c:layout>
        <c:manualLayout>
          <c:xMode val="edge"/>
          <c:yMode val="edge"/>
          <c:x val="0.177493581359299"/>
          <c:y val="0.031813676907829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3352710361866"/>
          <c:y val="0.10009910802775"/>
          <c:w val="0.938381049266095"/>
          <c:h val="0.654410307234886"/>
        </c:manualLayout>
      </c:layout>
      <c:scatterChart>
        <c:scatterStyle val="line"/>
        <c:varyColors val="0"/>
        <c:ser>
          <c:idx val="0"/>
          <c:order val="0"/>
          <c:tx>
            <c:strRef>
              <c:f>'S-Wcompare'!$E$2</c:f>
              <c:strCache>
                <c:ptCount val="1"/>
                <c:pt idx="0">
                  <c:v>Welfare-Toll Enviornment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'S-Wcompare'!$E$3:$E$52</c:f>
              <c:numCache>
                <c:formatCode>0</c:formatCode>
                <c:ptCount val="50"/>
                <c:pt idx="0">
                  <c:v>2309.35809324044</c:v>
                </c:pt>
                <c:pt idx="1">
                  <c:v>2069.06764267771</c:v>
                </c:pt>
                <c:pt idx="2">
                  <c:v>2188.3152208911</c:v>
                </c:pt>
                <c:pt idx="3">
                  <c:v>2276.56500482107</c:v>
                </c:pt>
                <c:pt idx="4">
                  <c:v>2339.37609023363</c:v>
                </c:pt>
                <c:pt idx="5">
                  <c:v>2381.37224377935</c:v>
                </c:pt>
                <c:pt idx="6">
                  <c:v>2406.4025671229</c:v>
                </c:pt>
                <c:pt idx="7">
                  <c:v>2417.6732845724</c:v>
                </c:pt>
                <c:pt idx="8">
                  <c:v>2417.85606494604</c:v>
                </c:pt>
                <c:pt idx="9">
                  <c:v>2409.1772459184</c:v>
                </c:pt>
                <c:pt idx="10">
                  <c:v>2393.49149040778</c:v>
                </c:pt>
                <c:pt idx="11">
                  <c:v>2372.34272963365</c:v>
                </c:pt>
                <c:pt idx="12">
                  <c:v>2347.01470410673</c:v>
                </c:pt>
                <c:pt idx="13">
                  <c:v>2318.57297615423</c:v>
                </c:pt>
                <c:pt idx="14">
                  <c:v>2287.89993486611</c:v>
                </c:pt>
                <c:pt idx="15">
                  <c:v>2255.72402989378</c:v>
                </c:pt>
                <c:pt idx="16">
                  <c:v>2222.64424095156</c:v>
                </c:pt>
                <c:pt idx="17">
                  <c:v>2189.15060440714</c:v>
                </c:pt>
                <c:pt idx="18">
                  <c:v>2155.64146836852</c:v>
                </c:pt>
                <c:pt idx="19">
                  <c:v>2122.43802624773</c:v>
                </c:pt>
                <c:pt idx="20">
                  <c:v>2089.79658034025</c:v>
                </c:pt>
                <c:pt idx="21">
                  <c:v>2057.91890703355</c:v>
                </c:pt>
                <c:pt idx="22">
                  <c:v>2026.96103025878</c:v>
                </c:pt>
                <c:pt idx="23">
                  <c:v>1997.04065684271</c:v>
                </c:pt>
                <c:pt idx="24">
                  <c:v>1968.24348418537</c:v>
                </c:pt>
                <c:pt idx="25">
                  <c:v>1940.62855532037</c:v>
                </c:pt>
                <c:pt idx="26">
                  <c:v>1914.23280741175</c:v>
                </c:pt>
                <c:pt idx="27">
                  <c:v>1889.0749358985</c:v>
                </c:pt>
                <c:pt idx="28">
                  <c:v>1865.15867684555</c:v>
                </c:pt>
                <c:pt idx="29">
                  <c:v>1842.47559381641</c:v>
                </c:pt>
                <c:pt idx="30">
                  <c:v>1821.00744211738</c:v>
                </c:pt>
                <c:pt idx="31">
                  <c:v>1800.72817206757</c:v>
                </c:pt>
                <c:pt idx="32">
                  <c:v>1781.60562361147</c:v>
                </c:pt>
                <c:pt idx="33">
                  <c:v>1763.60295677847</c:v>
                </c:pt>
                <c:pt idx="34">
                  <c:v>1746.67985593719</c:v>
                </c:pt>
                <c:pt idx="35">
                  <c:v>1730.79354027195</c:v>
                </c:pt>
                <c:pt idx="36">
                  <c:v>1715.89960824637</c:v>
                </c:pt>
                <c:pt idx="37">
                  <c:v>1701.95273986922</c:v>
                </c:pt>
                <c:pt idx="38">
                  <c:v>1688.90727722203</c:v>
                </c:pt>
                <c:pt idx="39">
                  <c:v>1676.71770084805</c:v>
                </c:pt>
                <c:pt idx="40">
                  <c:v>1665.33901715978</c:v>
                </c:pt>
                <c:pt idx="41">
                  <c:v>1654.72706992941</c:v>
                </c:pt>
                <c:pt idx="42">
                  <c:v>1644.83878713043</c:v>
                </c:pt>
                <c:pt idx="43">
                  <c:v>1635.6323728535</c:v>
                </c:pt>
                <c:pt idx="44">
                  <c:v>1627.06745268713</c:v>
                </c:pt>
                <c:pt idx="45">
                  <c:v>1619.10517980398</c:v>
                </c:pt>
                <c:pt idx="46">
                  <c:v>1611.70830799881</c:v>
                </c:pt>
                <c:pt idx="47">
                  <c:v>1604.84123706295</c:v>
                </c:pt>
                <c:pt idx="48">
                  <c:v>1598.47003513416</c:v>
                </c:pt>
                <c:pt idx="49">
                  <c:v>1592.5624420128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'S-Wcompare'!$F$2</c:f>
              <c:strCache>
                <c:ptCount val="1"/>
                <c:pt idx="0">
                  <c:v>Consumers' Surplus-Toll Environment</c:v>
                </c:pt>
              </c:strCache>
            </c:strRef>
          </c:tx>
          <c:spPr>
            <a:solidFill>
              <a:srgbClr val="FF00FF">
                <a:alpha val="25000"/>
              </a:srgbClr>
            </a:solidFill>
            <a:ln w="37800">
              <a:solidFill>
                <a:srgbClr val="FF00FF">
                  <a:alpha val="25000"/>
                </a:srgbClr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'S-Wcompare'!$F$3:$F$52</c:f>
              <c:numCache>
                <c:formatCode>0</c:formatCode>
                <c:ptCount val="50"/>
                <c:pt idx="0">
                  <c:v>2521.23724443199</c:v>
                </c:pt>
                <c:pt idx="1">
                  <c:v>2521.23724443199</c:v>
                </c:pt>
                <c:pt idx="2">
                  <c:v>2442.22255202152</c:v>
                </c:pt>
                <c:pt idx="3">
                  <c:v>2370.72710175393</c:v>
                </c:pt>
                <c:pt idx="4">
                  <c:v>2306.03534313247</c:v>
                </c:pt>
                <c:pt idx="5">
                  <c:v>2247.49981929324</c:v>
                </c:pt>
                <c:pt idx="6">
                  <c:v>2194.53468703916</c:v>
                </c:pt>
                <c:pt idx="7">
                  <c:v>2146.60985352444</c:v>
                </c:pt>
                <c:pt idx="8">
                  <c:v>2103.24567090718</c:v>
                </c:pt>
                <c:pt idx="9">
                  <c:v>2064.00813587255</c:v>
                </c:pt>
                <c:pt idx="10">
                  <c:v>2028.50454598171</c:v>
                </c:pt>
                <c:pt idx="11">
                  <c:v>1996.37956937387</c:v>
                </c:pt>
                <c:pt idx="12">
                  <c:v>1967.31168848558</c:v>
                </c:pt>
                <c:pt idx="13">
                  <c:v>1941.00998219483</c:v>
                </c:pt>
                <c:pt idx="14">
                  <c:v>1917.21121418477</c:v>
                </c:pt>
                <c:pt idx="15">
                  <c:v>1895.67719838612</c:v>
                </c:pt>
                <c:pt idx="16">
                  <c:v>1876.19241513092</c:v>
                </c:pt>
                <c:pt idx="17">
                  <c:v>1858.56185415929</c:v>
                </c:pt>
                <c:pt idx="18">
                  <c:v>1842.6090628912</c:v>
                </c:pt>
                <c:pt idx="19">
                  <c:v>1828.17438042971</c:v>
                </c:pt>
                <c:pt idx="20">
                  <c:v>1815.11333962109</c:v>
                </c:pt>
                <c:pt idx="21">
                  <c:v>1803.29522117895</c:v>
                </c:pt>
                <c:pt idx="22">
                  <c:v>1792.60174540172</c:v>
                </c:pt>
                <c:pt idx="23">
                  <c:v>1782.92588838963</c:v>
                </c:pt>
                <c:pt idx="24">
                  <c:v>1774.17081091352</c:v>
                </c:pt>
                <c:pt idx="25">
                  <c:v>1766.24888921533</c:v>
                </c:pt>
                <c:pt idx="26">
                  <c:v>1759.08083804006</c:v>
                </c:pt>
                <c:pt idx="27">
                  <c:v>1752.59491712228</c:v>
                </c:pt>
                <c:pt idx="28">
                  <c:v>1746.72621318545</c:v>
                </c:pt>
                <c:pt idx="29">
                  <c:v>1741.41599026803</c:v>
                </c:pt>
                <c:pt idx="30">
                  <c:v>1736.61110187424</c:v>
                </c:pt>
                <c:pt idx="31">
                  <c:v>1732.26345906605</c:v>
                </c:pt>
                <c:pt idx="32">
                  <c:v>1728.32954917294</c:v>
                </c:pt>
                <c:pt idx="33">
                  <c:v>1724.77000030248</c:v>
                </c:pt>
                <c:pt idx="34">
                  <c:v>1721.54918729316</c:v>
                </c:pt>
                <c:pt idx="35">
                  <c:v>1718.63487516582</c:v>
                </c:pt>
                <c:pt idx="36">
                  <c:v>1715.99789650518</c:v>
                </c:pt>
                <c:pt idx="37">
                  <c:v>1713.61185954246</c:v>
                </c:pt>
                <c:pt idx="38">
                  <c:v>1711.45288401778</c:v>
                </c:pt>
                <c:pt idx="39">
                  <c:v>1709.49936217842</c:v>
                </c:pt>
                <c:pt idx="40">
                  <c:v>1707.73174252122</c:v>
                </c:pt>
                <c:pt idx="41">
                  <c:v>1706.13233411453</c:v>
                </c:pt>
                <c:pt idx="42">
                  <c:v>1704.68512954144</c:v>
                </c:pt>
                <c:pt idx="43">
                  <c:v>1703.37564469215</c:v>
                </c:pt>
                <c:pt idx="44">
                  <c:v>1702.19077380216</c:v>
                </c:pt>
                <c:pt idx="45">
                  <c:v>1701.11865828536</c:v>
                </c:pt>
                <c:pt idx="46">
                  <c:v>1700.1485680493</c:v>
                </c:pt>
                <c:pt idx="47">
                  <c:v>1699.27079410484</c:v>
                </c:pt>
                <c:pt idx="48">
                  <c:v>1698.47655139532</c:v>
                </c:pt>
                <c:pt idx="49">
                  <c:v>1697.75789087274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'S-Wcompare'!$G$2</c:f>
              <c:strCache>
                <c:ptCount val="1"/>
                <c:pt idx="0">
                  <c:v>Profit-Toll Environment</c:v>
                </c:pt>
              </c:strCache>
            </c:strRef>
          </c:tx>
          <c:spPr>
            <a:solidFill>
              <a:srgbClr val="1FB714"/>
            </a:solidFill>
            <a:ln w="37800">
              <a:solidFill>
                <a:srgbClr val="1FB714"/>
              </a:solidFill>
              <a:custDash>
                <a:ds d="101905" sp="101905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  <a:custDash>
                    <a:ds d="101905" sp="101905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'S-Wcompare'!$G$3:$G$52</c:f>
              <c:numCache>
                <c:formatCode>0</c:formatCode>
                <c:ptCount val="50"/>
                <c:pt idx="0">
                  <c:v>-211.879151191554</c:v>
                </c:pt>
                <c:pt idx="1">
                  <c:v>-452.169601754279</c:v>
                </c:pt>
                <c:pt idx="2">
                  <c:v>-253.907331130423</c:v>
                </c:pt>
                <c:pt idx="3">
                  <c:v>-94.1620969328527</c:v>
                </c:pt>
                <c:pt idx="4">
                  <c:v>33.3407471011517</c:v>
                </c:pt>
                <c:pt idx="5">
                  <c:v>133.872424486119</c:v>
                </c:pt>
                <c:pt idx="6">
                  <c:v>211.867880083742</c:v>
                </c:pt>
                <c:pt idx="7">
                  <c:v>271.063431047962</c:v>
                </c:pt>
                <c:pt idx="8">
                  <c:v>314.610394038853</c:v>
                </c:pt>
                <c:pt idx="9">
                  <c:v>345.169110045858</c:v>
                </c:pt>
                <c:pt idx="10">
                  <c:v>364.986944426068</c:v>
                </c:pt>
                <c:pt idx="11">
                  <c:v>375.963160259777</c:v>
                </c:pt>
                <c:pt idx="12">
                  <c:v>379.703015621149</c:v>
                </c:pt>
                <c:pt idx="13">
                  <c:v>377.562993959401</c:v>
                </c:pt>
                <c:pt idx="14">
                  <c:v>370.688720681333</c:v>
                </c:pt>
                <c:pt idx="15">
                  <c:v>360.04683150766</c:v>
                </c:pt>
                <c:pt idx="16">
                  <c:v>346.451825820644</c:v>
                </c:pt>
                <c:pt idx="17">
                  <c:v>330.588750247853</c:v>
                </c:pt>
                <c:pt idx="18">
                  <c:v>313.032405477327</c:v>
                </c:pt>
                <c:pt idx="19">
                  <c:v>294.263645818027</c:v>
                </c:pt>
                <c:pt idx="20">
                  <c:v>274.683240719168</c:v>
                </c:pt>
                <c:pt idx="21">
                  <c:v>254.623685854598</c:v>
                </c:pt>
                <c:pt idx="22">
                  <c:v>234.35928485705</c:v>
                </c:pt>
                <c:pt idx="23">
                  <c:v>214.114768453076</c:v>
                </c:pt>
                <c:pt idx="24">
                  <c:v>194.072673271846</c:v>
                </c:pt>
                <c:pt idx="25">
                  <c:v>174.379666105032</c:v>
                </c:pt>
                <c:pt idx="26">
                  <c:v>155.151969371681</c:v>
                </c:pt>
                <c:pt idx="27">
                  <c:v>136.480018776214</c:v>
                </c:pt>
                <c:pt idx="28">
                  <c:v>118.4324636601</c:v>
                </c:pt>
                <c:pt idx="29">
                  <c:v>101.05960354838</c:v>
                </c:pt>
                <c:pt idx="30">
                  <c:v>84.3963402431369</c:v>
                </c:pt>
                <c:pt idx="31">
                  <c:v>68.4647130015196</c:v>
                </c:pt>
                <c:pt idx="32">
                  <c:v>53.2760744385278</c:v>
                </c:pt>
                <c:pt idx="33">
                  <c:v>38.8329564759915</c:v>
                </c:pt>
                <c:pt idx="34">
                  <c:v>25.1306686440337</c:v>
                </c:pt>
                <c:pt idx="35">
                  <c:v>12.1586651061306</c:v>
                </c:pt>
                <c:pt idx="36">
                  <c:v>-0.0982882588076279</c:v>
                </c:pt>
                <c:pt idx="37">
                  <c:v>-11.6591196732375</c:v>
                </c:pt>
                <c:pt idx="38">
                  <c:v>-22.5456067957531</c:v>
                </c:pt>
                <c:pt idx="39">
                  <c:v>-32.7816613303767</c:v>
                </c:pt>
                <c:pt idx="40">
                  <c:v>-42.3927253614392</c:v>
                </c:pt>
                <c:pt idx="41">
                  <c:v>-51.4052641851259</c:v>
                </c:pt>
                <c:pt idx="42">
                  <c:v>-59.8463424110105</c:v>
                </c:pt>
                <c:pt idx="43">
                  <c:v>-67.7432718386517</c:v>
                </c:pt>
                <c:pt idx="44">
                  <c:v>-75.1233211150332</c:v>
                </c:pt>
                <c:pt idx="45">
                  <c:v>-82.013478481376</c:v>
                </c:pt>
                <c:pt idx="46">
                  <c:v>-88.4402600504929</c:v>
                </c:pt>
                <c:pt idx="47">
                  <c:v>-94.429557041887</c:v>
                </c:pt>
                <c:pt idx="48">
                  <c:v>-100.00651626116</c:v>
                </c:pt>
                <c:pt idx="49">
                  <c:v>-105.195448859945</c:v>
                </c:pt>
              </c:numCache>
            </c:numRef>
          </c:yVal>
          <c:smooth val="1"/>
        </c:ser>
        <c:axId val="96543640"/>
        <c:axId val="54875458"/>
      </c:scatterChart>
      <c:valAx>
        <c:axId val="96543640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 ($/crossing)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4875458"/>
        <c:crossesAt val="0"/>
        <c:crossBetween val="midCat"/>
      </c:valAx>
      <c:valAx>
        <c:axId val="548754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(W, U, ∏)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6543640"/>
        <c:crossesAt val="0"/>
        <c:crossBetween val="midCat"/>
      </c:valAx>
      <c:spPr>
        <a:noFill/>
        <a:ln w="0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0.242406626943758"/>
          <c:y val="0.79484638255698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'S-Wcompare'!$B$2</c:f>
              <c:strCache>
                <c:ptCount val="1"/>
                <c:pt idx="0">
                  <c:v>Welfare-Tax Environment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'S-Wcompare'!$B$3:$B$52</c:f>
              <c:numCache>
                <c:formatCode>0</c:formatCode>
                <c:ptCount val="50"/>
                <c:pt idx="0">
                  <c:v>3086.60962030988</c:v>
                </c:pt>
                <c:pt idx="1">
                  <c:v>2622.47512087838</c:v>
                </c:pt>
                <c:pt idx="2">
                  <c:v>2947.21279675016</c:v>
                </c:pt>
                <c:pt idx="3">
                  <c:v>3184.15133739831</c:v>
                </c:pt>
                <c:pt idx="4">
                  <c:v>3350.59922863758</c:v>
                </c:pt>
                <c:pt idx="5">
                  <c:v>3460.60949953957</c:v>
                </c:pt>
                <c:pt idx="6">
                  <c:v>3525.60048492171</c:v>
                </c:pt>
                <c:pt idx="7">
                  <c:v>3554.85552481855</c:v>
                </c:pt>
                <c:pt idx="8">
                  <c:v>3555.92557728335</c:v>
                </c:pt>
                <c:pt idx="9">
                  <c:v>3534.95394142101</c:v>
                </c:pt>
                <c:pt idx="10">
                  <c:v>3496.93846101311</c:v>
                </c:pt>
                <c:pt idx="11">
                  <c:v>3445.94351610864</c:v>
                </c:pt>
                <c:pt idx="12">
                  <c:v>3385.27165860813</c:v>
                </c:pt>
                <c:pt idx="13">
                  <c:v>3317.60278633284</c:v>
                </c:pt>
                <c:pt idx="14">
                  <c:v>3245.10718066367</c:v>
                </c:pt>
                <c:pt idx="15">
                  <c:v>3169.53747727276</c:v>
                </c:pt>
                <c:pt idx="16">
                  <c:v>3092.30363502872</c:v>
                </c:pt>
                <c:pt idx="17">
                  <c:v>3014.53416459779</c:v>
                </c:pt>
                <c:pt idx="18">
                  <c:v>2937.12623536334</c:v>
                </c:pt>
                <c:pt idx="19">
                  <c:v>2860.78676484974</c:v>
                </c:pt>
                <c:pt idx="20">
                  <c:v>2786.06618310157</c:v>
                </c:pt>
                <c:pt idx="21">
                  <c:v>2713.38623483028</c:v>
                </c:pt>
                <c:pt idx="22">
                  <c:v>2643.06291811764</c:v>
                </c:pt>
                <c:pt idx="23">
                  <c:v>2575.3254468877</c:v>
                </c:pt>
                <c:pt idx="24">
                  <c:v>2510.33195469684</c:v>
                </c:pt>
                <c:pt idx="25">
                  <c:v>2448.18252123427</c:v>
                </c:pt>
                <c:pt idx="26">
                  <c:v>2388.92999355299</c:v>
                </c:pt>
                <c:pt idx="27">
                  <c:v>2332.588986097</c:v>
                </c:pt>
                <c:pt idx="28">
                  <c:v>2279.1433727697</c:v>
                </c:pt>
                <c:pt idx="29">
                  <c:v>2228.55252717803</c:v>
                </c:pt>
                <c:pt idx="30">
                  <c:v>2180.75652105652</c:v>
                </c:pt>
                <c:pt idx="31">
                  <c:v>2135.68045354278</c:v>
                </c:pt>
                <c:pt idx="32">
                  <c:v>2093.23805369955</c:v>
                </c:pt>
                <c:pt idx="33">
                  <c:v>2053.3346740684</c:v>
                </c:pt>
                <c:pt idx="34">
                  <c:v>2015.86977298408</c:v>
                </c:pt>
                <c:pt idx="35">
                  <c:v>1980.73896698952</c:v>
                </c:pt>
                <c:pt idx="36">
                  <c:v>1947.83572125961</c:v>
                </c:pt>
                <c:pt idx="37">
                  <c:v>1917.05273489896</c:v>
                </c:pt>
                <c:pt idx="38">
                  <c:v>1888.28306887041</c:v>
                </c:pt>
                <c:pt idx="39">
                  <c:v>1861.42105677285</c:v>
                </c:pt>
                <c:pt idx="40">
                  <c:v>1836.36303242605</c:v>
                </c:pt>
                <c:pt idx="41">
                  <c:v>1813.00790300272</c:v>
                </c:pt>
                <c:pt idx="42">
                  <c:v>1791.25759208334</c:v>
                </c:pt>
                <c:pt idx="43">
                  <c:v>1771.01737334662</c:v>
                </c:pt>
                <c:pt idx="44">
                  <c:v>1752.19611252338</c:v>
                </c:pt>
                <c:pt idx="45">
                  <c:v>1734.70643263491</c:v>
                </c:pt>
                <c:pt idx="46">
                  <c:v>1718.46481532703</c:v>
                </c:pt>
                <c:pt idx="47">
                  <c:v>1703.39164923315</c:v>
                </c:pt>
                <c:pt idx="48">
                  <c:v>1689.41123469765</c:v>
                </c:pt>
                <c:pt idx="49">
                  <c:v>1676.45175282326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'S-Wcompare'!$C$2</c:f>
              <c:strCache>
                <c:ptCount val="1"/>
                <c:pt idx="0">
                  <c:v>Consumers' Surplus-Tax Environment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'S-Wcompare'!$C$3:$C$52</c:f>
              <c:numCache>
                <c:formatCode>0</c:formatCode>
                <c:ptCount val="50"/>
                <c:pt idx="0">
                  <c:v>3507.51093217031</c:v>
                </c:pt>
                <c:pt idx="1">
                  <c:v>3507.51093217031</c:v>
                </c:pt>
                <c:pt idx="2">
                  <c:v>3334.63988911147</c:v>
                </c:pt>
                <c:pt idx="3">
                  <c:v>3178.21970085692</c:v>
                </c:pt>
                <c:pt idx="4">
                  <c:v>3036.68486158797</c:v>
                </c:pt>
                <c:pt idx="5">
                  <c:v>2908.61884306173</c:v>
                </c:pt>
                <c:pt idx="6">
                  <c:v>2792.73991752029</c:v>
                </c:pt>
                <c:pt idx="7">
                  <c:v>2687.8883297286</c:v>
                </c:pt>
                <c:pt idx="8">
                  <c:v>2593.01468975419</c:v>
                </c:pt>
                <c:pt idx="9">
                  <c:v>2507.16947032008</c:v>
                </c:pt>
                <c:pt idx="10">
                  <c:v>2429.49350361658</c:v>
                </c:pt>
                <c:pt idx="11">
                  <c:v>2359.20938246114</c:v>
                </c:pt>
                <c:pt idx="12">
                  <c:v>2295.61367974593</c:v>
                </c:pt>
                <c:pt idx="13">
                  <c:v>2238.06990830292</c:v>
                </c:pt>
                <c:pt idx="14">
                  <c:v>2186.00215072637</c:v>
                </c:pt>
                <c:pt idx="15">
                  <c:v>2138.88929539788</c:v>
                </c:pt>
                <c:pt idx="16">
                  <c:v>2096.25982102615</c:v>
                </c:pt>
                <c:pt idx="17">
                  <c:v>2057.6870775034</c:v>
                </c:pt>
                <c:pt idx="18">
                  <c:v>2022.78501584772</c:v>
                </c:pt>
                <c:pt idx="19">
                  <c:v>1991.20432449506</c:v>
                </c:pt>
                <c:pt idx="20">
                  <c:v>1962.62893327172</c:v>
                </c:pt>
                <c:pt idx="21">
                  <c:v>1936.77285005783</c:v>
                </c:pt>
                <c:pt idx="22">
                  <c:v>1913.37729848206</c:v>
                </c:pt>
                <c:pt idx="23">
                  <c:v>1892.2081280007</c:v>
                </c:pt>
                <c:pt idx="24">
                  <c:v>1873.05347044039</c:v>
                </c:pt>
                <c:pt idx="25">
                  <c:v>1855.72161955016</c:v>
                </c:pt>
                <c:pt idx="26">
                  <c:v>1840.03911234085</c:v>
                </c:pt>
                <c:pt idx="27">
                  <c:v>1825.84899300925</c:v>
                </c:pt>
                <c:pt idx="28">
                  <c:v>1813.00924207163</c:v>
                </c:pt>
                <c:pt idx="29">
                  <c:v>1801.39135498501</c:v>
                </c:pt>
                <c:pt idx="30">
                  <c:v>1790.87905603051</c:v>
                </c:pt>
                <c:pt idx="31">
                  <c:v>1781.3671345869</c:v>
                </c:pt>
                <c:pt idx="32">
                  <c:v>1772.76039214731</c:v>
                </c:pt>
                <c:pt idx="33">
                  <c:v>1764.97268954056</c:v>
                </c:pt>
                <c:pt idx="34">
                  <c:v>1757.92608482145</c:v>
                </c:pt>
                <c:pt idx="35">
                  <c:v>1751.55005320148</c:v>
                </c:pt>
                <c:pt idx="36">
                  <c:v>1745.78078121315</c:v>
                </c:pt>
                <c:pt idx="37">
                  <c:v>1740.56052804329</c:v>
                </c:pt>
                <c:pt idx="38">
                  <c:v>1735.83704764358</c:v>
                </c:pt>
                <c:pt idx="39">
                  <c:v>1731.56306583456</c:v>
                </c:pt>
                <c:pt idx="40">
                  <c:v>1727.69580716975</c:v>
                </c:pt>
                <c:pt idx="41">
                  <c:v>1724.19656682461</c:v>
                </c:pt>
                <c:pt idx="42">
                  <c:v>1721.03032322562</c:v>
                </c:pt>
                <c:pt idx="43">
                  <c:v>1718.16538754264</c:v>
                </c:pt>
                <c:pt idx="44">
                  <c:v>1715.57308653642</c:v>
                </c:pt>
                <c:pt idx="45">
                  <c:v>1713.22747558718</c:v>
                </c:pt>
                <c:pt idx="46">
                  <c:v>1711.10507903214</c:v>
                </c:pt>
                <c:pt idx="47">
                  <c:v>1709.18465521324</c:v>
                </c:pt>
                <c:pt idx="48">
                  <c:v>1707.44698388341</c:v>
                </c:pt>
                <c:pt idx="49">
                  <c:v>1705.87467384393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'S-Wcompare'!$D$2</c:f>
              <c:strCache>
                <c:ptCount val="1"/>
                <c:pt idx="0">
                  <c:v>Profit-Tax Environment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 w="12600">
              <a:solidFill>
                <a:srgbClr val="FFFF00">
                  <a:alpha val="50000"/>
                </a:srgbClr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'S-Wcompare'!$D$3:$D$52</c:f>
              <c:numCache>
                <c:formatCode>0</c:formatCode>
                <c:ptCount val="50"/>
                <c:pt idx="0">
                  <c:v>-420.901311860438</c:v>
                </c:pt>
                <c:pt idx="1">
                  <c:v>-885.035811291938</c:v>
                </c:pt>
                <c:pt idx="2">
                  <c:v>-387.427092361309</c:v>
                </c:pt>
                <c:pt idx="3">
                  <c:v>5.93163654139221</c:v>
                </c:pt>
                <c:pt idx="4">
                  <c:v>313.914367049605</c:v>
                </c:pt>
                <c:pt idx="5">
                  <c:v>551.990656477844</c:v>
                </c:pt>
                <c:pt idx="6">
                  <c:v>732.860567401417</c:v>
                </c:pt>
                <c:pt idx="7">
                  <c:v>866.967195089952</c:v>
                </c:pt>
                <c:pt idx="8">
                  <c:v>962.91088752916</c:v>
                </c:pt>
                <c:pt idx="9">
                  <c:v>1027.78447110093</c:v>
                </c:pt>
                <c:pt idx="10">
                  <c:v>1067.44495739653</c:v>
                </c:pt>
                <c:pt idx="11">
                  <c:v>1086.7341336475</c:v>
                </c:pt>
                <c:pt idx="12">
                  <c:v>1089.6579788622</c:v>
                </c:pt>
                <c:pt idx="13">
                  <c:v>1079.53287802993</c:v>
                </c:pt>
                <c:pt idx="14">
                  <c:v>1059.1050299373</c:v>
                </c:pt>
                <c:pt idx="15">
                  <c:v>1030.64818187488</c:v>
                </c:pt>
                <c:pt idx="16">
                  <c:v>996.043814002573</c:v>
                </c:pt>
                <c:pt idx="17">
                  <c:v>956.847087094383</c:v>
                </c:pt>
                <c:pt idx="18">
                  <c:v>914.341219515623</c:v>
                </c:pt>
                <c:pt idx="19">
                  <c:v>869.582440354683</c:v>
                </c:pt>
                <c:pt idx="20">
                  <c:v>823.43724982985</c:v>
                </c:pt>
                <c:pt idx="21">
                  <c:v>776.613384772444</c:v>
                </c:pt>
                <c:pt idx="22">
                  <c:v>729.685619635579</c:v>
                </c:pt>
                <c:pt idx="23">
                  <c:v>683.117318886996</c:v>
                </c:pt>
                <c:pt idx="24">
                  <c:v>637.27848425645</c:v>
                </c:pt>
                <c:pt idx="25">
                  <c:v>592.460901684118</c:v>
                </c:pt>
                <c:pt idx="26">
                  <c:v>548.890881212134</c:v>
                </c:pt>
                <c:pt idx="27">
                  <c:v>506.739993087743</c:v>
                </c:pt>
                <c:pt idx="28">
                  <c:v>466.134130698069</c:v>
                </c:pt>
                <c:pt idx="29">
                  <c:v>427.161172193021</c:v>
                </c:pt>
                <c:pt idx="30">
                  <c:v>389.877465026015</c:v>
                </c:pt>
                <c:pt idx="31">
                  <c:v>354.313318955881</c:v>
                </c:pt>
                <c:pt idx="32">
                  <c:v>320.477661552239</c:v>
                </c:pt>
                <c:pt idx="33">
                  <c:v>288.361984527832</c:v>
                </c:pt>
                <c:pt idx="34">
                  <c:v>257.94368816263</c:v>
                </c:pt>
                <c:pt idx="35">
                  <c:v>229.188913788035</c:v>
                </c:pt>
                <c:pt idx="36">
                  <c:v>202.054940046452</c:v>
                </c:pt>
                <c:pt idx="37">
                  <c:v>176.492206855667</c:v>
                </c:pt>
                <c:pt idx="38">
                  <c:v>152.446021226838</c:v>
                </c:pt>
                <c:pt idx="39">
                  <c:v>129.857990938292</c:v>
                </c:pt>
                <c:pt idx="40">
                  <c:v>108.6672252563</c:v>
                </c:pt>
                <c:pt idx="41">
                  <c:v>88.8113361781158</c:v>
                </c:pt>
                <c:pt idx="42">
                  <c:v>70.2272688577203</c:v>
                </c:pt>
                <c:pt idx="43">
                  <c:v>52.8519858039732</c:v>
                </c:pt>
                <c:pt idx="44">
                  <c:v>36.6230259869631</c:v>
                </c:pt>
                <c:pt idx="45">
                  <c:v>21.4789570477303</c:v>
                </c:pt>
                <c:pt idx="46">
                  <c:v>7.35973629488976</c:v>
                </c:pt>
                <c:pt idx="47">
                  <c:v>-5.79300598008908</c:v>
                </c:pt>
                <c:pt idx="48">
                  <c:v>-18.0357491857624</c:v>
                </c:pt>
                <c:pt idx="49">
                  <c:v>-29.4229210206686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'S-Wcompare'!$E$2</c:f>
              <c:strCache>
                <c:ptCount val="1"/>
                <c:pt idx="0">
                  <c:v>Welfare-Toll Enviornment</c:v>
                </c:pt>
              </c:strCache>
            </c:strRef>
          </c:tx>
          <c:spPr>
            <a:solidFill>
              <a:srgbClr val="00FFFF"/>
            </a:solidFill>
            <a:ln w="25200">
              <a:solidFill>
                <a:srgbClr val="00FFFF"/>
              </a:solidFill>
              <a:round/>
            </a:ln>
          </c:spPr>
          <c:marker>
            <c:symbol val="x"/>
            <c:size val="7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'S-Wcompare'!$E$3:$E$52</c:f>
              <c:numCache>
                <c:formatCode>0</c:formatCode>
                <c:ptCount val="50"/>
                <c:pt idx="0">
                  <c:v>2309.35809324044</c:v>
                </c:pt>
                <c:pt idx="1">
                  <c:v>2069.06764267771</c:v>
                </c:pt>
                <c:pt idx="2">
                  <c:v>2188.3152208911</c:v>
                </c:pt>
                <c:pt idx="3">
                  <c:v>2276.56500482107</c:v>
                </c:pt>
                <c:pt idx="4">
                  <c:v>2339.37609023363</c:v>
                </c:pt>
                <c:pt idx="5">
                  <c:v>2381.37224377935</c:v>
                </c:pt>
                <c:pt idx="6">
                  <c:v>2406.4025671229</c:v>
                </c:pt>
                <c:pt idx="7">
                  <c:v>2417.6732845724</c:v>
                </c:pt>
                <c:pt idx="8">
                  <c:v>2417.85606494604</c:v>
                </c:pt>
                <c:pt idx="9">
                  <c:v>2409.1772459184</c:v>
                </c:pt>
                <c:pt idx="10">
                  <c:v>2393.49149040778</c:v>
                </c:pt>
                <c:pt idx="11">
                  <c:v>2372.34272963365</c:v>
                </c:pt>
                <c:pt idx="12">
                  <c:v>2347.01470410673</c:v>
                </c:pt>
                <c:pt idx="13">
                  <c:v>2318.57297615423</c:v>
                </c:pt>
                <c:pt idx="14">
                  <c:v>2287.89993486611</c:v>
                </c:pt>
                <c:pt idx="15">
                  <c:v>2255.72402989378</c:v>
                </c:pt>
                <c:pt idx="16">
                  <c:v>2222.64424095156</c:v>
                </c:pt>
                <c:pt idx="17">
                  <c:v>2189.15060440714</c:v>
                </c:pt>
                <c:pt idx="18">
                  <c:v>2155.64146836852</c:v>
                </c:pt>
                <c:pt idx="19">
                  <c:v>2122.43802624773</c:v>
                </c:pt>
                <c:pt idx="20">
                  <c:v>2089.79658034025</c:v>
                </c:pt>
                <c:pt idx="21">
                  <c:v>2057.91890703355</c:v>
                </c:pt>
                <c:pt idx="22">
                  <c:v>2026.96103025878</c:v>
                </c:pt>
                <c:pt idx="23">
                  <c:v>1997.04065684271</c:v>
                </c:pt>
                <c:pt idx="24">
                  <c:v>1968.24348418537</c:v>
                </c:pt>
                <c:pt idx="25">
                  <c:v>1940.62855532037</c:v>
                </c:pt>
                <c:pt idx="26">
                  <c:v>1914.23280741175</c:v>
                </c:pt>
                <c:pt idx="27">
                  <c:v>1889.0749358985</c:v>
                </c:pt>
                <c:pt idx="28">
                  <c:v>1865.15867684555</c:v>
                </c:pt>
                <c:pt idx="29">
                  <c:v>1842.47559381641</c:v>
                </c:pt>
                <c:pt idx="30">
                  <c:v>1821.00744211738</c:v>
                </c:pt>
                <c:pt idx="31">
                  <c:v>1800.72817206757</c:v>
                </c:pt>
                <c:pt idx="32">
                  <c:v>1781.60562361147</c:v>
                </c:pt>
                <c:pt idx="33">
                  <c:v>1763.60295677847</c:v>
                </c:pt>
                <c:pt idx="34">
                  <c:v>1746.67985593719</c:v>
                </c:pt>
                <c:pt idx="35">
                  <c:v>1730.79354027195</c:v>
                </c:pt>
                <c:pt idx="36">
                  <c:v>1715.89960824637</c:v>
                </c:pt>
                <c:pt idx="37">
                  <c:v>1701.95273986922</c:v>
                </c:pt>
                <c:pt idx="38">
                  <c:v>1688.90727722203</c:v>
                </c:pt>
                <c:pt idx="39">
                  <c:v>1676.71770084805</c:v>
                </c:pt>
                <c:pt idx="40">
                  <c:v>1665.33901715978</c:v>
                </c:pt>
                <c:pt idx="41">
                  <c:v>1654.72706992941</c:v>
                </c:pt>
                <c:pt idx="42">
                  <c:v>1644.83878713043</c:v>
                </c:pt>
                <c:pt idx="43">
                  <c:v>1635.6323728535</c:v>
                </c:pt>
                <c:pt idx="44">
                  <c:v>1627.06745268713</c:v>
                </c:pt>
                <c:pt idx="45">
                  <c:v>1619.10517980398</c:v>
                </c:pt>
                <c:pt idx="46">
                  <c:v>1611.70830799881</c:v>
                </c:pt>
                <c:pt idx="47">
                  <c:v>1604.84123706295</c:v>
                </c:pt>
                <c:pt idx="48">
                  <c:v>1598.47003513416</c:v>
                </c:pt>
                <c:pt idx="49">
                  <c:v>1592.5624420128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'S-Wcompare'!$F$2</c:f>
              <c:strCache>
                <c:ptCount val="1"/>
                <c:pt idx="0">
                  <c:v>Consumers' Surplus-Toll Environment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'S-Wcompare'!$F$3:$F$52</c:f>
              <c:numCache>
                <c:formatCode>0</c:formatCode>
                <c:ptCount val="50"/>
                <c:pt idx="0">
                  <c:v>2521.23724443199</c:v>
                </c:pt>
                <c:pt idx="1">
                  <c:v>2521.23724443199</c:v>
                </c:pt>
                <c:pt idx="2">
                  <c:v>2442.22255202152</c:v>
                </c:pt>
                <c:pt idx="3">
                  <c:v>2370.72710175393</c:v>
                </c:pt>
                <c:pt idx="4">
                  <c:v>2306.03534313247</c:v>
                </c:pt>
                <c:pt idx="5">
                  <c:v>2247.49981929324</c:v>
                </c:pt>
                <c:pt idx="6">
                  <c:v>2194.53468703916</c:v>
                </c:pt>
                <c:pt idx="7">
                  <c:v>2146.60985352444</c:v>
                </c:pt>
                <c:pt idx="8">
                  <c:v>2103.24567090718</c:v>
                </c:pt>
                <c:pt idx="9">
                  <c:v>2064.00813587255</c:v>
                </c:pt>
                <c:pt idx="10">
                  <c:v>2028.50454598171</c:v>
                </c:pt>
                <c:pt idx="11">
                  <c:v>1996.37956937387</c:v>
                </c:pt>
                <c:pt idx="12">
                  <c:v>1967.31168848558</c:v>
                </c:pt>
                <c:pt idx="13">
                  <c:v>1941.00998219483</c:v>
                </c:pt>
                <c:pt idx="14">
                  <c:v>1917.21121418477</c:v>
                </c:pt>
                <c:pt idx="15">
                  <c:v>1895.67719838612</c:v>
                </c:pt>
                <c:pt idx="16">
                  <c:v>1876.19241513092</c:v>
                </c:pt>
                <c:pt idx="17">
                  <c:v>1858.56185415929</c:v>
                </c:pt>
                <c:pt idx="18">
                  <c:v>1842.6090628912</c:v>
                </c:pt>
                <c:pt idx="19">
                  <c:v>1828.17438042971</c:v>
                </c:pt>
                <c:pt idx="20">
                  <c:v>1815.11333962109</c:v>
                </c:pt>
                <c:pt idx="21">
                  <c:v>1803.29522117895</c:v>
                </c:pt>
                <c:pt idx="22">
                  <c:v>1792.60174540172</c:v>
                </c:pt>
                <c:pt idx="23">
                  <c:v>1782.92588838963</c:v>
                </c:pt>
                <c:pt idx="24">
                  <c:v>1774.17081091352</c:v>
                </c:pt>
                <c:pt idx="25">
                  <c:v>1766.24888921533</c:v>
                </c:pt>
                <c:pt idx="26">
                  <c:v>1759.08083804006</c:v>
                </c:pt>
                <c:pt idx="27">
                  <c:v>1752.59491712228</c:v>
                </c:pt>
                <c:pt idx="28">
                  <c:v>1746.72621318545</c:v>
                </c:pt>
                <c:pt idx="29">
                  <c:v>1741.41599026803</c:v>
                </c:pt>
                <c:pt idx="30">
                  <c:v>1736.61110187424</c:v>
                </c:pt>
                <c:pt idx="31">
                  <c:v>1732.26345906605</c:v>
                </c:pt>
                <c:pt idx="32">
                  <c:v>1728.32954917294</c:v>
                </c:pt>
                <c:pt idx="33">
                  <c:v>1724.77000030248</c:v>
                </c:pt>
                <c:pt idx="34">
                  <c:v>1721.54918729316</c:v>
                </c:pt>
                <c:pt idx="35">
                  <c:v>1718.63487516582</c:v>
                </c:pt>
                <c:pt idx="36">
                  <c:v>1715.99789650518</c:v>
                </c:pt>
                <c:pt idx="37">
                  <c:v>1713.61185954246</c:v>
                </c:pt>
                <c:pt idx="38">
                  <c:v>1711.45288401778</c:v>
                </c:pt>
                <c:pt idx="39">
                  <c:v>1709.49936217842</c:v>
                </c:pt>
                <c:pt idx="40">
                  <c:v>1707.73174252122</c:v>
                </c:pt>
                <c:pt idx="41">
                  <c:v>1706.13233411453</c:v>
                </c:pt>
                <c:pt idx="42">
                  <c:v>1704.68512954144</c:v>
                </c:pt>
                <c:pt idx="43">
                  <c:v>1703.37564469215</c:v>
                </c:pt>
                <c:pt idx="44">
                  <c:v>1702.19077380216</c:v>
                </c:pt>
                <c:pt idx="45">
                  <c:v>1701.11865828536</c:v>
                </c:pt>
                <c:pt idx="46">
                  <c:v>1700.1485680493</c:v>
                </c:pt>
                <c:pt idx="47">
                  <c:v>1699.27079410484</c:v>
                </c:pt>
                <c:pt idx="48">
                  <c:v>1698.47655139532</c:v>
                </c:pt>
                <c:pt idx="49">
                  <c:v>1697.75789087274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'S-Wcompare'!$G$2</c:f>
              <c:strCache>
                <c:ptCount val="1"/>
                <c:pt idx="0">
                  <c:v>Profit-Toll Environment</c:v>
                </c:pt>
              </c:strCache>
            </c:strRef>
          </c:tx>
          <c:spPr>
            <a:solidFill>
              <a:srgbClr val="800000"/>
            </a:solidFill>
            <a:ln w="37800">
              <a:solidFill>
                <a:srgbClr val="800000"/>
              </a:solidFill>
              <a:round/>
            </a:ln>
          </c:spPr>
          <c:marker>
            <c:symbol val="circle"/>
            <c:size val="9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'S-Wcompare'!$A$3:$A$52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</c:numCache>
            </c:numRef>
          </c:xVal>
          <c:yVal>
            <c:numRef>
              <c:f>'S-Wcompare'!$G$3:$G$52</c:f>
              <c:numCache>
                <c:formatCode>0</c:formatCode>
                <c:ptCount val="50"/>
                <c:pt idx="0">
                  <c:v>-211.879151191554</c:v>
                </c:pt>
                <c:pt idx="1">
                  <c:v>-452.169601754279</c:v>
                </c:pt>
                <c:pt idx="2">
                  <c:v>-253.907331130423</c:v>
                </c:pt>
                <c:pt idx="3">
                  <c:v>-94.1620969328527</c:v>
                </c:pt>
                <c:pt idx="4">
                  <c:v>33.3407471011517</c:v>
                </c:pt>
                <c:pt idx="5">
                  <c:v>133.872424486119</c:v>
                </c:pt>
                <c:pt idx="6">
                  <c:v>211.867880083742</c:v>
                </c:pt>
                <c:pt idx="7">
                  <c:v>271.063431047962</c:v>
                </c:pt>
                <c:pt idx="8">
                  <c:v>314.610394038853</c:v>
                </c:pt>
                <c:pt idx="9">
                  <c:v>345.169110045858</c:v>
                </c:pt>
                <c:pt idx="10">
                  <c:v>364.986944426068</c:v>
                </c:pt>
                <c:pt idx="11">
                  <c:v>375.963160259777</c:v>
                </c:pt>
                <c:pt idx="12">
                  <c:v>379.703015621149</c:v>
                </c:pt>
                <c:pt idx="13">
                  <c:v>377.562993959401</c:v>
                </c:pt>
                <c:pt idx="14">
                  <c:v>370.688720681333</c:v>
                </c:pt>
                <c:pt idx="15">
                  <c:v>360.04683150766</c:v>
                </c:pt>
                <c:pt idx="16">
                  <c:v>346.451825820644</c:v>
                </c:pt>
                <c:pt idx="17">
                  <c:v>330.588750247853</c:v>
                </c:pt>
                <c:pt idx="18">
                  <c:v>313.032405477327</c:v>
                </c:pt>
                <c:pt idx="19">
                  <c:v>294.263645818027</c:v>
                </c:pt>
                <c:pt idx="20">
                  <c:v>274.683240719168</c:v>
                </c:pt>
                <c:pt idx="21">
                  <c:v>254.623685854598</c:v>
                </c:pt>
                <c:pt idx="22">
                  <c:v>234.35928485705</c:v>
                </c:pt>
                <c:pt idx="23">
                  <c:v>214.114768453076</c:v>
                </c:pt>
                <c:pt idx="24">
                  <c:v>194.072673271846</c:v>
                </c:pt>
                <c:pt idx="25">
                  <c:v>174.379666105032</c:v>
                </c:pt>
                <c:pt idx="26">
                  <c:v>155.151969371681</c:v>
                </c:pt>
                <c:pt idx="27">
                  <c:v>136.480018776214</c:v>
                </c:pt>
                <c:pt idx="28">
                  <c:v>118.4324636601</c:v>
                </c:pt>
                <c:pt idx="29">
                  <c:v>101.05960354838</c:v>
                </c:pt>
                <c:pt idx="30">
                  <c:v>84.3963402431369</c:v>
                </c:pt>
                <c:pt idx="31">
                  <c:v>68.4647130015196</c:v>
                </c:pt>
                <c:pt idx="32">
                  <c:v>53.2760744385278</c:v>
                </c:pt>
                <c:pt idx="33">
                  <c:v>38.8329564759915</c:v>
                </c:pt>
                <c:pt idx="34">
                  <c:v>25.1306686440337</c:v>
                </c:pt>
                <c:pt idx="35">
                  <c:v>12.1586651061306</c:v>
                </c:pt>
                <c:pt idx="36">
                  <c:v>-0.0982882588076279</c:v>
                </c:pt>
                <c:pt idx="37">
                  <c:v>-11.6591196732375</c:v>
                </c:pt>
                <c:pt idx="38">
                  <c:v>-22.5456067957531</c:v>
                </c:pt>
                <c:pt idx="39">
                  <c:v>-32.7816613303767</c:v>
                </c:pt>
                <c:pt idx="40">
                  <c:v>-42.3927253614392</c:v>
                </c:pt>
                <c:pt idx="41">
                  <c:v>-51.4052641851259</c:v>
                </c:pt>
                <c:pt idx="42">
                  <c:v>-59.8463424110105</c:v>
                </c:pt>
                <c:pt idx="43">
                  <c:v>-67.7432718386517</c:v>
                </c:pt>
                <c:pt idx="44">
                  <c:v>-75.1233211150332</c:v>
                </c:pt>
                <c:pt idx="45">
                  <c:v>-82.013478481376</c:v>
                </c:pt>
                <c:pt idx="46">
                  <c:v>-88.4402600504929</c:v>
                </c:pt>
                <c:pt idx="47">
                  <c:v>-94.429557041887</c:v>
                </c:pt>
                <c:pt idx="48">
                  <c:v>-100.00651626116</c:v>
                </c:pt>
                <c:pt idx="49">
                  <c:v>-105.195448859945</c:v>
                </c:pt>
              </c:numCache>
            </c:numRef>
          </c:yVal>
          <c:smooth val="1"/>
        </c:ser>
        <c:axId val="66202142"/>
        <c:axId val="21025325"/>
      </c:scatterChart>
      <c:valAx>
        <c:axId val="66202142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75" b="1" u="none" strike="noStrike">
                    <a:uFillTx/>
                    <a:latin typeface="Geneva"/>
                  </a:rPr>
                  <a:t>J</a:t>
                </a:r>
                <a:r>
                  <a:rPr sz="900" b="1" u="none" strike="noStrike">
                    <a:uFillTx/>
                    <a:latin typeface="Geneva"/>
                  </a:rPr>
                  <a:t>0</a:t>
                </a:r>
                <a:r>
                  <a:rPr sz="1075" b="1" u="none" strike="noStrike">
                    <a:uFillTx/>
                    <a:latin typeface="Geneva"/>
                  </a:rPr>
                  <a:t> Toll ($/Crossing)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7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1025325"/>
        <c:crossesAt val="0"/>
        <c:crossBetween val="midCat"/>
      </c:valAx>
      <c:valAx>
        <c:axId val="210253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7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Welfare, Profit, CS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7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6202142"/>
        <c:crossesAt val="0"/>
        <c:crossBetween val="midCat"/>
        <c:majorUnit val="500"/>
      </c:valAx>
      <c:spPr>
        <a:noFill/>
        <a:ln w="12600">
          <a:solidFill>
            <a:srgbClr val="808080"/>
          </a:solidFill>
          <a:round/>
        </a:ln>
      </c:spPr>
    </c:plotArea>
    <c:legend>
      <c:legendPos val="b"/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1075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Geneva"/>
              </a:rPr>
              <a:t>Reaction Curves: Best J</a:t>
            </a:r>
            <a:r>
              <a:rPr sz="900" b="1" u="none" strike="noStrike">
                <a:uFillTx/>
                <a:latin typeface="Geneva"/>
              </a:rPr>
              <a:t>0</a:t>
            </a:r>
            <a:r>
              <a:rPr sz="1400" b="1" u="none" strike="noStrike">
                <a:uFillTx/>
                <a:latin typeface="Geneva"/>
              </a:rPr>
              <a:t> Toll in All-Cordon Toll Environment</a:t>
            </a:r>
          </a:p>
        </c:rich>
      </c:tx>
      <c:layout>
        <c:manualLayout>
          <c:xMode val="edge"/>
          <c:yMode val="edge"/>
          <c:x val="0.20649594621317"/>
          <c:y val="0.02207505518763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528376507811"/>
          <c:y val="0.117439293598234"/>
          <c:w val="0.878188649396876"/>
          <c:h val="0.724150110375276"/>
        </c:manualLayout>
      </c:layout>
      <c:scatterChart>
        <c:scatterStyle val="line"/>
        <c:varyColors val="0"/>
        <c:ser>
          <c:idx val="0"/>
          <c:order val="0"/>
          <c:tx>
            <c:strRef>
              <c:f>'Toll-Compare'!$B$1</c:f>
              <c:strCache>
                <c:ptCount val="1"/>
                <c:pt idx="0">
                  <c:v>∏-Jurisdiction Size=10 km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custDash>
                <a:ds d="101905" sp="101905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  <a:custDash>
                    <a:ds d="101905" sp="101905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'Toll-Compare'!$B$2:$B$12</c:f>
              <c:numCache>
                <c:formatCode>0.00</c:formatCode>
                <c:ptCount val="11"/>
                <c:pt idx="0">
                  <c:v>1.06954097790985</c:v>
                </c:pt>
                <c:pt idx="1">
                  <c:v>1.10577371588093</c:v>
                </c:pt>
                <c:pt idx="2">
                  <c:v>1.12334493824018</c:v>
                </c:pt>
                <c:pt idx="3">
                  <c:v>1.13328124530176</c:v>
                </c:pt>
                <c:pt idx="4">
                  <c:v>1.13919387091577</c:v>
                </c:pt>
                <c:pt idx="5">
                  <c:v>1.14276953203344</c:v>
                </c:pt>
                <c:pt idx="6">
                  <c:v>1.14494121549499</c:v>
                </c:pt>
                <c:pt idx="7">
                  <c:v>1.14626100909033</c:v>
                </c:pt>
                <c:pt idx="8">
                  <c:v>1.14706329015564</c:v>
                </c:pt>
                <c:pt idx="9">
                  <c:v>1.14755026022571</c:v>
                </c:pt>
                <c:pt idx="10">
                  <c:v>1.14784553639248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'Toll-Compare'!$C$1</c:f>
              <c:strCache>
                <c:ptCount val="1"/>
                <c:pt idx="0">
                  <c:v>W-Jurisdiction Size=10 km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'Toll-Compare'!$C$2:$C$12</c:f>
              <c:numCache>
                <c:formatCode>0.00</c:formatCode>
                <c:ptCount val="11"/>
                <c:pt idx="0">
                  <c:v>0.653294561493362</c:v>
                </c:pt>
                <c:pt idx="1">
                  <c:v>0.651193068385082</c:v>
                </c:pt>
                <c:pt idx="2">
                  <c:v>0.650063303222383</c:v>
                </c:pt>
                <c:pt idx="3">
                  <c:v>0.649385642252832</c:v>
                </c:pt>
                <c:pt idx="4">
                  <c:v>0.648967816523326</c:v>
                </c:pt>
                <c:pt idx="5">
                  <c:v>0.648709872054374</c:v>
                </c:pt>
                <c:pt idx="6">
                  <c:v>0.648551118720517</c:v>
                </c:pt>
                <c:pt idx="7">
                  <c:v>0.648453669941319</c:v>
                </c:pt>
                <c:pt idx="8">
                  <c:v>0.649010744656215</c:v>
                </c:pt>
                <c:pt idx="9">
                  <c:v>0.648998009564206</c:v>
                </c:pt>
                <c:pt idx="10">
                  <c:v>0.648975305075598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'Toll-Compare'!$D$1</c:f>
              <c:strCache>
                <c:ptCount val="1"/>
                <c:pt idx="0">
                  <c:v>∏-Jurisdiction Size=1 km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custDash>
                <a:ds d="12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12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'Toll-Compare'!$D$2:$D$12</c:f>
              <c:numCache>
                <c:formatCode>0.00</c:formatCode>
                <c:ptCount val="11"/>
                <c:pt idx="0">
                  <c:v>0.656444685897722</c:v>
                </c:pt>
                <c:pt idx="1">
                  <c:v>0.89691323176841</c:v>
                </c:pt>
                <c:pt idx="2">
                  <c:v>0.983088330594785</c:v>
                </c:pt>
                <c:pt idx="3">
                  <c:v>1.02592355648114</c:v>
                </c:pt>
                <c:pt idx="4">
                  <c:v>1.05056530152919</c:v>
                </c:pt>
                <c:pt idx="5">
                  <c:v>1.0654426061564</c:v>
                </c:pt>
                <c:pt idx="6">
                  <c:v>1.07453680709188</c:v>
                </c:pt>
                <c:pt idx="7">
                  <c:v>1.08079608061397</c:v>
                </c:pt>
                <c:pt idx="8">
                  <c:v>1.08420655473874</c:v>
                </c:pt>
                <c:pt idx="9">
                  <c:v>1.08628461621193</c:v>
                </c:pt>
                <c:pt idx="10">
                  <c:v>1.08754879005182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'Toll-Compare'!$E$1</c:f>
              <c:strCache>
                <c:ptCount val="1"/>
                <c:pt idx="0">
                  <c:v>W-Jurisdiction Size=1 km</c:v>
                </c:pt>
              </c:strCache>
            </c:strRef>
          </c:tx>
          <c:spPr>
            <a:solidFill>
              <a:srgbClr val="00FFFF"/>
            </a:solidFill>
            <a:ln w="0">
              <a:solidFill>
                <a:srgbClr val="00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'Toll-Compare'!$E$2:$E$12</c:f>
              <c:numCache>
                <c:formatCode>0.00</c:formatCode>
                <c:ptCount val="11"/>
                <c:pt idx="0">
                  <c:v>0.588971896540793</c:v>
                </c:pt>
                <c:pt idx="1">
                  <c:v>0.588878310545447</c:v>
                </c:pt>
                <c:pt idx="2">
                  <c:v>0.588839118548493</c:v>
                </c:pt>
                <c:pt idx="3">
                  <c:v>0.588816078074345</c:v>
                </c:pt>
                <c:pt idx="4">
                  <c:v>0.588801224657779</c:v>
                </c:pt>
                <c:pt idx="5">
                  <c:v>0.588971896540793</c:v>
                </c:pt>
                <c:pt idx="6">
                  <c:v>0.588971896540793</c:v>
                </c:pt>
                <c:pt idx="7">
                  <c:v>0.588971896540793</c:v>
                </c:pt>
                <c:pt idx="8">
                  <c:v>0.588971896540793</c:v>
                </c:pt>
                <c:pt idx="9">
                  <c:v>0.588971896540793</c:v>
                </c:pt>
                <c:pt idx="10">
                  <c:v>0.589349332866895</c:v>
                </c:pt>
              </c:numCache>
            </c:numRef>
          </c:yVal>
          <c:smooth val="0"/>
        </c:ser>
        <c:axId val="18372931"/>
        <c:axId val="37784840"/>
      </c:scatterChart>
      <c:valAx>
        <c:axId val="18372931"/>
        <c:scaling>
          <c:orientation val="minMax"/>
          <c:max val="1.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 Environment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7784840"/>
        <c:crossesAt val="0"/>
        <c:crossBetween val="midCat"/>
      </c:valAx>
      <c:valAx>
        <c:axId val="3778484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uFillTx/>
                    <a:latin typeface="Geneva"/>
                  </a:rPr>
                  <a:t>Toll J</a:t>
                </a:r>
                <a:r>
                  <a:rPr sz="900" b="1" u="none" strike="noStrike" baseline="-33000">
                    <a:uFillTx/>
                    <a:latin typeface="Geneva"/>
                  </a:rPr>
                  <a:t>0</a:t>
                </a:r>
                <a:r>
                  <a:rPr sz="900" b="1" u="none" strike="noStrike">
                    <a:uFillTx/>
                    <a:latin typeface="Geneva"/>
                  </a:rPr>
                  <a:t>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8372931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16927031837058"/>
          <c:y val="0.87443708609271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390586233784646"/>
          <c:y val="0.110558594397481"/>
          <c:w val="0.895867299922025"/>
          <c:h val="0.775816343444389"/>
        </c:manualLayout>
      </c:layout>
      <c:scatterChart>
        <c:scatterStyle val="line"/>
        <c:varyColors val="0"/>
        <c:ser>
          <c:idx val="0"/>
          <c:order val="0"/>
          <c:tx>
            <c:strRef>
              <c:f>'Toll-Compare'!$B$1</c:f>
              <c:strCache>
                <c:ptCount val="1"/>
                <c:pt idx="0">
                  <c:v>∏-Jurisdiction Size=10 km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custDash>
                <a:ds d="101905" sp="101905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  <a:custDash>
                    <a:ds d="101905" sp="101905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'Toll-Compare'!$B$2:$B$12</c:f>
              <c:numCache>
                <c:formatCode>0.00</c:formatCode>
                <c:ptCount val="11"/>
                <c:pt idx="0">
                  <c:v>1.06954097790985</c:v>
                </c:pt>
                <c:pt idx="1">
                  <c:v>1.10577371588093</c:v>
                </c:pt>
                <c:pt idx="2">
                  <c:v>1.12334493824018</c:v>
                </c:pt>
                <c:pt idx="3">
                  <c:v>1.13328124530176</c:v>
                </c:pt>
                <c:pt idx="4">
                  <c:v>1.13919387091577</c:v>
                </c:pt>
                <c:pt idx="5">
                  <c:v>1.14276953203344</c:v>
                </c:pt>
                <c:pt idx="6">
                  <c:v>1.14494121549499</c:v>
                </c:pt>
                <c:pt idx="7">
                  <c:v>1.14626100909033</c:v>
                </c:pt>
                <c:pt idx="8">
                  <c:v>1.14706329015564</c:v>
                </c:pt>
                <c:pt idx="9">
                  <c:v>1.14755026022571</c:v>
                </c:pt>
                <c:pt idx="10">
                  <c:v>1.14784553639248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'Toll-Compare'!$C$1</c:f>
              <c:strCache>
                <c:ptCount val="1"/>
                <c:pt idx="0">
                  <c:v>W-Jurisdiction Size=10 km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'Toll-Compare'!$C$2:$C$12</c:f>
              <c:numCache>
                <c:formatCode>0.00</c:formatCode>
                <c:ptCount val="11"/>
                <c:pt idx="0">
                  <c:v>0.653294561493362</c:v>
                </c:pt>
                <c:pt idx="1">
                  <c:v>0.651193068385082</c:v>
                </c:pt>
                <c:pt idx="2">
                  <c:v>0.650063303222383</c:v>
                </c:pt>
                <c:pt idx="3">
                  <c:v>0.649385642252832</c:v>
                </c:pt>
                <c:pt idx="4">
                  <c:v>0.648967816523326</c:v>
                </c:pt>
                <c:pt idx="5">
                  <c:v>0.648709872054374</c:v>
                </c:pt>
                <c:pt idx="6">
                  <c:v>0.648551118720517</c:v>
                </c:pt>
                <c:pt idx="7">
                  <c:v>0.648453669941319</c:v>
                </c:pt>
                <c:pt idx="8">
                  <c:v>0.649010744656215</c:v>
                </c:pt>
                <c:pt idx="9">
                  <c:v>0.648998009564206</c:v>
                </c:pt>
                <c:pt idx="10">
                  <c:v>0.648975305075598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'Toll-Compare'!$D$1</c:f>
              <c:strCache>
                <c:ptCount val="1"/>
                <c:pt idx="0">
                  <c:v>∏-Jurisdiction Size=1 km</c:v>
                </c:pt>
              </c:strCache>
            </c:strRef>
          </c:tx>
          <c:spPr>
            <a:solidFill>
              <a:srgbClr val="1FB714"/>
            </a:solidFill>
            <a:ln w="12600">
              <a:solidFill>
                <a:srgbClr val="1FB714"/>
              </a:solidFill>
              <a:custDash>
                <a:ds d="12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12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'Toll-Compare'!$D$2:$D$12</c:f>
              <c:numCache>
                <c:formatCode>0.00</c:formatCode>
                <c:ptCount val="11"/>
                <c:pt idx="0">
                  <c:v>0.656444685897722</c:v>
                </c:pt>
                <c:pt idx="1">
                  <c:v>0.89691323176841</c:v>
                </c:pt>
                <c:pt idx="2">
                  <c:v>0.983088330594785</c:v>
                </c:pt>
                <c:pt idx="3">
                  <c:v>1.02592355648114</c:v>
                </c:pt>
                <c:pt idx="4">
                  <c:v>1.05056530152919</c:v>
                </c:pt>
                <c:pt idx="5">
                  <c:v>1.0654426061564</c:v>
                </c:pt>
                <c:pt idx="6">
                  <c:v>1.07453680709188</c:v>
                </c:pt>
                <c:pt idx="7">
                  <c:v>1.08079608061397</c:v>
                </c:pt>
                <c:pt idx="8">
                  <c:v>1.08420655473874</c:v>
                </c:pt>
                <c:pt idx="9">
                  <c:v>1.08628461621193</c:v>
                </c:pt>
                <c:pt idx="10">
                  <c:v>1.08754879005182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'Toll-Compare'!$E$1</c:f>
              <c:strCache>
                <c:ptCount val="1"/>
                <c:pt idx="0">
                  <c:v>W-Jurisdiction Size=1 km</c:v>
                </c:pt>
              </c:strCache>
            </c:strRef>
          </c:tx>
          <c:spPr>
            <a:solidFill>
              <a:srgbClr val="00FFFF"/>
            </a:solidFill>
            <a:ln w="0">
              <a:solidFill>
                <a:srgbClr val="00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'Toll-Compare'!$A$2:$A$12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'Toll-Compare'!$E$2:$E$12</c:f>
              <c:numCache>
                <c:formatCode>0.00</c:formatCode>
                <c:ptCount val="11"/>
                <c:pt idx="0">
                  <c:v>0.588971896540793</c:v>
                </c:pt>
                <c:pt idx="1">
                  <c:v>0.588878310545447</c:v>
                </c:pt>
                <c:pt idx="2">
                  <c:v>0.588839118548493</c:v>
                </c:pt>
                <c:pt idx="3">
                  <c:v>0.588816078074345</c:v>
                </c:pt>
                <c:pt idx="4">
                  <c:v>0.588801224657779</c:v>
                </c:pt>
                <c:pt idx="5">
                  <c:v>0.588971896540793</c:v>
                </c:pt>
                <c:pt idx="6">
                  <c:v>0.588971896540793</c:v>
                </c:pt>
                <c:pt idx="7">
                  <c:v>0.588971896540793</c:v>
                </c:pt>
                <c:pt idx="8">
                  <c:v>0.588971896540793</c:v>
                </c:pt>
                <c:pt idx="9">
                  <c:v>0.588971896540793</c:v>
                </c:pt>
                <c:pt idx="10">
                  <c:v>0.589349332866895</c:v>
                </c:pt>
              </c:numCache>
            </c:numRef>
          </c:yVal>
          <c:smooth val="0"/>
        </c:ser>
        <c:axId val="7977285"/>
        <c:axId val="71621338"/>
      </c:scatterChart>
      <c:valAx>
        <c:axId val="7977285"/>
        <c:scaling>
          <c:orientation val="minMax"/>
          <c:max val="1.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 Environment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621338"/>
        <c:crossesAt val="0"/>
        <c:crossBetween val="midCat"/>
      </c:valAx>
      <c:valAx>
        <c:axId val="7162133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uFillTx/>
                    <a:latin typeface="Geneva"/>
                  </a:rPr>
                  <a:t>Toll J</a:t>
                </a:r>
                <a:r>
                  <a:rPr sz="900" b="1" u="none" strike="noStrike" baseline="-33000">
                    <a:uFillTx/>
                    <a:latin typeface="Geneva"/>
                  </a:rPr>
                  <a:t>0</a:t>
                </a:r>
                <a:r>
                  <a:rPr sz="900" b="1" u="none" strike="noStrike">
                    <a:uFillTx/>
                    <a:latin typeface="Geneva"/>
                  </a:rPr>
                  <a:t>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977285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918692847522507"/>
          <c:y val="0.92201226587104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Uniqueness: Equilibrium Tolls as Starting Point (S) of Other Jurisdiction's Tolls Varies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55012099057818"/>
          <c:y val="0.170140671526851"/>
          <c:w val="0.810791329866653"/>
          <c:h val="0.69617003799158"/>
        </c:manualLayout>
      </c:layout>
      <c:lineChart>
        <c:grouping val="standard"/>
        <c:varyColors val="0"/>
        <c:ser>
          <c:idx val="0"/>
          <c:order val="0"/>
          <c:tx>
            <c:strRef>
              <c:f>'W-UNIQUE-JS=1'!$C$27</c:f>
              <c:strCache>
                <c:ptCount val="1"/>
                <c:pt idx="0">
                  <c:v>S=-1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'W-UNIQUE-JS=1'!$C$28:$C$33</c:f>
              <c:numCache>
                <c:formatCode>General</c:formatCode>
                <c:ptCount val="6"/>
                <c:pt idx="0">
                  <c:v>-1</c:v>
                </c:pt>
                <c:pt idx="1">
                  <c:v>-0.135472620081743</c:v>
                </c:pt>
                <c:pt idx="2">
                  <c:v>0.589031656340516</c:v>
                </c:pt>
                <c:pt idx="3">
                  <c:v>0.588869345800783</c:v>
                </c:pt>
                <c:pt idx="4">
                  <c:v>0.588869361069999</c:v>
                </c:pt>
                <c:pt idx="5">
                  <c:v>0.588869361068835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'W-UNIQUE-JS=1'!$D$27</c:f>
              <c:strCache>
                <c:ptCount val="1"/>
                <c:pt idx="0">
                  <c:v>S=0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'W-UNIQUE-JS=1'!$D$28:$D$33</c:f>
              <c:numCache>
                <c:formatCode>General</c:formatCode>
                <c:ptCount val="6"/>
                <c:pt idx="0">
                  <c:v>0</c:v>
                </c:pt>
                <c:pt idx="1">
                  <c:v>0.588971375654211</c:v>
                </c:pt>
                <c:pt idx="2">
                  <c:v>0.588869351470994</c:v>
                </c:pt>
                <c:pt idx="3">
                  <c:v>0.588869361069848</c:v>
                </c:pt>
                <c:pt idx="4">
                  <c:v>0.588869361069394</c:v>
                </c:pt>
                <c:pt idx="5">
                  <c:v>0.588869361067716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'W-UNIQUE-JS=1'!$E$27</c:f>
              <c:strCache>
                <c:ptCount val="1"/>
                <c:pt idx="0">
                  <c:v>S=1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'W-UNIQUE-JS=1'!$E$28:$E$33</c:f>
              <c:numCache>
                <c:formatCode>General</c:formatCode>
                <c:ptCount val="6"/>
                <c:pt idx="0">
                  <c:v>1</c:v>
                </c:pt>
                <c:pt idx="1">
                  <c:v>0.588839093238567</c:v>
                </c:pt>
                <c:pt idx="2">
                  <c:v>0.588869363917959</c:v>
                </c:pt>
                <c:pt idx="3">
                  <c:v>0.588869361067688</c:v>
                </c:pt>
                <c:pt idx="4">
                  <c:v>0.588869361069579</c:v>
                </c:pt>
                <c:pt idx="5">
                  <c:v>0.588869361069045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'W-UNIQUE-JS=1'!$F$27</c:f>
              <c:strCache>
                <c:ptCount val="1"/>
                <c:pt idx="0">
                  <c:v>S=10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'W-UNIQUE-JS=1'!$F$28:$F$33</c:f>
              <c:numCache>
                <c:formatCode>0</c:formatCode>
                <c:ptCount val="6"/>
                <c:pt idx="0">
                  <c:v>10</c:v>
                </c:pt>
                <c:pt idx="1">
                  <c:v>0.603953412384229</c:v>
                </c:pt>
                <c:pt idx="2">
                  <c:v>0.588867955918557</c:v>
                </c:pt>
                <c:pt idx="3">
                  <c:v>0.588869361200466</c:v>
                </c:pt>
                <c:pt idx="4">
                  <c:v>0.58886936106907</c:v>
                </c:pt>
                <c:pt idx="5">
                  <c:v>0.588869361069265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727003"/>
        <c:axId val="96513917"/>
      </c:lineChart>
      <c:catAx>
        <c:axId val="98727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Iteration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6513917"/>
        <c:crossesAt val="0"/>
        <c:auto val="1"/>
        <c:lblAlgn val="ctr"/>
        <c:lblOffset val="100"/>
        <c:noMultiLvlLbl val="0"/>
      </c:catAx>
      <c:valAx>
        <c:axId val="9651391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of Toll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8727003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92745713844411"/>
          <c:y val="0.90389156997638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449602676704308"/>
          <c:y val="0.167771028897478"/>
          <c:w val="0.821371810957758"/>
          <c:h val="0.712037548315848"/>
        </c:manualLayout>
      </c:layout>
      <c:lineChart>
        <c:grouping val="standard"/>
        <c:varyColors val="0"/>
        <c:ser>
          <c:idx val="0"/>
          <c:order val="0"/>
          <c:tx>
            <c:strRef>
              <c:f>'W-UNIQUE-JS=1'!$C$27</c:f>
              <c:strCache>
                <c:ptCount val="1"/>
                <c:pt idx="0">
                  <c:v>S=-1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'W-UNIQUE-JS=1'!$C$28:$C$33</c:f>
              <c:numCache>
                <c:formatCode>General</c:formatCode>
                <c:ptCount val="6"/>
                <c:pt idx="0">
                  <c:v>-1</c:v>
                </c:pt>
                <c:pt idx="1">
                  <c:v>-0.135472620081743</c:v>
                </c:pt>
                <c:pt idx="2">
                  <c:v>0.589031656340516</c:v>
                </c:pt>
                <c:pt idx="3">
                  <c:v>0.588869345800783</c:v>
                </c:pt>
                <c:pt idx="4">
                  <c:v>0.588869361069999</c:v>
                </c:pt>
                <c:pt idx="5">
                  <c:v>0.588869361068835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'W-UNIQUE-JS=1'!$D$27</c:f>
              <c:strCache>
                <c:ptCount val="1"/>
                <c:pt idx="0">
                  <c:v>S=0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'W-UNIQUE-JS=1'!$D$28:$D$33</c:f>
              <c:numCache>
                <c:formatCode>General</c:formatCode>
                <c:ptCount val="6"/>
                <c:pt idx="0">
                  <c:v>0</c:v>
                </c:pt>
                <c:pt idx="1">
                  <c:v>0.588971375654211</c:v>
                </c:pt>
                <c:pt idx="2">
                  <c:v>0.588869351470994</c:v>
                </c:pt>
                <c:pt idx="3">
                  <c:v>0.588869361069848</c:v>
                </c:pt>
                <c:pt idx="4">
                  <c:v>0.588869361069394</c:v>
                </c:pt>
                <c:pt idx="5">
                  <c:v>0.588869361067716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'W-UNIQUE-JS=1'!$E$27</c:f>
              <c:strCache>
                <c:ptCount val="1"/>
                <c:pt idx="0">
                  <c:v>S=1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'W-UNIQUE-JS=1'!$E$28:$E$33</c:f>
              <c:numCache>
                <c:formatCode>General</c:formatCode>
                <c:ptCount val="6"/>
                <c:pt idx="0">
                  <c:v>1</c:v>
                </c:pt>
                <c:pt idx="1">
                  <c:v>0.588839093238567</c:v>
                </c:pt>
                <c:pt idx="2">
                  <c:v>0.588869363917959</c:v>
                </c:pt>
                <c:pt idx="3">
                  <c:v>0.588869361067688</c:v>
                </c:pt>
                <c:pt idx="4">
                  <c:v>0.588869361069579</c:v>
                </c:pt>
                <c:pt idx="5">
                  <c:v>0.588869361069045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'W-UNIQUE-JS=1'!$F$27</c:f>
              <c:strCache>
                <c:ptCount val="1"/>
                <c:pt idx="0">
                  <c:v>S=10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'W-UNIQUE-JS=1'!$B$28:$B$33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'W-UNIQUE-JS=1'!$F$28:$F$33</c:f>
              <c:numCache>
                <c:formatCode>0</c:formatCode>
                <c:ptCount val="6"/>
                <c:pt idx="0">
                  <c:v>10</c:v>
                </c:pt>
                <c:pt idx="1">
                  <c:v>0.603953412384229</c:v>
                </c:pt>
                <c:pt idx="2">
                  <c:v>0.588867955918557</c:v>
                </c:pt>
                <c:pt idx="3">
                  <c:v>0.588869361200466</c:v>
                </c:pt>
                <c:pt idx="4">
                  <c:v>0.58886936106907</c:v>
                </c:pt>
                <c:pt idx="5">
                  <c:v>0.588869361069265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324346"/>
        <c:axId val="39951296"/>
      </c:lineChart>
      <c:catAx>
        <c:axId val="32324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Iteration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9951296"/>
        <c:crossesAt val="0"/>
        <c:auto val="1"/>
        <c:lblAlgn val="ctr"/>
        <c:lblOffset val="100"/>
        <c:noMultiLvlLbl val="0"/>
      </c:catAx>
      <c:valAx>
        <c:axId val="3995129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2324346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1836051861146"/>
          <c:y val="0.91358365543898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55</xdr:row>
      <xdr:rowOff>12600</xdr:rowOff>
    </xdr:from>
    <xdr:to>
      <xdr:col>12</xdr:col>
      <xdr:colOff>720</xdr:colOff>
      <xdr:row>75</xdr:row>
      <xdr:rowOff>25200</xdr:rowOff>
    </xdr:to>
    <xdr:graphicFrame>
      <xdr:nvGraphicFramePr>
        <xdr:cNvPr id="1" name="Chart 1"/>
        <xdr:cNvGraphicFramePr/>
      </xdr:nvGraphicFramePr>
      <xdr:xfrm>
        <a:off x="36000" y="9093240"/>
        <a:ext cx="6930720" cy="331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0.000259699787046175</cdr:x>
      <cdr:y>0.82254561251086</cdr:y>
    </cdr:from>
    <cdr:to>
      <cdr:x>0.392769957928635</cdr:x>
      <cdr:y>0.948523023457863</cdr:y>
    </cdr:to>
    <cdr:sp>
      <cdr:nvSpPr>
        <cdr:cNvPr id="2" name="Text 4"/>
        <cdr:cNvSpPr/>
      </cdr:nvSpPr>
      <cdr:spPr>
        <a:xfrm>
          <a:off x="1800" y="2726640"/>
          <a:ext cx="2720520" cy="4176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Jurisdiction Size = 10, Empirical Values,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Welfare Maximizing Toll = 0.6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53</xdr:row>
      <xdr:rowOff>63360</xdr:rowOff>
    </xdr:from>
    <xdr:to>
      <xdr:col>12</xdr:col>
      <xdr:colOff>157680</xdr:colOff>
      <xdr:row>75</xdr:row>
      <xdr:rowOff>114120</xdr:rowOff>
    </xdr:to>
    <xdr:graphicFrame>
      <xdr:nvGraphicFramePr>
        <xdr:cNvPr id="3" name="Chart 1"/>
        <xdr:cNvGraphicFramePr/>
      </xdr:nvGraphicFramePr>
      <xdr:xfrm>
        <a:off x="36000" y="8813520"/>
        <a:ext cx="7087680" cy="368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0.00650109198029357</cdr:x>
      <cdr:y>0.902462861610633</cdr:y>
    </cdr:from>
    <cdr:to>
      <cdr:x>0.693229722179897</cdr:x>
      <cdr:y>0.990715402658327</cdr:y>
    </cdr:to>
    <cdr:sp>
      <cdr:nvSpPr>
        <cdr:cNvPr id="4" name="Text 4"/>
        <cdr:cNvSpPr/>
      </cdr:nvSpPr>
      <cdr:spPr>
        <a:xfrm>
          <a:off x="46080" y="3324240"/>
          <a:ext cx="4867560" cy="325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Jurisdiction Size = 10, Empirical Values, </a:t>
          </a:r>
          <a:endParaRPr sz="1000" b="0" u="none" strike="noStrike">
            <a:effectLst/>
            <a:uFillTx/>
            <a:latin typeface="Times New Roman"/>
          </a:endParaRPr>
        </a:p>
        <a:p>
          <a:r>
            <a:rPr sz="1000" b="0" u="none" strike="noStrike">
              <a:effectLst/>
              <a:uFillTx/>
              <a:latin typeface="Geneva"/>
            </a:rPr>
            <a:t>Welfare Maximizing Toll = 0.6, Non-cooperative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37440</xdr:colOff>
      <xdr:row>52</xdr:row>
      <xdr:rowOff>75960</xdr:rowOff>
    </xdr:from>
    <xdr:to>
      <xdr:col>8</xdr:col>
      <xdr:colOff>1080</xdr:colOff>
      <xdr:row>74</xdr:row>
      <xdr:rowOff>76320</xdr:rowOff>
    </xdr:to>
    <xdr:graphicFrame>
      <xdr:nvGraphicFramePr>
        <xdr:cNvPr id="5" name="Chart 1"/>
        <xdr:cNvGraphicFramePr/>
      </xdr:nvGraphicFramePr>
      <xdr:xfrm>
        <a:off x="37440" y="8661240"/>
        <a:ext cx="7431120" cy="36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12600</xdr:colOff>
      <xdr:row>75</xdr:row>
      <xdr:rowOff>0</xdr:rowOff>
    </xdr:from>
    <xdr:to>
      <xdr:col>7</xdr:col>
      <xdr:colOff>909720</xdr:colOff>
      <xdr:row>96</xdr:row>
      <xdr:rowOff>164880</xdr:rowOff>
    </xdr:to>
    <xdr:graphicFrame>
      <xdr:nvGraphicFramePr>
        <xdr:cNvPr id="15" name="Chart 2"/>
        <xdr:cNvGraphicFramePr/>
      </xdr:nvGraphicFramePr>
      <xdr:xfrm>
        <a:off x="12600" y="12382560"/>
        <a:ext cx="7431120" cy="363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261720</xdr:colOff>
      <xdr:row>2</xdr:row>
      <xdr:rowOff>25200</xdr:rowOff>
    </xdr:from>
    <xdr:to>
      <xdr:col>17</xdr:col>
      <xdr:colOff>747360</xdr:colOff>
      <xdr:row>30</xdr:row>
      <xdr:rowOff>25200</xdr:rowOff>
    </xdr:to>
    <xdr:graphicFrame>
      <xdr:nvGraphicFramePr>
        <xdr:cNvPr id="25" name="Chart 3"/>
        <xdr:cNvGraphicFramePr/>
      </xdr:nvGraphicFramePr>
      <xdr:xfrm>
        <a:off x="6795720" y="355320"/>
        <a:ext cx="9820440" cy="462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0.200261589885191</cdr:x>
      <cdr:y>0.660192250520266</cdr:y>
    </cdr:from>
    <cdr:to>
      <cdr:x>0.200261589885191</cdr:x>
      <cdr:y>0.679912793578436</cdr:y>
    </cdr:to>
    <cdr:sp>
      <cdr:nvSpPr>
        <cdr:cNvPr id="6" name="Line 1"/>
        <cdr:cNvSpPr/>
      </cdr:nvSpPr>
      <cdr:spPr>
        <a:xfrm flipV="1">
          <a:off x="1488240" y="2398320"/>
          <a:ext cx="0" cy="7164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</cdr:x>
      <cdr:y>0.922207908036865</cdr:y>
    </cdr:from>
    <cdr:to>
      <cdr:x>0.926997045003149</cdr:x>
      <cdr:y>0.983252403131503</cdr:y>
    </cdr:to>
    <cdr:sp>
      <cdr:nvSpPr>
        <cdr:cNvPr id="7" name="Text 2"/>
        <cdr:cNvSpPr/>
      </cdr:nvSpPr>
      <cdr:spPr>
        <a:xfrm>
          <a:off x="0" y="3350160"/>
          <a:ext cx="6888960" cy="221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Jurisdiction Size=10, Baseline Empirical Values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0.383762050089619</cdr:x>
      <cdr:y>0.162719254781488</cdr:y>
    </cdr:from>
    <cdr:to>
      <cdr:x>0.383762050089619</cdr:x>
      <cdr:y>0.551778812803488</cdr:y>
    </cdr:to>
    <cdr:sp>
      <cdr:nvSpPr>
        <cdr:cNvPr id="8" name="Line 3"/>
        <cdr:cNvSpPr/>
      </cdr:nvSpPr>
      <cdr:spPr>
        <a:xfrm flipV="1">
          <a:off x="2851920" y="591120"/>
          <a:ext cx="0" cy="141336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0.573753814852492</cdr:x>
      <cdr:y>0.433257358041819</cdr:y>
    </cdr:from>
    <cdr:to>
      <cdr:x>0.573753814852492</cdr:x>
      <cdr:y>0.551778812803488</cdr:y>
    </cdr:to>
    <cdr:sp>
      <cdr:nvSpPr>
        <cdr:cNvPr id="9" name="Line 4"/>
        <cdr:cNvSpPr/>
      </cdr:nvSpPr>
      <cdr:spPr>
        <a:xfrm>
          <a:off x="4263840" y="1573920"/>
          <a:ext cx="0" cy="43056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0.060989197306593</cdr:x>
      <cdr:y>0.200277474977703</cdr:y>
    </cdr:from>
    <cdr:to>
      <cdr:x>0.0767330329893911</cdr:x>
      <cdr:y>0.285204637796056</cdr:y>
    </cdr:to>
    <cdr:sp>
      <cdr:nvSpPr>
        <cdr:cNvPr id="10" name="Oval 5"/>
        <cdr:cNvSpPr/>
      </cdr:nvSpPr>
      <cdr:spPr>
        <a:xfrm>
          <a:off x="453240" y="727560"/>
          <a:ext cx="117000" cy="308520"/>
        </a:xfrm>
        <a:prstGeom prst="ellipse">
          <a:avLst/>
        </a:prstGeom>
        <a:noFill/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0.13675337886935</cdr:x>
      <cdr:y>0.35249231988901</cdr:y>
    </cdr:from>
    <cdr:to>
      <cdr:x>0.284261008574335</cdr:x>
      <cdr:y>0.43127539391537</cdr:y>
    </cdr:to>
    <cdr:sp>
      <cdr:nvSpPr>
        <cdr:cNvPr id="11" name="Text 6"/>
        <cdr:cNvSpPr/>
      </cdr:nvSpPr>
      <cdr:spPr>
        <a:xfrm>
          <a:off x="1016280" y="1280520"/>
          <a:ext cx="1096200" cy="286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Collection Costs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0.0732451678535097</cdr:x>
      <cdr:y>0.263204835992469</cdr:y>
    </cdr:from>
    <cdr:to>
      <cdr:x>0.133023300876811</cdr:x>
      <cdr:y>0.355960757110296</cdr:y>
    </cdr:to>
    <cdr:sp>
      <cdr:nvSpPr>
        <cdr:cNvPr id="12" name="Line 7"/>
        <cdr:cNvSpPr/>
      </cdr:nvSpPr>
      <cdr:spPr>
        <a:xfrm flipH="1" flipV="1">
          <a:off x="544320" y="956160"/>
          <a:ext cx="444240" cy="3369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0.576515041418399</cdr:x>
      <cdr:y>0.436527598850461</cdr:y>
    </cdr:from>
    <cdr:to>
      <cdr:x>0.617255243908347</cdr:x>
      <cdr:y>0.504508968387672</cdr:y>
    </cdr:to>
    <cdr:sp>
      <cdr:nvSpPr>
        <cdr:cNvPr id="13" name="Text 8"/>
        <cdr:cNvSpPr/>
      </cdr:nvSpPr>
      <cdr:spPr>
        <a:xfrm>
          <a:off x="4284360" y="1585800"/>
          <a:ext cx="302760" cy="246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∏*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0.393014581213971</cdr:x>
      <cdr:y>0.170548013080963</cdr:y>
    </cdr:from>
    <cdr:to>
      <cdr:x>0.440488301119023</cdr:x>
      <cdr:y>0.227727678129026</cdr:y>
    </cdr:to>
    <cdr:sp>
      <cdr:nvSpPr>
        <cdr:cNvPr id="14" name="Text 9"/>
        <cdr:cNvSpPr/>
      </cdr:nvSpPr>
      <cdr:spPr>
        <a:xfrm>
          <a:off x="2920680" y="619560"/>
          <a:ext cx="352800" cy="207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W*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0.200019377028533</cdr:x>
      <cdr:y>0.6601585728444</cdr:y>
    </cdr:from>
    <cdr:to>
      <cdr:x>0.200019377028533</cdr:x>
      <cdr:y>0.6798810703667</cdr:y>
    </cdr:to>
    <cdr:sp>
      <cdr:nvSpPr>
        <cdr:cNvPr id="16" name="Line 1"/>
        <cdr:cNvSpPr/>
      </cdr:nvSpPr>
      <cdr:spPr>
        <a:xfrm flipV="1">
          <a:off x="1486440" y="2397960"/>
          <a:ext cx="0" cy="7164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0.000726638569975294</cdr:x>
      <cdr:y>0.922794846382557</cdr:y>
    </cdr:from>
    <cdr:to>
      <cdr:x>0.924478031293901</cdr:x>
      <cdr:y>0.983746283448959</cdr:y>
    </cdr:to>
    <cdr:sp>
      <cdr:nvSpPr>
        <cdr:cNvPr id="17" name="Text 2"/>
        <cdr:cNvSpPr/>
      </cdr:nvSpPr>
      <cdr:spPr>
        <a:xfrm>
          <a:off x="5400" y="3351960"/>
          <a:ext cx="6864840" cy="221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Jurisdiction Size=10, Baseline Empirical Values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0.38148524923703</cdr:x>
      <cdr:y>0.201883052527255</cdr:y>
    </cdr:from>
    <cdr:to>
      <cdr:x>0.38148524923703</cdr:x>
      <cdr:y>0.578196233894946</cdr:y>
    </cdr:to>
    <cdr:sp>
      <cdr:nvSpPr>
        <cdr:cNvPr id="18" name="Line 3"/>
        <cdr:cNvSpPr/>
      </cdr:nvSpPr>
      <cdr:spPr>
        <a:xfrm flipV="1">
          <a:off x="2835000" y="733320"/>
          <a:ext cx="0" cy="136692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0.574480453422468</cdr:x>
      <cdr:y>0.525272547076313</cdr:y>
    </cdr:from>
    <cdr:to>
      <cdr:x>0.574480453422468</cdr:x>
      <cdr:y>0.587710604558969</cdr:y>
    </cdr:to>
    <cdr:sp>
      <cdr:nvSpPr>
        <cdr:cNvPr id="19" name="Line 4"/>
        <cdr:cNvSpPr/>
      </cdr:nvSpPr>
      <cdr:spPr>
        <a:xfrm>
          <a:off x="4269240" y="1908000"/>
          <a:ext cx="0" cy="22680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0.0630237853025239</cdr:x>
      <cdr:y>0.200297324083251</cdr:y>
    </cdr:from>
    <cdr:to>
      <cdr:x>0.0767330329893911</cdr:x>
      <cdr:y>0.285232903865213</cdr:y>
    </cdr:to>
    <cdr:sp>
      <cdr:nvSpPr>
        <cdr:cNvPr id="20" name="Oval 5"/>
        <cdr:cNvSpPr/>
      </cdr:nvSpPr>
      <cdr:spPr>
        <a:xfrm>
          <a:off x="468360" y="727560"/>
          <a:ext cx="101880" cy="308520"/>
        </a:xfrm>
        <a:prstGeom prst="ellipse">
          <a:avLst/>
        </a:prstGeom>
        <a:noFill/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0.136511166012692</cdr:x>
      <cdr:y>0.352527254707631</cdr:y>
    </cdr:from>
    <cdr:to>
      <cdr:x>0.284018795717677</cdr:x>
      <cdr:y>0.431219028741328</cdr:y>
    </cdr:to>
    <cdr:sp>
      <cdr:nvSpPr>
        <cdr:cNvPr id="21" name="Text 6"/>
        <cdr:cNvSpPr/>
      </cdr:nvSpPr>
      <cdr:spPr>
        <a:xfrm>
          <a:off x="1014480" y="1280520"/>
          <a:ext cx="1096200" cy="2858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Collection Costs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0.0732451678535097</cdr:x>
      <cdr:y>0.263230921704658</cdr:y>
    </cdr:from>
    <cdr:to>
      <cdr:x>0.133023300876811</cdr:x>
      <cdr:y>0.35599603567889</cdr:y>
    </cdr:to>
    <cdr:sp>
      <cdr:nvSpPr>
        <cdr:cNvPr id="22" name="Line 7"/>
        <cdr:cNvSpPr/>
      </cdr:nvSpPr>
      <cdr:spPr>
        <a:xfrm flipH="1" flipV="1">
          <a:off x="544320" y="956160"/>
          <a:ext cx="444240" cy="3369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0.578985612556315</cdr:x>
      <cdr:y>0.528741328047572</cdr:y>
    </cdr:from>
    <cdr:to>
      <cdr:x>0.619725815046263</cdr:x>
      <cdr:y>0.596729435084242</cdr:y>
    </cdr:to>
    <cdr:sp>
      <cdr:nvSpPr>
        <cdr:cNvPr id="23" name="Text 8"/>
        <cdr:cNvSpPr/>
      </cdr:nvSpPr>
      <cdr:spPr>
        <a:xfrm>
          <a:off x="4302720" y="1920600"/>
          <a:ext cx="302760" cy="246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∏*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0.390495567504723</cdr:x>
      <cdr:y>0.203468780971259</cdr:y>
    </cdr:from>
    <cdr:to>
      <cdr:x>0.434481422273894</cdr:x>
      <cdr:y>0.260753221010902</cdr:y>
    </cdr:to>
    <cdr:sp>
      <cdr:nvSpPr>
        <cdr:cNvPr id="24" name="Text 9"/>
        <cdr:cNvSpPr/>
      </cdr:nvSpPr>
      <cdr:spPr>
        <a:xfrm>
          <a:off x="2901960" y="739080"/>
          <a:ext cx="326880" cy="208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W*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0.0804985337243402</cdr:x>
      <cdr:y>0.246768416134559</cdr:y>
    </cdr:from>
    <cdr:to>
      <cdr:x>0.0982404692082111</cdr:x>
      <cdr:y>0.325027254321757</cdr:y>
    </cdr:to>
    <cdr:sp>
      <cdr:nvSpPr>
        <cdr:cNvPr id="26" name="Oval 7"/>
        <cdr:cNvSpPr/>
      </cdr:nvSpPr>
      <cdr:spPr>
        <a:xfrm>
          <a:off x="790560" y="1140840"/>
          <a:ext cx="174240" cy="361800"/>
        </a:xfrm>
        <a:prstGeom prst="ellipse">
          <a:avLst/>
        </a:prstGeom>
        <a:noFill/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0.215982404692082</cdr:x>
      <cdr:y>0.203161501323781</cdr:y>
    </cdr:from>
    <cdr:to>
      <cdr:x>0.215982404692082</cdr:x>
      <cdr:y>0.606136115869802</cdr:y>
    </cdr:to>
    <cdr:sp>
      <cdr:nvSpPr>
        <cdr:cNvPr id="27" name="Line 3"/>
        <cdr:cNvSpPr/>
      </cdr:nvSpPr>
      <cdr:spPr>
        <a:xfrm flipV="1">
          <a:off x="2121120" y="939240"/>
          <a:ext cx="0" cy="186300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0.212243401759531</cdr:x>
      <cdr:y>0.614234542906089</cdr:y>
    </cdr:from>
    <cdr:to>
      <cdr:x>0.24299853372434</cdr:x>
      <cdr:y>0.660099672948139</cdr:y>
    </cdr:to>
    <cdr:sp>
      <cdr:nvSpPr>
        <cdr:cNvPr id="28" name="Text 4"/>
        <cdr:cNvSpPr/>
      </cdr:nvSpPr>
      <cdr:spPr>
        <a:xfrm>
          <a:off x="2084400" y="2839680"/>
          <a:ext cx="302040" cy="2120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spAutoFit/>
        </a:bodyPr>
        <a:p>
          <a:r>
            <a:rPr sz="1070" b="0" u="none" strike="noStrike">
              <a:effectLst/>
              <a:uFillTx/>
              <a:latin typeface="Geneva"/>
            </a:rPr>
            <a:t>W*</a:t>
          </a:r>
          <a:endParaRPr sz="107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0.257624633431085</cdr:x>
      <cdr:y>0.546332346986451</cdr:y>
    </cdr:from>
    <cdr:to>
      <cdr:x>0.313159824046921</cdr:x>
      <cdr:y>0.547889736801121</cdr:y>
    </cdr:to>
    <cdr:sp>
      <cdr:nvSpPr>
        <cdr:cNvPr id="29" name="Line 5"/>
        <cdr:cNvSpPr/>
      </cdr:nvSpPr>
      <cdr:spPr>
        <a:xfrm flipV="1">
          <a:off x="2799000" y="2256840"/>
          <a:ext cx="7200" cy="54540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0.281488269794721</cdr:x>
      <cdr:y>0.620464102164772</cdr:y>
    </cdr:from>
    <cdr:to>
      <cdr:x>0.30975073313783</cdr:x>
      <cdr:y>0.666329232206821</cdr:y>
    </cdr:to>
    <cdr:sp>
      <cdr:nvSpPr>
        <cdr:cNvPr id="30" name="Text 6"/>
        <cdr:cNvSpPr/>
      </cdr:nvSpPr>
      <cdr:spPr>
        <a:xfrm>
          <a:off x="2764440" y="2868480"/>
          <a:ext cx="277560" cy="2120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spAutoFit/>
        </a:bodyPr>
        <a:p>
          <a:r>
            <a:rPr sz="1100" b="0" u="none" strike="noStrike">
              <a:effectLst/>
              <a:uFillTx/>
              <a:latin typeface="Symbol"/>
            </a:rPr>
            <a:t>P</a:t>
          </a:r>
          <a:r>
            <a:rPr sz="1070" b="0" u="none" strike="noStrike">
              <a:effectLst/>
              <a:uFillTx/>
              <a:latin typeface="Geneva"/>
            </a:rPr>
            <a:t>*</a:t>
          </a:r>
          <a:endParaRPr sz="107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0.0804985337243402</cdr:x>
      <cdr:y>0.325027254321757</cdr:y>
    </cdr:from>
    <cdr:to>
      <cdr:x>0.0982404692082111</cdr:x>
      <cdr:y>0.403519700981156</cdr:y>
    </cdr:to>
    <cdr:sp>
      <cdr:nvSpPr>
        <cdr:cNvPr id="31" name="Oval 8"/>
        <cdr:cNvSpPr/>
      </cdr:nvSpPr>
      <cdr:spPr>
        <a:xfrm>
          <a:off x="790560" y="1502640"/>
          <a:ext cx="174240" cy="362880"/>
        </a:xfrm>
        <a:prstGeom prst="ellipse">
          <a:avLst/>
        </a:prstGeom>
        <a:noFill/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0.0982404692082111</cdr:x>
      <cdr:y>0.380937548668432</cdr:y>
    </cdr:from>
    <cdr:to>
      <cdr:x>0.137243401759531</cdr:x>
      <cdr:y>0.420417380470332</cdr:y>
    </cdr:to>
    <cdr:sp>
      <cdr:nvSpPr>
        <cdr:cNvPr id="32" name="Line 10"/>
        <cdr:cNvSpPr/>
      </cdr:nvSpPr>
      <cdr:spPr>
        <a:xfrm flipH="1" flipV="1">
          <a:off x="964800" y="1761120"/>
          <a:ext cx="383040" cy="18252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0.0899926686217009</cdr:x>
      <cdr:y>0.319965737424077</cdr:y>
    </cdr:from>
    <cdr:to>
      <cdr:x>0.145527859237537</cdr:x>
      <cdr:y>0.402818875564554</cdr:y>
    </cdr:to>
    <cdr:sp>
      <cdr:nvSpPr>
        <cdr:cNvPr id="33" name="Line 11"/>
        <cdr:cNvSpPr/>
      </cdr:nvSpPr>
      <cdr:spPr>
        <a:xfrm flipH="1" flipV="1">
          <a:off x="964800" y="1398240"/>
          <a:ext cx="383040" cy="5454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0.139736070381232</cdr:x>
      <cdr:y>0.403519700981156</cdr:y>
    </cdr:from>
    <cdr:to>
      <cdr:x>0.21400293255132</cdr:x>
      <cdr:y>0.486450708612366</cdr:y>
    </cdr:to>
    <cdr:sp>
      <cdr:nvSpPr>
        <cdr:cNvPr id="34" name="Text 12"/>
        <cdr:cNvSpPr/>
      </cdr:nvSpPr>
      <cdr:spPr>
        <a:xfrm>
          <a:off x="1372320" y="1865520"/>
          <a:ext cx="729360" cy="383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spAutoFit/>
        </a:bodyPr>
        <a:p>
          <a:r>
            <a:rPr sz="1070" b="0" u="none" strike="noStrike">
              <a:effectLst/>
              <a:uFillTx/>
              <a:latin typeface="Geneva"/>
            </a:rPr>
            <a:t>Collection</a:t>
          </a:r>
          <a:endParaRPr sz="1070" b="0" u="none" strike="noStrike">
            <a:effectLst/>
            <a:uFillTx/>
            <a:latin typeface="Times New Roman"/>
          </a:endParaRPr>
        </a:p>
        <a:p>
          <a:r>
            <a:rPr sz="1070" b="0" u="none" strike="noStrike">
              <a:effectLst/>
              <a:uFillTx/>
              <a:latin typeface="Geneva"/>
            </a:rPr>
            <a:t>Costs</a:t>
          </a:r>
          <a:endParaRPr sz="107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61920</xdr:colOff>
      <xdr:row>11</xdr:row>
      <xdr:rowOff>101880</xdr:rowOff>
    </xdr:from>
    <xdr:to>
      <xdr:col>7</xdr:col>
      <xdr:colOff>809640</xdr:colOff>
      <xdr:row>36</xdr:row>
      <xdr:rowOff>51120</xdr:rowOff>
    </xdr:to>
    <xdr:graphicFrame>
      <xdr:nvGraphicFramePr>
        <xdr:cNvPr id="35" name="Chart 3"/>
        <xdr:cNvGraphicFramePr/>
      </xdr:nvGraphicFramePr>
      <xdr:xfrm>
        <a:off x="61920" y="1918080"/>
        <a:ext cx="7281720" cy="407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50040</xdr:colOff>
      <xdr:row>37</xdr:row>
      <xdr:rowOff>0</xdr:rowOff>
    </xdr:from>
    <xdr:to>
      <xdr:col>10</xdr:col>
      <xdr:colOff>872280</xdr:colOff>
      <xdr:row>63</xdr:row>
      <xdr:rowOff>50760</xdr:rowOff>
    </xdr:to>
    <xdr:graphicFrame>
      <xdr:nvGraphicFramePr>
        <xdr:cNvPr id="43" name="Chart 5"/>
        <xdr:cNvGraphicFramePr/>
      </xdr:nvGraphicFramePr>
      <xdr:xfrm>
        <a:off x="50040" y="6108840"/>
        <a:ext cx="1015668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0.536978445718806</cdr:x>
      <cdr:y>0.404503311258278</cdr:y>
    </cdr:from>
    <cdr:to>
      <cdr:x>0.545975875024718</cdr:x>
      <cdr:y>0.41924944812362</cdr:y>
    </cdr:to>
    <cdr:sp>
      <cdr:nvSpPr>
        <cdr:cNvPr id="36" name="Oval 4"/>
        <cdr:cNvSpPr/>
      </cdr:nvSpPr>
      <cdr:spPr>
        <a:xfrm>
          <a:off x="3910320" y="1649160"/>
          <a:ext cx="65520" cy="6012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0.76700613011667</cdr:x>
      <cdr:y>0.22878587196468</cdr:y>
    </cdr:from>
    <cdr:to>
      <cdr:x>0.776003559422583</cdr:x>
      <cdr:y>0.242030905077263</cdr:y>
    </cdr:to>
    <cdr:sp>
      <cdr:nvSpPr>
        <cdr:cNvPr id="37" name="Oval 7"/>
        <cdr:cNvSpPr/>
      </cdr:nvSpPr>
      <cdr:spPr>
        <a:xfrm>
          <a:off x="5585400" y="932760"/>
          <a:ext cx="65520" cy="5400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0.492980027684398</cdr:x>
      <cdr:y>0.443532008830022</cdr:y>
    </cdr:from>
    <cdr:to>
      <cdr:x>0.501977456990311</cdr:x>
      <cdr:y>0.456777041942605</cdr:y>
    </cdr:to>
    <cdr:sp>
      <cdr:nvSpPr>
        <cdr:cNvPr id="38" name="Oval 9"/>
        <cdr:cNvSpPr/>
      </cdr:nvSpPr>
      <cdr:spPr>
        <a:xfrm>
          <a:off x="3589920" y="1808280"/>
          <a:ext cx="65520" cy="5400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0.860737591457386</cdr:x>
      <cdr:y>0.155496688741722</cdr:y>
    </cdr:from>
    <cdr:to>
      <cdr:x>0.86948783863951</cdr:x>
      <cdr:y>0.169977924944812</cdr:y>
    </cdr:to>
    <cdr:sp>
      <cdr:nvSpPr>
        <cdr:cNvPr id="39" name="Oval 3"/>
        <cdr:cNvSpPr/>
      </cdr:nvSpPr>
      <cdr:spPr>
        <a:xfrm>
          <a:off x="6267960" y="633960"/>
          <a:ext cx="63720" cy="5904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0.0962527190033617</cdr:x>
      <cdr:y>0.123885209713024</cdr:y>
    </cdr:from>
    <cdr:to>
      <cdr:x>0.910272889064663</cdr:x>
      <cdr:y>0.759911699779249</cdr:y>
    </cdr:to>
    <cdr:sp>
      <cdr:nvSpPr>
        <cdr:cNvPr id="40" name="Line 12"/>
        <cdr:cNvSpPr/>
      </cdr:nvSpPr>
      <cdr:spPr>
        <a:xfrm flipV="1">
          <a:off x="700920" y="505080"/>
          <a:ext cx="5927760" cy="259308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0.00350998615780107</cdr:x>
      <cdr:y>0.875761589403974</cdr:y>
    </cdr:from>
    <cdr:to>
      <cdr:x>0.210994660866126</cdr:x>
      <cdr:y>0.95523178807947</cdr:y>
    </cdr:to>
    <cdr:sp>
      <cdr:nvSpPr>
        <cdr:cNvPr id="41" name="Text 13"/>
        <cdr:cNvSpPr/>
      </cdr:nvSpPr>
      <cdr:spPr>
        <a:xfrm>
          <a:off x="25560" y="3570480"/>
          <a:ext cx="1510920" cy="3240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Non-Cooperative Equilibrium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0.461241842989915</cdr:x>
      <cdr:y>0.489977924944812</cdr:y>
    </cdr:from>
    <cdr:to>
      <cdr:x>0.895491398062092</cdr:x>
      <cdr:y>0.728741721854305</cdr:y>
    </cdr:to>
    <cdr:sp>
      <cdr:nvSpPr>
        <cdr:cNvPr id="42" name="Text 14"/>
        <cdr:cNvSpPr/>
      </cdr:nvSpPr>
      <cdr:spPr>
        <a:xfrm>
          <a:off x="3358800" y="1997640"/>
          <a:ext cx="3162240" cy="9734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9360">
          <a:solidFill>
            <a:srgbClr val="000000"/>
          </a:solidFill>
          <a:miter/>
        </a:ln>
        <a:effectLst>
          <a:outerShdw dist="17819" dir="2700000" rotWithShape="0">
            <a:srgbClr val="000000"/>
          </a:outerShdw>
        </a:effectLst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200" b="0" u="none" strike="noStrike">
              <a:effectLst/>
              <a:uFillTx/>
              <a:latin typeface="Geneva"/>
            </a:rPr>
            <a:t>Toll under ∏* &gt; Toll under W*</a:t>
          </a:r>
          <a:endParaRPr sz="1200" b="0" u="none" strike="noStrike">
            <a:effectLst/>
            <a:uFillTx/>
            <a:latin typeface="Times New Roman"/>
          </a:endParaRPr>
        </a:p>
        <a:p>
          <a:r>
            <a:rPr sz="1200" b="0" u="none" strike="noStrike">
              <a:effectLst/>
              <a:uFillTx/>
              <a:latin typeface="Geneva"/>
            </a:rPr>
            <a:t>Toll under ∏* more sensitive than W*</a:t>
          </a:r>
          <a:endParaRPr sz="1200" b="0" u="none" strike="noStrike">
            <a:effectLst/>
            <a:uFillTx/>
            <a:latin typeface="Times New Roman"/>
          </a:endParaRPr>
        </a:p>
        <a:p>
          <a:r>
            <a:rPr sz="1200" b="0" u="none" strike="noStrike">
              <a:effectLst/>
              <a:uFillTx/>
              <a:latin typeface="Geneva"/>
            </a:rPr>
            <a:t>Toll for Large Jur. &gt; Toll for Small Jur.</a:t>
          </a:r>
          <a:endParaRPr sz="1200" b="0" u="none" strike="noStrike">
            <a:effectLst/>
            <a:uFillTx/>
            <a:latin typeface="Times New Roman"/>
          </a:endParaRPr>
        </a:p>
        <a:p>
          <a:r>
            <a:rPr sz="1200" b="0" u="none" strike="noStrike">
              <a:effectLst/>
              <a:uFillTx/>
              <a:latin typeface="Geneva"/>
            </a:rPr>
            <a:t>Tolls under ∏* rising, W* falling</a:t>
          </a:r>
          <a:endParaRPr sz="12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1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0.0687601899766074</cdr:x>
      <cdr:y>0.116277142383557</cdr:y>
    </cdr:from>
    <cdr:to>
      <cdr:x>0.918515630538031</cdr:x>
      <cdr:y>0.810459141389027</cdr:y>
    </cdr:to>
    <cdr:sp>
      <cdr:nvSpPr>
        <cdr:cNvPr id="44" name="Line 12"/>
        <cdr:cNvSpPr/>
      </cdr:nvSpPr>
      <cdr:spPr>
        <a:xfrm flipV="1">
          <a:off x="698400" y="505080"/>
          <a:ext cx="8631000" cy="3015360"/>
        </a:xfrm>
        <a:prstGeom prst="line">
          <a:avLst/>
        </a:prstGeom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0.457255263344439</cdr:x>
      <cdr:y>0.480275153323388</cdr:y>
    </cdr:from>
    <cdr:to>
      <cdr:x>0.466754093712341</cdr:x>
      <cdr:y>0.496270512182994</cdr:y>
    </cdr:to>
    <cdr:sp>
      <cdr:nvSpPr>
        <cdr:cNvPr id="45" name="Oval 4"/>
        <cdr:cNvSpPr/>
      </cdr:nvSpPr>
      <cdr:spPr>
        <a:xfrm>
          <a:off x="4644360" y="2086200"/>
          <a:ext cx="96480" cy="6948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0.745232863117601</cdr:x>
      <cdr:y>0.253522294049395</cdr:y>
    </cdr:from>
    <cdr:to>
      <cdr:x>0.754483589707238</cdr:x>
      <cdr:y>0.268771755345599</cdr:y>
    </cdr:to>
    <cdr:sp>
      <cdr:nvSpPr>
        <cdr:cNvPr id="46" name="Oval 7"/>
        <cdr:cNvSpPr/>
      </cdr:nvSpPr>
      <cdr:spPr>
        <a:xfrm>
          <a:off x="7569360" y="1101240"/>
          <a:ext cx="93960" cy="6624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0.425001772169845</cdr:x>
      <cdr:y>0.510276810873529</cdr:y>
    </cdr:from>
    <cdr:to>
      <cdr:x>0.434500602537747</cdr:x>
      <cdr:y>0.524780374606332</cdr:y>
    </cdr:to>
    <cdr:sp>
      <cdr:nvSpPr>
        <cdr:cNvPr id="47" name="Oval 9"/>
        <cdr:cNvSpPr/>
      </cdr:nvSpPr>
      <cdr:spPr>
        <a:xfrm>
          <a:off x="4316760" y="2216520"/>
          <a:ext cx="96480" cy="6300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0.644998936698093</cdr:x>
      <cdr:y>0.32802917288248</cdr:y>
    </cdr:from>
    <cdr:to>
      <cdr:x>0.654497767065996</cdr:x>
      <cdr:y>0.344024531742085</cdr:y>
    </cdr:to>
    <cdr:sp>
      <cdr:nvSpPr>
        <cdr:cNvPr id="48" name="Oval 3"/>
        <cdr:cNvSpPr/>
      </cdr:nvSpPr>
      <cdr:spPr>
        <a:xfrm>
          <a:off x="6551280" y="1424880"/>
          <a:ext cx="96480" cy="69480"/>
        </a:xfrm>
        <a:prstGeom prst="ellipse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48240</xdr:colOff>
      <xdr:row>33</xdr:row>
      <xdr:rowOff>63360</xdr:rowOff>
    </xdr:from>
    <xdr:to>
      <xdr:col>10</xdr:col>
      <xdr:colOff>434880</xdr:colOff>
      <xdr:row>54</xdr:row>
      <xdr:rowOff>101880</xdr:rowOff>
    </xdr:to>
    <xdr:graphicFrame>
      <xdr:nvGraphicFramePr>
        <xdr:cNvPr id="49" name="Chart 1"/>
        <xdr:cNvGraphicFramePr/>
      </xdr:nvGraphicFramePr>
      <xdr:xfrm>
        <a:off x="48240" y="5511600"/>
        <a:ext cx="6991920" cy="350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56</xdr:row>
      <xdr:rowOff>0</xdr:rowOff>
    </xdr:from>
    <xdr:to>
      <xdr:col>12</xdr:col>
      <xdr:colOff>603720</xdr:colOff>
      <xdr:row>79</xdr:row>
      <xdr:rowOff>114120</xdr:rowOff>
    </xdr:to>
    <xdr:graphicFrame>
      <xdr:nvGraphicFramePr>
        <xdr:cNvPr id="51" name="Chart 2"/>
        <xdr:cNvGraphicFramePr/>
      </xdr:nvGraphicFramePr>
      <xdr:xfrm>
        <a:off x="0" y="9245520"/>
        <a:ext cx="8607240" cy="391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0.00777428821500283</cdr:x>
      <cdr:y>0.843721121265017</cdr:y>
    </cdr:from>
    <cdr:to>
      <cdr:x>0.293981362302425</cdr:x>
      <cdr:y>0.992504363897731</cdr:y>
    </cdr:to>
    <cdr:sp>
      <cdr:nvSpPr>
        <cdr:cNvPr id="50" name="Text 1"/>
        <cdr:cNvSpPr/>
      </cdr:nvSpPr>
      <cdr:spPr>
        <a:xfrm>
          <a:off x="54360" y="2958120"/>
          <a:ext cx="2001240" cy="5216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sz="1000" b="0" u="none" strike="noStrike">
              <a:effectLst/>
              <a:uFillTx/>
              <a:latin typeface="Geneva"/>
            </a:rPr>
            <a:t>Note: Welfare Maximizing, Non-Cooperative Toll-Setting, Jurisdiction Size=1 km</a:t>
          </a:r>
          <a:endParaRPr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B1" s="1" t="s">
        <v>0</v>
      </c>
      <c r="C1" s="2" t="s">
        <v>1</v>
      </c>
    </row>
    <row r="2" customFormat="false" ht="13" hidden="false" customHeight="false" outlineLevel="0" collapsed="false">
      <c r="A2" s="2" t="s">
        <v>2</v>
      </c>
      <c r="B2" s="1" t="n">
        <f aca="false">1/psi</f>
        <v>6.66666666666667</v>
      </c>
      <c r="C2" s="2" t="n">
        <f aca="false">1/psi</f>
        <v>6.66666666666667</v>
      </c>
    </row>
    <row r="3" customFormat="false" ht="13" hidden="false" customHeight="false" outlineLevel="0" collapsed="false">
      <c r="A3" s="2" t="s">
        <v>3</v>
      </c>
      <c r="B3" s="1" t="n">
        <f aca="false">1/alpha</f>
        <v>-1</v>
      </c>
      <c r="C3" s="2" t="n">
        <f aca="false">1/alpha</f>
        <v>-1</v>
      </c>
    </row>
    <row r="4" customFormat="false" ht="13" hidden="false" customHeight="false" outlineLevel="0" collapsed="false">
      <c r="A4" s="2" t="s">
        <v>4</v>
      </c>
      <c r="B4" s="1" t="n">
        <f aca="false">EXP(alpha*zeta)</f>
        <v>0.292292577680859</v>
      </c>
      <c r="C4" s="2" t="n">
        <f aca="false">EXP(alpha*zeta)</f>
        <v>0.292292577680859</v>
      </c>
    </row>
    <row r="5" customFormat="false" ht="13" hidden="false" customHeight="false" outlineLevel="0" collapsed="false">
      <c r="A5" s="2" t="s">
        <v>5</v>
      </c>
      <c r="B5" s="1" t="n">
        <v>180</v>
      </c>
      <c r="C5" s="2" t="n">
        <v>180</v>
      </c>
    </row>
    <row r="6" customFormat="false" ht="13" hidden="false" customHeight="false" outlineLevel="0" collapsed="false">
      <c r="A6" s="2" t="s">
        <v>6</v>
      </c>
      <c r="B6" s="1" t="n">
        <v>0.08</v>
      </c>
      <c r="C6" s="2" t="n">
        <v>0.017</v>
      </c>
    </row>
    <row r="7" customFormat="false" ht="13" hidden="false" customHeight="false" outlineLevel="0" collapsed="false">
      <c r="A7" s="2" t="s">
        <v>7</v>
      </c>
      <c r="B7" s="1" t="n">
        <v>0</v>
      </c>
      <c r="C7" s="2" t="n">
        <v>0</v>
      </c>
    </row>
    <row r="8" customFormat="false" ht="13" hidden="false" customHeight="false" outlineLevel="0" collapsed="false">
      <c r="A8" s="2" t="s">
        <v>8</v>
      </c>
      <c r="B8" s="1" t="n">
        <v>0.018</v>
      </c>
      <c r="C8" s="2" t="n">
        <v>0.018</v>
      </c>
    </row>
    <row r="9" customFormat="false" ht="13" hidden="false" customHeight="false" outlineLevel="0" collapsed="false">
      <c r="A9" s="2" t="s">
        <v>9</v>
      </c>
      <c r="B9" s="1" t="n">
        <v>-1</v>
      </c>
      <c r="C9" s="2" t="n">
        <v>-1</v>
      </c>
    </row>
    <row r="10" customFormat="false" ht="13" hidden="false" customHeight="false" outlineLevel="0" collapsed="false">
      <c r="A10" s="2" t="s">
        <v>10</v>
      </c>
      <c r="B10" s="1" t="n">
        <v>0.15</v>
      </c>
      <c r="C10" s="2" t="n">
        <v>0.15</v>
      </c>
    </row>
    <row r="11" customFormat="false" ht="13" hidden="false" customHeight="false" outlineLevel="0" collapsed="false">
      <c r="A11" s="2" t="s">
        <v>11</v>
      </c>
      <c r="B11" s="1" t="n">
        <v>1.23</v>
      </c>
      <c r="C11" s="2" t="n">
        <v>1.23</v>
      </c>
    </row>
    <row r="12" customFormat="false" ht="13" hidden="false" customHeight="false" outlineLevel="0" collapsed="false">
      <c r="A12" s="2" t="s">
        <v>12</v>
      </c>
      <c r="B12" s="1" t="n">
        <v>90</v>
      </c>
      <c r="C12" s="2" t="n">
        <v>90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4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Y3" activeCellId="0" sqref="Y3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4.71"/>
    <col collapsed="false" customWidth="true" hidden="false" outlineLevel="0" max="2" min="2" style="2" width="5.56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3.99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257" min="10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</row>
    <row r="2" customFormat="false" ht="13" hidden="false" customHeight="false" outlineLevel="0" collapsed="false">
      <c r="A2" s="4" t="n">
        <v>0</v>
      </c>
      <c r="B2" s="4" t="n">
        <v>0</v>
      </c>
      <c r="C2" s="4" t="n">
        <v>10</v>
      </c>
      <c r="D2" s="4" t="n">
        <v>0</v>
      </c>
      <c r="E2" s="4" t="n">
        <f aca="false">Size-a</f>
        <v>10</v>
      </c>
      <c r="F2" s="5" t="n">
        <f aca="false">(EXP(alpha*(Tau+OldTau+zeta-2*a*psi))*((EXP(alpha*a*psi)-EXP(alpha*b*psi))^2))/((EXP(alpha*a*psi)-EXP(alpha*(2*OldTau+b*psi)))*(alpha^2)*(psi^2))</f>
        <v>10.0921461338992</v>
      </c>
      <c r="G2" s="5" t="n">
        <f aca="false">(EXP(alpha*(zeta+(2*b-a)*psi))*(-1+EXP(alpha*(-1)*Size*psi))*(EXP(alpha*(2*(Tau+OldTau)+a*psi))-EXP(alpha*(2*(Tau+OldTau)+b*psi))))/(((EXP(alpha*a*psi)-EXP(alpha*(2*OldTau+b*psi)))^2)*(alpha^2)*(psi^2))</f>
        <v>2.89863509636122</v>
      </c>
      <c r="H2" s="6" t="n">
        <f aca="false">-Beta/alpha</f>
        <v>180</v>
      </c>
      <c r="I2" s="6" t="n">
        <f aca="false">(-EXP(alpha*zeta)*Beta*(-1+EXP(alpha*Size*psi)-Size*alpha*psi))/((alpha^3)*(psi^2))</f>
        <v>1690.92462806846</v>
      </c>
      <c r="J2" s="6" t="n">
        <f aca="false">Beta*Theta</f>
        <v>14.4</v>
      </c>
      <c r="K2" s="6" t="n">
        <f aca="false">Beta*Theta</f>
        <v>14.4</v>
      </c>
      <c r="L2" s="6" t="n">
        <f aca="false">kappa</f>
        <v>90</v>
      </c>
      <c r="M2" s="6" t="n">
        <f aca="false">Gamma*Size</f>
        <v>0</v>
      </c>
      <c r="N2" s="6" t="n">
        <f aca="false">Size*Beta*Phi</f>
        <v>32.4</v>
      </c>
      <c r="O2" s="7" t="n">
        <f aca="false">-(EXP(alpha*a*psi)+EXP(alpha*b*psi)*(-1+Size*psi*alpha))*(Beta*Phi)/((alpha*psi)*(EXP(alpha*a*psi)-EXP(alpha*b*psi)))</f>
        <v>12.2941718960407</v>
      </c>
      <c r="P2" s="6" t="n">
        <f aca="false">(EXP(alpha*(zeta-a*psi))*Beta*Phi*(-EXP(alpha*a*psi)*(-2+(-1)*Size*alpha*psi)+EXP(alpha*b*psi)*(-2+Size*alpha*psi)))/((alpha^3)*(psi^3))</f>
        <v>78.836375998096</v>
      </c>
      <c r="Q2" s="6" t="n">
        <f aca="false">Tau*Beta</f>
        <v>0</v>
      </c>
      <c r="R2" s="6" t="n">
        <f aca="false">Tau*Beta</f>
        <v>0</v>
      </c>
      <c r="S2" s="8" t="n">
        <f aca="false">Tau</f>
        <v>0</v>
      </c>
      <c r="T2" s="6" t="n">
        <f aca="false">Profit+Utility</f>
        <v>3086.60962030988</v>
      </c>
      <c r="U2" s="6" t="n">
        <f aca="false">ij*BUTIJ+BUTII</f>
        <v>3507.51093217031</v>
      </c>
      <c r="V2" s="6" t="n">
        <f aca="false">Revenue-Cost</f>
        <v>-420.901311860438</v>
      </c>
      <c r="W2" s="6" t="n">
        <f aca="false">(2*ij*BRIJ)+(2)*jj*BRJJ</f>
        <v>0</v>
      </c>
      <c r="X2" s="6" t="n">
        <f aca="false">BCS+jj*BCPTJJ+2*(ij*BCPTIJ)+BCPTII</f>
        <v>420.901311860438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3" hidden="false" customHeight="false" outlineLevel="0" collapsed="false">
      <c r="A3" s="4" t="n">
        <v>0</v>
      </c>
      <c r="B3" s="4" t="n">
        <v>0</v>
      </c>
      <c r="C3" s="4" t="n">
        <v>10</v>
      </c>
      <c r="D3" s="4" t="n">
        <v>0</v>
      </c>
      <c r="E3" s="4" t="n">
        <f aca="false">Size-a</f>
        <v>10</v>
      </c>
      <c r="F3" s="5" t="n">
        <f aca="false">(EXP(alpha*(Tau+OldTau+zeta-2*a*psi))*((EXP(alpha*a*psi)-EXP(alpha*b*psi))^2))/((EXP(alpha*a*psi)-EXP(alpha*(2*OldTau+b*psi)))*(alpha^2)*(psi^2))</f>
        <v>10.0921461338992</v>
      </c>
      <c r="G3" s="5" t="n">
        <f aca="false">(EXP(alpha*(zeta+(2*b-a)*psi))*(-1+EXP(alpha*(-1)*Size*psi))*(EXP(alpha*(2*(Tau+OldTau)+a*psi))-EXP(alpha*(2*(Tau+OldTau)+b*psi))))/(((EXP(alpha*a*psi)-EXP(alpha*(2*OldTau+b*psi)))^2)*(alpha^2)*(psi^2))</f>
        <v>2.89863509636122</v>
      </c>
      <c r="H3" s="6" t="n">
        <f aca="false">-Beta/alpha</f>
        <v>180</v>
      </c>
      <c r="I3" s="6" t="n">
        <f aca="false">(-EXP(alpha*zeta)*Beta*(-1+EXP(alpha*Size*psi)-Size*alpha*psi))/((alpha^3)*(psi^2))</f>
        <v>1690.92462806846</v>
      </c>
      <c r="J3" s="6" t="n">
        <f aca="false">Beta*Theta</f>
        <v>14.4</v>
      </c>
      <c r="K3" s="6" t="n">
        <f aca="false">Beta*Theta</f>
        <v>14.4</v>
      </c>
      <c r="L3" s="6" t="n">
        <f aca="false">kappa</f>
        <v>90</v>
      </c>
      <c r="M3" s="6" t="n">
        <f aca="false">Gamma*Size</f>
        <v>0</v>
      </c>
      <c r="N3" s="6" t="n">
        <f aca="false">Size*Beta*Phi</f>
        <v>32.4</v>
      </c>
      <c r="O3" s="7" t="n">
        <f aca="false">-(EXP(alpha*a*psi)+EXP(alpha*b*psi)*(-1+Size*psi*alpha))*(Beta*Phi)/((alpha*psi)*(EXP(alpha*a*psi)-EXP(alpha*b*psi)))</f>
        <v>12.2941718960407</v>
      </c>
      <c r="P3" s="6" t="n">
        <f aca="false">(EXP(alpha*(zeta-a*psi))*Beta*Phi*(-EXP(alpha*a*psi)*(-2+(-1)*Size*alpha*psi)+EXP(alpha*b*psi)*(-2+Size*alpha*psi)))/((alpha^3)*(psi^3))</f>
        <v>78.836375998096</v>
      </c>
      <c r="Q3" s="6" t="n">
        <f aca="false">Tau*Beta</f>
        <v>0</v>
      </c>
      <c r="R3" s="6" t="n">
        <f aca="false">Tau*Beta</f>
        <v>0</v>
      </c>
      <c r="S3" s="8" t="n">
        <f aca="false">Tau</f>
        <v>0</v>
      </c>
      <c r="T3" s="6" t="n">
        <f aca="false">Profit+Utility</f>
        <v>2622.47512087838</v>
      </c>
      <c r="U3" s="6" t="n">
        <f aca="false">ij*BUTIJ+BUTII</f>
        <v>3507.51093217031</v>
      </c>
      <c r="V3" s="6" t="n">
        <f aca="false">Revenue-Cost</f>
        <v>-885.035811291938</v>
      </c>
      <c r="W3" s="6" t="n">
        <f aca="false">(2*ij*BRIJ)+(2)*jj*BRJJ</f>
        <v>0</v>
      </c>
      <c r="X3" s="9" t="n">
        <f aca="false">2*(ij*BCCIJ)+(2*jj*BCCJJ)+BCS+jj*BCPTJJ+2*(ij*BCPTIJ)+BCPTII+BCk</f>
        <v>885.035811291938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customFormat="false" ht="13" hidden="false" customHeight="false" outlineLevel="0" collapsed="false">
      <c r="A4" s="2" t="n">
        <f aca="false">A2+0.1</f>
        <v>0.1</v>
      </c>
      <c r="B4" s="2" t="n">
        <v>0</v>
      </c>
      <c r="C4" s="2" t="n">
        <v>10</v>
      </c>
      <c r="D4" s="2" t="n">
        <v>0</v>
      </c>
      <c r="E4" s="2" t="n">
        <f aca="false">Size-a</f>
        <v>10</v>
      </c>
      <c r="F4" s="10" t="n">
        <f aca="false">(EXP(alpha*(Tau+OldTau+zeta-2*a*psi))*((EXP(alpha*a*psi)-EXP(alpha*b*psi))^2))/((EXP(alpha*a*psi)-EXP(alpha*(2*OldTau+b*psi)))*(alpha^2)*(psi^2))</f>
        <v>9.13175145023894</v>
      </c>
      <c r="G4" s="10" t="n">
        <f aca="false">(EXP(alpha*(zeta+(2*b-a)*psi))*(-1+EXP(alpha*(-1)*Size*psi))*(EXP(alpha*(2*(Tau+OldTau)+a*psi))-EXP(alpha*(2*(Tau+OldTau)+b*psi))))/(((EXP(alpha*a*psi)-EXP(alpha*(2*OldTau+b*psi)))^2)*(alpha^2)*(psi^2))</f>
        <v>2.37320169534209</v>
      </c>
      <c r="H4" s="7" t="n">
        <f aca="false">-Beta/alpha</f>
        <v>180</v>
      </c>
      <c r="I4" s="7" t="n">
        <f aca="false">(-EXP(alpha*zeta)*Beta*(-1+EXP(alpha*Size*psi)-Size*alpha*psi))/((alpha^3)*(psi^2))</f>
        <v>1690.92462806846</v>
      </c>
      <c r="J4" s="7" t="n">
        <f aca="false">Beta*Theta</f>
        <v>14.4</v>
      </c>
      <c r="K4" s="7" t="n">
        <f aca="false">Beta*Theta</f>
        <v>14.4</v>
      </c>
      <c r="L4" s="7" t="n">
        <f aca="false">kappa</f>
        <v>90</v>
      </c>
      <c r="M4" s="7" t="n">
        <f aca="false">Gamma*Size</f>
        <v>0</v>
      </c>
      <c r="N4" s="7" t="n">
        <f aca="false">Size*Beta*Phi</f>
        <v>32.4</v>
      </c>
      <c r="O4" s="7" t="n">
        <f aca="false">-(EXP(alpha*a*psi)+EXP(alpha*b*psi)*(-1+Size*psi*alpha))*(Beta*Phi)/((alpha*psi)*(EXP(alpha*a*psi)-EXP(alpha*b*psi)))</f>
        <v>12.2941718960407</v>
      </c>
      <c r="P4" s="7" t="n">
        <f aca="false">(EXP(alpha*(zeta-a*psi))*Beta*Phi*(-EXP(alpha*a*psi)*(-2+(-1)*Size*alpha*psi)+EXP(alpha*b*psi)*(-2+Size*alpha*psi)))/((alpha^3)*(psi^3))</f>
        <v>78.836375998096</v>
      </c>
      <c r="Q4" s="7" t="n">
        <f aca="false">Tau*Beta</f>
        <v>18</v>
      </c>
      <c r="R4" s="7" t="n">
        <f aca="false">Tau*Beta</f>
        <v>18</v>
      </c>
      <c r="S4" s="11" t="n">
        <f aca="false">Tau</f>
        <v>0.1</v>
      </c>
      <c r="T4" s="7" t="n">
        <f aca="false">Profit+Utility</f>
        <v>2947.21279675016</v>
      </c>
      <c r="U4" s="7" t="n">
        <f aca="false">ij*BUTIJ+BUTII</f>
        <v>3334.63988911147</v>
      </c>
      <c r="V4" s="7" t="n">
        <f aca="false">Revenue-Cost</f>
        <v>-387.427092361309</v>
      </c>
      <c r="W4" s="7" t="n">
        <f aca="false">(2*ij*BRIJ)+(2)*jj*BRJJ</f>
        <v>414.178313240917</v>
      </c>
      <c r="X4" s="9" t="n">
        <f aca="false">2*(ij*BCCIJ)+(2*jj*BCCJJ)+BCS+jj*BCPTJJ+2*(ij*BCPTIJ)+BCPTII+BCk</f>
        <v>801.605405602226</v>
      </c>
    </row>
    <row r="5" customFormat="false" ht="13" hidden="false" customHeight="false" outlineLevel="0" collapsed="false">
      <c r="A5" s="2" t="n">
        <f aca="false">A4+0.1</f>
        <v>0.2</v>
      </c>
      <c r="B5" s="2" t="n">
        <v>0</v>
      </c>
      <c r="C5" s="2" t="n">
        <v>10</v>
      </c>
      <c r="D5" s="2" t="n">
        <v>0</v>
      </c>
      <c r="E5" s="2" t="n">
        <f aca="false">Size-a</f>
        <v>10</v>
      </c>
      <c r="F5" s="10" t="n">
        <f aca="false">(EXP(alpha*(Tau+OldTau+zeta-2*a*psi))*((EXP(alpha*a*psi)-EXP(alpha*b*psi))^2))/((EXP(alpha*a*psi)-EXP(alpha*(2*OldTau+b*psi)))*(alpha^2)*(psi^2))</f>
        <v>8.26275040438033</v>
      </c>
      <c r="G5" s="10" t="n">
        <f aca="false">(EXP(alpha*(zeta+(2*b-a)*psi))*(-1+EXP(alpha*(-1)*Size*psi))*(EXP(alpha*(2*(Tau+OldTau)+a*psi))-EXP(alpha*(2*(Tau+OldTau)+b*psi))))/(((EXP(alpha*a*psi)-EXP(alpha*(2*OldTau+b*psi)))^2)*(alpha^2)*(psi^2))</f>
        <v>1.94301321123337</v>
      </c>
      <c r="H5" s="7" t="n">
        <f aca="false">-Beta/alpha</f>
        <v>180</v>
      </c>
      <c r="I5" s="7" t="n">
        <f aca="false">(-EXP(alpha*zeta)*Beta*(-1+EXP(alpha*Size*psi)-Size*alpha*psi))/((alpha^3)*(psi^2))</f>
        <v>1690.92462806846</v>
      </c>
      <c r="J5" s="7" t="n">
        <f aca="false">Beta*Theta</f>
        <v>14.4</v>
      </c>
      <c r="K5" s="7" t="n">
        <f aca="false">Beta*Theta</f>
        <v>14.4</v>
      </c>
      <c r="L5" s="7" t="n">
        <f aca="false">kappa</f>
        <v>90</v>
      </c>
      <c r="M5" s="7" t="n">
        <f aca="false">Gamma*Size</f>
        <v>0</v>
      </c>
      <c r="N5" s="7" t="n">
        <f aca="false">Size*Beta*Phi</f>
        <v>32.4</v>
      </c>
      <c r="O5" s="7" t="n">
        <f aca="false">-(EXP(alpha*a*psi)+EXP(alpha*b*psi)*(-1+Size*psi*alpha))*(Beta*Phi)/((alpha*psi)*(EXP(alpha*a*psi)-EXP(alpha*b*psi)))</f>
        <v>12.2941718960407</v>
      </c>
      <c r="P5" s="7" t="n">
        <f aca="false">(EXP(alpha*(zeta-a*psi))*Beta*Phi*(-EXP(alpha*a*psi)*(-2+(-1)*Size*alpha*psi)+EXP(alpha*b*psi)*(-2+Size*alpha*psi)))/((alpha^3)*(psi^3))</f>
        <v>78.836375998096</v>
      </c>
      <c r="Q5" s="7" t="n">
        <f aca="false">Tau*Beta</f>
        <v>36</v>
      </c>
      <c r="R5" s="7" t="n">
        <f aca="false">Tau*Beta</f>
        <v>36</v>
      </c>
      <c r="S5" s="11" t="n">
        <f aca="false">Tau</f>
        <v>0.2</v>
      </c>
      <c r="T5" s="7" t="n">
        <f aca="false">Profit+Utility</f>
        <v>3184.15133739831</v>
      </c>
      <c r="U5" s="7" t="n">
        <f aca="false">ij*BUTIJ+BUTII</f>
        <v>3178.21970085692</v>
      </c>
      <c r="V5" s="7" t="n">
        <f aca="false">Revenue-Cost</f>
        <v>5.93163654139221</v>
      </c>
      <c r="W5" s="7" t="n">
        <f aca="false">(2*ij*BRIJ)+(2)*jj*BRJJ</f>
        <v>734.814980324187</v>
      </c>
      <c r="X5" s="9" t="n">
        <f aca="false">2*(ij*BCCIJ)+(2*jj*BCCJJ)+BCS+jj*BCPTJJ+2*(ij*BCPTIJ)+BCPTII+BCk</f>
        <v>728.883343782795</v>
      </c>
    </row>
    <row r="6" customFormat="false" ht="13" hidden="false" customHeight="false" outlineLevel="0" collapsed="false">
      <c r="A6" s="2" t="n">
        <f aca="false">A5+0.1</f>
        <v>0.3</v>
      </c>
      <c r="B6" s="2" t="n">
        <v>0</v>
      </c>
      <c r="C6" s="2" t="n">
        <v>10</v>
      </c>
      <c r="D6" s="2" t="n">
        <v>0</v>
      </c>
      <c r="E6" s="2" t="n">
        <f aca="false">Size-a</f>
        <v>10</v>
      </c>
      <c r="F6" s="10" t="n">
        <f aca="false">(EXP(alpha*(Tau+OldTau+zeta-2*a*psi))*((EXP(alpha*a*psi)-EXP(alpha*b*psi))^2))/((EXP(alpha*a*psi)-EXP(alpha*(2*OldTau+b*psi)))*(alpha^2)*(psi^2))</f>
        <v>7.47644574177508</v>
      </c>
      <c r="G6" s="10" t="n">
        <f aca="false">(EXP(alpha*(zeta+(2*b-a)*psi))*(-1+EXP(alpha*(-1)*Size*psi))*(EXP(alpha*(2*(Tau+OldTau)+a*psi))-EXP(alpha*(2*(Tau+OldTau)+b*psi))))/(((EXP(alpha*a*psi)-EXP(alpha*(2*OldTau+b*psi)))^2)*(alpha^2)*(psi^2))</f>
        <v>1.59080466967357</v>
      </c>
      <c r="H6" s="7" t="n">
        <f aca="false">-Beta/alpha</f>
        <v>180</v>
      </c>
      <c r="I6" s="7" t="n">
        <f aca="false">(-EXP(alpha*zeta)*Beta*(-1+EXP(alpha*Size*psi)-Size*alpha*psi))/((alpha^3)*(psi^2))</f>
        <v>1690.92462806846</v>
      </c>
      <c r="J6" s="7" t="n">
        <f aca="false">Beta*Theta</f>
        <v>14.4</v>
      </c>
      <c r="K6" s="7" t="n">
        <f aca="false">Beta*Theta</f>
        <v>14.4</v>
      </c>
      <c r="L6" s="7" t="n">
        <f aca="false">kappa</f>
        <v>90</v>
      </c>
      <c r="M6" s="7" t="n">
        <f aca="false">Gamma*Size</f>
        <v>0</v>
      </c>
      <c r="N6" s="7" t="n">
        <f aca="false">Size*Beta*Phi</f>
        <v>32.4</v>
      </c>
      <c r="O6" s="7" t="n">
        <f aca="false">-(EXP(alpha*a*psi)+EXP(alpha*b*psi)*(-1+Size*psi*alpha))*(Beta*Phi)/((alpha*psi)*(EXP(alpha*a*psi)-EXP(alpha*b*psi)))</f>
        <v>12.2941718960407</v>
      </c>
      <c r="P6" s="7" t="n">
        <f aca="false">(EXP(alpha*(zeta-a*psi))*Beta*Phi*(-EXP(alpha*a*psi)*(-2+(-1)*Size*alpha*psi)+EXP(alpha*b*psi)*(-2+Size*alpha*psi)))/((alpha^3)*(psi^3))</f>
        <v>78.836375998096</v>
      </c>
      <c r="Q6" s="7" t="n">
        <f aca="false">Tau*Beta</f>
        <v>54</v>
      </c>
      <c r="R6" s="7" t="n">
        <f aca="false">Tau*Beta</f>
        <v>54</v>
      </c>
      <c r="S6" s="11" t="n">
        <f aca="false">Tau</f>
        <v>0.3</v>
      </c>
      <c r="T6" s="7" t="n">
        <f aca="false">Profit+Utility</f>
        <v>3350.59922863758</v>
      </c>
      <c r="U6" s="7" t="n">
        <f aca="false">ij*BUTIJ+BUTII</f>
        <v>3036.68486158797</v>
      </c>
      <c r="V6" s="7" t="n">
        <f aca="false">Revenue-Cost</f>
        <v>313.914367049605</v>
      </c>
      <c r="W6" s="7" t="n">
        <f aca="false">(2*ij*BRIJ)+(2)*jj*BRJJ</f>
        <v>979.263044436454</v>
      </c>
      <c r="X6" s="9" t="n">
        <f aca="false">2*(ij*BCCIJ)+(2*jj*BCCJJ)+BCS+jj*BCPTJJ+2*(ij*BCPTIJ)+BCPTII+BCk</f>
        <v>665.348677386849</v>
      </c>
    </row>
    <row r="7" customFormat="false" ht="13" hidden="false" customHeight="false" outlineLevel="0" collapsed="false">
      <c r="A7" s="2" t="n">
        <f aca="false">A6+0.1</f>
        <v>0.4</v>
      </c>
      <c r="B7" s="2" t="n">
        <v>0</v>
      </c>
      <c r="C7" s="2" t="n">
        <v>10</v>
      </c>
      <c r="D7" s="2" t="n">
        <v>0</v>
      </c>
      <c r="E7" s="2" t="n">
        <f aca="false">Size-a</f>
        <v>10</v>
      </c>
      <c r="F7" s="10" t="n">
        <f aca="false">(EXP(alpha*(Tau+OldTau+zeta-2*a*psi))*((EXP(alpha*a*psi)-EXP(alpha*b*psi))^2))/((EXP(alpha*a*psi)-EXP(alpha*(2*OldTau+b*psi)))*(alpha^2)*(psi^2))</f>
        <v>6.76496786107371</v>
      </c>
      <c r="G7" s="10" t="n">
        <f aca="false">(EXP(alpha*(zeta+(2*b-a)*psi))*(-1+EXP(alpha*(-1)*Size*psi))*(EXP(alpha*(2*(Tau+OldTau)+a*psi))-EXP(alpha*(2*(Tau+OldTau)+b*psi))))/(((EXP(alpha*a*psi)-EXP(alpha*(2*OldTau+b*psi)))^2)*(alpha^2)*(psi^2))</f>
        <v>1.30244070520181</v>
      </c>
      <c r="H7" s="7" t="n">
        <f aca="false">-Beta/alpha</f>
        <v>180</v>
      </c>
      <c r="I7" s="7" t="n">
        <f aca="false">(-EXP(alpha*zeta)*Beta*(-1+EXP(alpha*Size*psi)-Size*alpha*psi))/((alpha^3)*(psi^2))</f>
        <v>1690.92462806846</v>
      </c>
      <c r="J7" s="7" t="n">
        <f aca="false">Beta*Theta</f>
        <v>14.4</v>
      </c>
      <c r="K7" s="7" t="n">
        <f aca="false">Beta*Theta</f>
        <v>14.4</v>
      </c>
      <c r="L7" s="7" t="n">
        <f aca="false">kappa</f>
        <v>90</v>
      </c>
      <c r="M7" s="7" t="n">
        <f aca="false">Gamma*Size</f>
        <v>0</v>
      </c>
      <c r="N7" s="7" t="n">
        <f aca="false">Size*Beta*Phi</f>
        <v>32.4</v>
      </c>
      <c r="O7" s="7" t="n">
        <f aca="false">-(EXP(alpha*a*psi)+EXP(alpha*b*psi)*(-1+Size*psi*alpha))*(Beta*Phi)/((alpha*psi)*(EXP(alpha*a*psi)-EXP(alpha*b*psi)))</f>
        <v>12.2941718960407</v>
      </c>
      <c r="P7" s="7" t="n">
        <f aca="false">(EXP(alpha*(zeta-a*psi))*Beta*Phi*(-EXP(alpha*a*psi)*(-2+(-1)*Size*alpha*psi)+EXP(alpha*b*psi)*(-2+Size*alpha*psi)))/((alpha^3)*(psi^3))</f>
        <v>78.836375998096</v>
      </c>
      <c r="Q7" s="7" t="n">
        <f aca="false">Tau*Beta</f>
        <v>72</v>
      </c>
      <c r="R7" s="7" t="n">
        <f aca="false">Tau*Beta</f>
        <v>72</v>
      </c>
      <c r="S7" s="11" t="n">
        <f aca="false">Tau</f>
        <v>0.4</v>
      </c>
      <c r="T7" s="7" t="n">
        <f aca="false">Profit+Utility</f>
        <v>3460.60949953957</v>
      </c>
      <c r="U7" s="7" t="n">
        <f aca="false">ij*BUTIJ+BUTII</f>
        <v>2908.61884306173</v>
      </c>
      <c r="V7" s="7" t="n">
        <f aca="false">Revenue-Cost</f>
        <v>551.990656477844</v>
      </c>
      <c r="W7" s="7" t="n">
        <f aca="false">(2*ij*BRIJ)+(2)*jj*BRJJ</f>
        <v>1161.70683354367</v>
      </c>
      <c r="X7" s="9" t="n">
        <f aca="false">2*(ij*BCCIJ)+(2*jj*BCCJJ)+BCS+jj*BCPTJJ+2*(ij*BCPTIJ)+BCPTII+BCk</f>
        <v>609.716177065831</v>
      </c>
    </row>
    <row r="8" customFormat="false" ht="13" hidden="false" customHeight="false" outlineLevel="0" collapsed="false">
      <c r="A8" s="2" t="n">
        <f aca="false">A7+0.1</f>
        <v>0.5</v>
      </c>
      <c r="B8" s="2" t="n">
        <v>0</v>
      </c>
      <c r="C8" s="2" t="n">
        <v>10</v>
      </c>
      <c r="D8" s="2" t="n">
        <v>0</v>
      </c>
      <c r="E8" s="2" t="n">
        <f aca="false">Size-a</f>
        <v>10</v>
      </c>
      <c r="F8" s="10" t="n">
        <f aca="false">(EXP(alpha*(Tau+OldTau+zeta-2*a*psi))*((EXP(alpha*a*psi)-EXP(alpha*b*psi))^2))/((EXP(alpha*a*psi)-EXP(alpha*(2*OldTau+b*psi)))*(alpha^2)*(psi^2))</f>
        <v>6.12119605251018</v>
      </c>
      <c r="G8" s="10" t="n">
        <f aca="false">(EXP(alpha*(zeta+(2*b-a)*psi))*(-1+EXP(alpha*(-1)*Size*psi))*(EXP(alpha*(2*(Tau+OldTau)+a*psi))-EXP(alpha*(2*(Tau+OldTau)+b*psi))))/(((EXP(alpha*a*psi)-EXP(alpha*(2*OldTau+b*psi)))^2)*(alpha^2)*(psi^2))</f>
        <v>1.0663482594093</v>
      </c>
      <c r="H8" s="7" t="n">
        <f aca="false">-Beta/alpha</f>
        <v>180</v>
      </c>
      <c r="I8" s="7" t="n">
        <f aca="false">(-EXP(alpha*zeta)*Beta*(-1+EXP(alpha*Size*psi)-Size*alpha*psi))/((alpha^3)*(psi^2))</f>
        <v>1690.92462806846</v>
      </c>
      <c r="J8" s="7" t="n">
        <f aca="false">Beta*Theta</f>
        <v>14.4</v>
      </c>
      <c r="K8" s="7" t="n">
        <f aca="false">Beta*Theta</f>
        <v>14.4</v>
      </c>
      <c r="L8" s="7" t="n">
        <f aca="false">kappa</f>
        <v>90</v>
      </c>
      <c r="M8" s="7" t="n">
        <f aca="false">Gamma*Size</f>
        <v>0</v>
      </c>
      <c r="N8" s="7" t="n">
        <f aca="false">Size*Beta*Phi</f>
        <v>32.4</v>
      </c>
      <c r="O8" s="7" t="n">
        <f aca="false">-(EXP(alpha*a*psi)+EXP(alpha*b*psi)*(-1+Size*psi*alpha))*(Beta*Phi)/((alpha*psi)*(EXP(alpha*a*psi)-EXP(alpha*b*psi)))</f>
        <v>12.2941718960407</v>
      </c>
      <c r="P8" s="7" t="n">
        <f aca="false">(EXP(alpha*(zeta-a*psi))*Beta*Phi*(-EXP(alpha*a*psi)*(-2+(-1)*Size*alpha*psi)+EXP(alpha*b*psi)*(-2+Size*alpha*psi)))/((alpha^3)*(psi^3))</f>
        <v>78.836375998096</v>
      </c>
      <c r="Q8" s="7" t="n">
        <f aca="false">Tau*Beta</f>
        <v>90</v>
      </c>
      <c r="R8" s="7" t="n">
        <f aca="false">Tau*Beta</f>
        <v>90</v>
      </c>
      <c r="S8" s="11" t="n">
        <f aca="false">Tau</f>
        <v>0.5</v>
      </c>
      <c r="T8" s="7" t="n">
        <f aca="false">Profit+Utility</f>
        <v>3525.60048492171</v>
      </c>
      <c r="U8" s="7" t="n">
        <f aca="false">ij*BUTIJ+BUTII</f>
        <v>2792.73991752029</v>
      </c>
      <c r="V8" s="7" t="n">
        <f aca="false">Revenue-Cost</f>
        <v>732.860567401417</v>
      </c>
      <c r="W8" s="7" t="n">
        <f aca="false">(2*ij*BRIJ)+(2)*jj*BRJJ</f>
        <v>1293.75797614551</v>
      </c>
      <c r="X8" s="9" t="n">
        <f aca="false">2*(ij*BCCIJ)+(2*jj*BCCJJ)+BCS+jj*BCPTJJ+2*(ij*BCPTIJ)+BCPTII+BCk</f>
        <v>560.89740874409</v>
      </c>
    </row>
    <row r="9" customFormat="false" ht="13" hidden="false" customHeight="false" outlineLevel="0" collapsed="false">
      <c r="A9" s="4" t="n">
        <f aca="false">A8+0.1</f>
        <v>0.6</v>
      </c>
      <c r="B9" s="4" t="n">
        <v>0</v>
      </c>
      <c r="C9" s="4" t="n">
        <v>10</v>
      </c>
      <c r="D9" s="4" t="n">
        <v>0</v>
      </c>
      <c r="E9" s="4" t="n">
        <f aca="false">Size-a</f>
        <v>10</v>
      </c>
      <c r="F9" s="5" t="n">
        <f aca="false">(EXP(alpha*(Tau+OldTau+zeta-2*a*psi))*((EXP(alpha*a*psi)-EXP(alpha*b*psi))^2))/((EXP(alpha*a*psi)-EXP(alpha*(2*OldTau+b*psi)))*(alpha^2)*(psi^2))</f>
        <v>5.53868723144522</v>
      </c>
      <c r="G9" s="5" t="n">
        <f aca="false">(EXP(alpha*(zeta+(2*b-a)*psi))*(-1+EXP(alpha*(-1)*Size*psi))*(EXP(alpha*(2*(Tau+OldTau)+a*psi))-EXP(alpha*(2*(Tau+OldTau)+b*psi))))/(((EXP(alpha*a*psi)-EXP(alpha*(2*OldTau+b*psi)))^2)*(alpha^2)*(psi^2))</f>
        <v>0.873052113469568</v>
      </c>
      <c r="H9" s="6" t="n">
        <f aca="false">-Beta/alpha</f>
        <v>180</v>
      </c>
      <c r="I9" s="6" t="n">
        <f aca="false">(-EXP(alpha*zeta)*Beta*(-1+EXP(alpha*Size*psi)-Size*alpha*psi))/((alpha^3)*(psi^2))</f>
        <v>1690.92462806846</v>
      </c>
      <c r="J9" s="6" t="n">
        <f aca="false">Beta*Theta</f>
        <v>14.4</v>
      </c>
      <c r="K9" s="6" t="n">
        <f aca="false">Beta*Theta</f>
        <v>14.4</v>
      </c>
      <c r="L9" s="6" t="n">
        <f aca="false">kappa</f>
        <v>90</v>
      </c>
      <c r="M9" s="6" t="n">
        <f aca="false">Gamma*Size</f>
        <v>0</v>
      </c>
      <c r="N9" s="6" t="n">
        <f aca="false">Size*Beta*Phi</f>
        <v>32.4</v>
      </c>
      <c r="O9" s="6" t="n">
        <f aca="false">-(EXP(alpha*a*psi)+EXP(alpha*b*psi)*(-1+Size*psi*alpha))*(Beta*Phi)/((alpha*psi)*(EXP(alpha*a*psi)-EXP(alpha*b*psi)))</f>
        <v>12.2941718960407</v>
      </c>
      <c r="P9" s="6" t="n">
        <f aca="false">(EXP(alpha*(zeta-a*psi))*Beta*Phi*(-EXP(alpha*a*psi)*(-2+(-1)*Size*alpha*psi)+EXP(alpha*b*psi)*(-2+Size*alpha*psi)))/((alpha^3)*(psi^3))</f>
        <v>78.836375998096</v>
      </c>
      <c r="Q9" s="6" t="n">
        <f aca="false">Tau*Beta</f>
        <v>108</v>
      </c>
      <c r="R9" s="6" t="n">
        <f aca="false">Tau*Beta</f>
        <v>108</v>
      </c>
      <c r="S9" s="8" t="n">
        <f aca="false">Tau</f>
        <v>0.6</v>
      </c>
      <c r="T9" s="6" t="n">
        <f aca="false">Profit+Utility</f>
        <v>3554.85552481855</v>
      </c>
      <c r="U9" s="6" t="n">
        <f aca="false">ij*BUTIJ+BUTII</f>
        <v>2687.8883297286</v>
      </c>
      <c r="V9" s="6" t="n">
        <f aca="false">Revenue-Cost</f>
        <v>866.967195089952</v>
      </c>
      <c r="W9" s="6" t="n">
        <f aca="false">(2*ij*BRIJ)+(2)*jj*BRJJ</f>
        <v>1384.93569850159</v>
      </c>
      <c r="X9" s="6" t="n">
        <f aca="false">2*(ij*BCCIJ)+(2*jj*BCCJJ)+BCS+jj*BCPTJJ+2*(ij*BCPTIJ)+BCPTII+BCk</f>
        <v>517.968503411642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customFormat="false" ht="13" hidden="false" customHeight="false" outlineLevel="0" collapsed="false">
      <c r="A10" s="2" t="n">
        <f aca="false">A9+0.1</f>
        <v>0.7</v>
      </c>
      <c r="B10" s="2" t="n">
        <v>0</v>
      </c>
      <c r="C10" s="2" t="n">
        <v>10</v>
      </c>
      <c r="D10" s="2" t="n">
        <v>0</v>
      </c>
      <c r="E10" s="2" t="n">
        <f aca="false">Size-a</f>
        <v>10</v>
      </c>
      <c r="F10" s="12" t="n">
        <f aca="false">(EXP(alpha*(Tau+OldTau+zeta-2*a*psi))*((EXP(alpha*a*psi)-EXP(alpha*b*psi))^2))/((EXP(alpha*a*psi)-EXP(alpha*(2*OldTau+b*psi)))*(alpha^2)*(psi^2))</f>
        <v>5.01161145380963</v>
      </c>
      <c r="G10" s="12" t="n">
        <f aca="false">(EXP(alpha*(zeta+(2*b-a)*psi))*(-1+EXP(alpha*(-1)*Size*psi))*(EXP(alpha*(2*(Tau+OldTau)+a*psi))-EXP(alpha*(2*(Tau+OldTau)+b*psi))))/(((EXP(alpha*a*psi)-EXP(alpha*(2*OldTau+b*psi)))^2)*(alpha^2)*(psi^2))</f>
        <v>0.714794614337263</v>
      </c>
      <c r="H10" s="9" t="n">
        <f aca="false">-Beta/alpha</f>
        <v>180</v>
      </c>
      <c r="I10" s="9" t="n">
        <f aca="false">(-EXP(alpha*zeta)*Beta*(-1+EXP(alpha*Size*psi)-Size*alpha*psi))/((alpha^3)*(psi^2))</f>
        <v>1690.92462806846</v>
      </c>
      <c r="J10" s="9" t="n">
        <f aca="false">Beta*Theta</f>
        <v>14.4</v>
      </c>
      <c r="K10" s="9" t="n">
        <f aca="false">Beta*Theta</f>
        <v>14.4</v>
      </c>
      <c r="L10" s="9" t="n">
        <f aca="false">kappa</f>
        <v>90</v>
      </c>
      <c r="M10" s="9" t="n">
        <f aca="false">Gamma*Size</f>
        <v>0</v>
      </c>
      <c r="N10" s="9" t="n">
        <f aca="false">Size*Beta*Phi</f>
        <v>32.4</v>
      </c>
      <c r="O10" s="9" t="n">
        <f aca="false">-(EXP(alpha*a*psi)+EXP(alpha*b*psi)*(-1+Size*psi*alpha))*(Beta*Phi)/((alpha*psi)*(EXP(alpha*a*psi)-EXP(alpha*b*psi)))</f>
        <v>12.2941718960407</v>
      </c>
      <c r="P10" s="9" t="n">
        <f aca="false">(EXP(alpha*(zeta-a*psi))*Beta*Phi*(-EXP(alpha*a*psi)*(-2+(-1)*Size*alpha*psi)+EXP(alpha*b*psi)*(-2+Size*alpha*psi)))/((alpha^3)*(psi^3))</f>
        <v>78.836375998096</v>
      </c>
      <c r="Q10" s="9" t="n">
        <f aca="false">Tau*Beta</f>
        <v>126</v>
      </c>
      <c r="R10" s="9" t="n">
        <f aca="false">Tau*Beta</f>
        <v>126</v>
      </c>
      <c r="S10" s="13" t="n">
        <f aca="false">Tau</f>
        <v>0.7</v>
      </c>
      <c r="T10" s="9" t="n">
        <f aca="false">Profit+Utility</f>
        <v>3555.92557728335</v>
      </c>
      <c r="U10" s="9" t="n">
        <f aca="false">ij*BUTIJ+BUTII</f>
        <v>2593.01468975419</v>
      </c>
      <c r="V10" s="9" t="n">
        <f aca="false">Revenue-Cost</f>
        <v>962.91088752916</v>
      </c>
      <c r="W10" s="9" t="n">
        <f aca="false">(2*ij*BRIJ)+(2)*jj*BRJJ</f>
        <v>1443.05432917302</v>
      </c>
      <c r="X10" s="9" t="n">
        <f aca="false">2*(ij*BCCIJ)+(2*jj*BCCJJ)+BCS+jj*BCPTJJ+2*(ij*BCPTIJ)+BCPTII+BCk</f>
        <v>480.143441643858</v>
      </c>
    </row>
    <row r="11" customFormat="false" ht="13" hidden="false" customHeight="false" outlineLevel="0" collapsed="false">
      <c r="A11" s="2" t="n">
        <f aca="false">A10+0.1</f>
        <v>0.8</v>
      </c>
      <c r="B11" s="2" t="n">
        <v>0</v>
      </c>
      <c r="C11" s="2" t="n">
        <v>10</v>
      </c>
      <c r="D11" s="2" t="n">
        <v>0</v>
      </c>
      <c r="E11" s="2" t="n">
        <f aca="false">Size-a</f>
        <v>10</v>
      </c>
      <c r="F11" s="10" t="n">
        <f aca="false">(EXP(alpha*(Tau+OldTau+zeta-2*a*psi))*((EXP(alpha*a*psi)-EXP(alpha*b*psi))^2))/((EXP(alpha*a*psi)-EXP(alpha*(2*OldTau+b*psi)))*(alpha^2)*(psi^2))</f>
        <v>4.53469356806455</v>
      </c>
      <c r="G11" s="10" t="n">
        <f aca="false">(EXP(alpha*(zeta+(2*b-a)*psi))*(-1+EXP(alpha*(-1)*Size*psi))*(EXP(alpha*(2*(Tau+OldTau)+a*psi))-EXP(alpha*(2*(Tau+OldTau)+b*psi))))/(((EXP(alpha*a*psi)-EXP(alpha*(2*OldTau+b*psi)))^2)*(alpha^2)*(psi^2))</f>
        <v>0.585224332892433</v>
      </c>
      <c r="H11" s="7" t="n">
        <f aca="false">-Beta/alpha</f>
        <v>180</v>
      </c>
      <c r="I11" s="7" t="n">
        <f aca="false">(-EXP(alpha*zeta)*Beta*(-1+EXP(alpha*Size*psi)-Size*alpha*psi))/((alpha^3)*(psi^2))</f>
        <v>1690.92462806846</v>
      </c>
      <c r="J11" s="7" t="n">
        <f aca="false">Beta*Theta</f>
        <v>14.4</v>
      </c>
      <c r="K11" s="7" t="n">
        <f aca="false">Beta*Theta</f>
        <v>14.4</v>
      </c>
      <c r="L11" s="7" t="n">
        <f aca="false">kappa</f>
        <v>90</v>
      </c>
      <c r="M11" s="7" t="n">
        <f aca="false">Gamma*Size</f>
        <v>0</v>
      </c>
      <c r="N11" s="7" t="n">
        <f aca="false">Size*Beta*Phi</f>
        <v>32.4</v>
      </c>
      <c r="O11" s="7" t="n">
        <f aca="false">-(EXP(alpha*a*psi)+EXP(alpha*b*psi)*(-1+Size*psi*alpha))*(Beta*Phi)/((alpha*psi)*(EXP(alpha*a*psi)-EXP(alpha*b*psi)))</f>
        <v>12.2941718960407</v>
      </c>
      <c r="P11" s="7" t="n">
        <f aca="false">(EXP(alpha*(zeta-a*psi))*Beta*Phi*(-EXP(alpha*a*psi)*(-2+(-1)*Size*alpha*psi)+EXP(alpha*b*psi)*(-2+Size*alpha*psi)))/((alpha^3)*(psi^3))</f>
        <v>78.836375998096</v>
      </c>
      <c r="Q11" s="7" t="n">
        <f aca="false">Tau*Beta</f>
        <v>144</v>
      </c>
      <c r="R11" s="7" t="n">
        <f aca="false">Tau*Beta</f>
        <v>144</v>
      </c>
      <c r="S11" s="11" t="n">
        <f aca="false">Tau</f>
        <v>0.8</v>
      </c>
      <c r="T11" s="7" t="n">
        <f aca="false">Profit+Utility</f>
        <v>3534.95394142101</v>
      </c>
      <c r="U11" s="7" t="n">
        <f aca="false">ij*BUTIJ+BUTII</f>
        <v>2507.16947032008</v>
      </c>
      <c r="V11" s="7" t="n">
        <f aca="false">Revenue-Cost</f>
        <v>1027.78447110093</v>
      </c>
      <c r="W11" s="7" t="n">
        <f aca="false">(2*ij*BRIJ)+(2)*jj*BRJJ</f>
        <v>1474.53635547561</v>
      </c>
      <c r="X11" s="9" t="n">
        <f aca="false">2*(ij*BCCIJ)+(2*jj*BCCJJ)+BCS+jj*BCPTJJ+2*(ij*BCPTIJ)+BCPTII+BCk</f>
        <v>446.751884374683</v>
      </c>
    </row>
    <row r="12" customFormat="false" ht="13" hidden="false" customHeight="false" outlineLevel="0" collapsed="false">
      <c r="A12" s="2" t="n">
        <f aca="false">A11+0.1</f>
        <v>0.9</v>
      </c>
      <c r="B12" s="2" t="n">
        <v>0</v>
      </c>
      <c r="C12" s="2" t="n">
        <v>10</v>
      </c>
      <c r="D12" s="2" t="n">
        <v>0</v>
      </c>
      <c r="E12" s="2" t="n">
        <f aca="false">Size-a</f>
        <v>10</v>
      </c>
      <c r="F12" s="10" t="n">
        <f aca="false">(EXP(alpha*(Tau+OldTau+zeta-2*a*psi))*((EXP(alpha*a*psi)-EXP(alpha*b*psi))^2))/((EXP(alpha*a*psi)-EXP(alpha*(2*OldTau+b*psi)))*(alpha^2)*(psi^2))</f>
        <v>4.1031604197118</v>
      </c>
      <c r="G12" s="10" t="n">
        <f aca="false">(EXP(alpha*(zeta+(2*b-a)*psi))*(-1+EXP(alpha*(-1)*Size*psi))*(EXP(alpha*(2*(Tau+OldTau)+a*psi))-EXP(alpha*(2*(Tau+OldTau)+b*psi))))/(((EXP(alpha*a*psi)-EXP(alpha*(2*OldTau+b*psi)))^2)*(alpha^2)*(psi^2))</f>
        <v>0.479141158788581</v>
      </c>
      <c r="H12" s="7" t="n">
        <f aca="false">-Beta/alpha</f>
        <v>180</v>
      </c>
      <c r="I12" s="7" t="n">
        <f aca="false">(-EXP(alpha*zeta)*Beta*(-1+EXP(alpha*Size*psi)-Size*alpha*psi))/((alpha^3)*(psi^2))</f>
        <v>1690.92462806846</v>
      </c>
      <c r="J12" s="7" t="n">
        <f aca="false">Beta*Theta</f>
        <v>14.4</v>
      </c>
      <c r="K12" s="7" t="n">
        <f aca="false">Beta*Theta</f>
        <v>14.4</v>
      </c>
      <c r="L12" s="7" t="n">
        <f aca="false">kappa</f>
        <v>90</v>
      </c>
      <c r="M12" s="7" t="n">
        <f aca="false">Gamma*Size</f>
        <v>0</v>
      </c>
      <c r="N12" s="7" t="n">
        <f aca="false">Size*Beta*Phi</f>
        <v>32.4</v>
      </c>
      <c r="O12" s="7" t="n">
        <f aca="false">-(EXP(alpha*a*psi)+EXP(alpha*b*psi)*(-1+Size*psi*alpha))*(Beta*Phi)/((alpha*psi)*(EXP(alpha*a*psi)-EXP(alpha*b*psi)))</f>
        <v>12.2941718960407</v>
      </c>
      <c r="P12" s="7" t="n">
        <f aca="false">(EXP(alpha*(zeta-a*psi))*Beta*Phi*(-EXP(alpha*a*psi)*(-2+(-1)*Size*alpha*psi)+EXP(alpha*b*psi)*(-2+Size*alpha*psi)))/((alpha^3)*(psi^3))</f>
        <v>78.836375998096</v>
      </c>
      <c r="Q12" s="7" t="n">
        <f aca="false">Tau*Beta</f>
        <v>162</v>
      </c>
      <c r="R12" s="7" t="n">
        <f aca="false">Tau*Beta</f>
        <v>162</v>
      </c>
      <c r="S12" s="11" t="n">
        <f aca="false">Tau</f>
        <v>0.9</v>
      </c>
      <c r="T12" s="7" t="n">
        <f aca="false">Profit+Utility</f>
        <v>3496.93846101311</v>
      </c>
      <c r="U12" s="7" t="n">
        <f aca="false">ij*BUTIJ+BUTII</f>
        <v>2429.49350361658</v>
      </c>
      <c r="V12" s="7" t="n">
        <f aca="false">Revenue-Cost</f>
        <v>1067.44495739653</v>
      </c>
      <c r="W12" s="7" t="n">
        <f aca="false">(2*ij*BRIJ)+(2)*jj*BRJJ</f>
        <v>1484.66571143412</v>
      </c>
      <c r="X12" s="9" t="n">
        <f aca="false">2*(ij*BCCIJ)+(2*jj*BCCJJ)+BCS+jj*BCPTJJ+2*(ij*BCPTIJ)+BCPTII+BCk</f>
        <v>417.220754037591</v>
      </c>
    </row>
    <row r="13" customFormat="false" ht="13" hidden="false" customHeight="false" outlineLevel="0" collapsed="false">
      <c r="A13" s="2" t="n">
        <f aca="false">A12+0.1</f>
        <v>1</v>
      </c>
      <c r="B13" s="2" t="n">
        <v>0</v>
      </c>
      <c r="C13" s="2" t="n">
        <v>10</v>
      </c>
      <c r="D13" s="2" t="n">
        <v>0</v>
      </c>
      <c r="E13" s="2" t="n">
        <f aca="false">Size-a</f>
        <v>10</v>
      </c>
      <c r="F13" s="10" t="n">
        <f aca="false">(EXP(alpha*(Tau+OldTau+zeta-2*a*psi))*((EXP(alpha*a*psi)-EXP(alpha*b*psi))^2))/((EXP(alpha*a*psi)-EXP(alpha*(2*OldTau+b*psi)))*(alpha^2)*(psi^2))</f>
        <v>3.71269307995937</v>
      </c>
      <c r="G13" s="10" t="n">
        <f aca="false">(EXP(alpha*(zeta+(2*b-a)*psi))*(-1+EXP(alpha*(-1)*Size*psi))*(EXP(alpha*(2*(Tau+OldTau)+a*psi))-EXP(alpha*(2*(Tau+OldTau)+b*psi))))/(((EXP(alpha*a*psi)-EXP(alpha*(2*OldTau+b*psi)))^2)*(alpha^2)*(psi^2))</f>
        <v>0.392287601765632</v>
      </c>
      <c r="H13" s="7" t="n">
        <f aca="false">-Beta/alpha</f>
        <v>180</v>
      </c>
      <c r="I13" s="7" t="n">
        <f aca="false">(-EXP(alpha*zeta)*Beta*(-1+EXP(alpha*Size*psi)-Size*alpha*psi))/((alpha^3)*(psi^2))</f>
        <v>1690.92462806846</v>
      </c>
      <c r="J13" s="7" t="n">
        <f aca="false">Beta*Theta</f>
        <v>14.4</v>
      </c>
      <c r="K13" s="7" t="n">
        <f aca="false">Beta*Theta</f>
        <v>14.4</v>
      </c>
      <c r="L13" s="7" t="n">
        <f aca="false">kappa</f>
        <v>90</v>
      </c>
      <c r="M13" s="7" t="n">
        <f aca="false">Gamma*Size</f>
        <v>0</v>
      </c>
      <c r="N13" s="7" t="n">
        <f aca="false">Size*Beta*Phi</f>
        <v>32.4</v>
      </c>
      <c r="O13" s="7" t="n">
        <f aca="false">-(EXP(alpha*a*psi)+EXP(alpha*b*psi)*(-1+Size*psi*alpha))*(Beta*Phi)/((alpha*psi)*(EXP(alpha*a*psi)-EXP(alpha*b*psi)))</f>
        <v>12.2941718960407</v>
      </c>
      <c r="P13" s="7" t="n">
        <f aca="false">(EXP(alpha*(zeta-a*psi))*Beta*Phi*(-EXP(alpha*a*psi)*(-2+(-1)*Size*alpha*psi)+EXP(alpha*b*psi)*(-2+Size*alpha*psi)))/((alpha^3)*(psi^3))</f>
        <v>78.836375998096</v>
      </c>
      <c r="Q13" s="7" t="n">
        <f aca="false">Tau*Beta</f>
        <v>180</v>
      </c>
      <c r="R13" s="7" t="n">
        <f aca="false">Tau*Beta</f>
        <v>180</v>
      </c>
      <c r="S13" s="11" t="n">
        <f aca="false">Tau</f>
        <v>1</v>
      </c>
      <c r="T13" s="7" t="n">
        <f aca="false">Profit+Utility</f>
        <v>3445.94351610864</v>
      </c>
      <c r="U13" s="7" t="n">
        <f aca="false">ij*BUTIJ+BUTII</f>
        <v>2359.20938246114</v>
      </c>
      <c r="V13" s="7" t="n">
        <f aca="false">Revenue-Cost</f>
        <v>1086.7341336475</v>
      </c>
      <c r="W13" s="7" t="n">
        <f aca="false">(2*ij*BRIJ)+(2)*jj*BRJJ</f>
        <v>1477.793045421</v>
      </c>
      <c r="X13" s="9" t="n">
        <f aca="false">2*(ij*BCCIJ)+(2*jj*BCCJJ)+BCS+jj*BCPTJJ+2*(ij*BCPTIJ)+BCPTII+BCk</f>
        <v>391.058911773505</v>
      </c>
    </row>
    <row r="14" customFormat="false" ht="13" hidden="false" customHeight="false" outlineLevel="0" collapsed="false">
      <c r="A14" s="2" t="n">
        <f aca="false">A13+0.1</f>
        <v>1.1</v>
      </c>
      <c r="B14" s="2" t="n">
        <v>0</v>
      </c>
      <c r="C14" s="2" t="n">
        <v>10</v>
      </c>
      <c r="D14" s="2" t="n">
        <v>0</v>
      </c>
      <c r="E14" s="2" t="n">
        <f aca="false">Size-a</f>
        <v>10</v>
      </c>
      <c r="F14" s="10" t="n">
        <f aca="false">(EXP(alpha*(Tau+OldTau+zeta-2*a*psi))*((EXP(alpha*a*psi)-EXP(alpha*b*psi))^2))/((EXP(alpha*a*psi)-EXP(alpha*(2*OldTau+b*psi)))*(alpha^2)*(psi^2))</f>
        <v>3.35938362043041</v>
      </c>
      <c r="G14" s="10" t="n">
        <f aca="false">(EXP(alpha*(zeta+(2*b-a)*psi))*(-1+EXP(alpha*(-1)*Size*psi))*(EXP(alpha*(2*(Tau+OldTau)+a*psi))-EXP(alpha*(2*(Tau+OldTau)+b*psi))))/(((EXP(alpha*a*psi)-EXP(alpha*(2*OldTau+b*psi)))^2)*(alpha^2)*(psi^2))</f>
        <v>0.321177923616731</v>
      </c>
      <c r="H14" s="7" t="n">
        <f aca="false">-Beta/alpha</f>
        <v>180</v>
      </c>
      <c r="I14" s="7" t="n">
        <f aca="false">(-EXP(alpha*zeta)*Beta*(-1+EXP(alpha*Size*psi)-Size*alpha*psi))/((alpha^3)*(psi^2))</f>
        <v>1690.92462806846</v>
      </c>
      <c r="J14" s="7" t="n">
        <f aca="false">Beta*Theta</f>
        <v>14.4</v>
      </c>
      <c r="K14" s="7" t="n">
        <f aca="false">Beta*Theta</f>
        <v>14.4</v>
      </c>
      <c r="L14" s="7" t="n">
        <f aca="false">kappa</f>
        <v>90</v>
      </c>
      <c r="M14" s="7" t="n">
        <f aca="false">Gamma*Size</f>
        <v>0</v>
      </c>
      <c r="N14" s="7" t="n">
        <f aca="false">Size*Beta*Phi</f>
        <v>32.4</v>
      </c>
      <c r="O14" s="7" t="n">
        <f aca="false">-(EXP(alpha*a*psi)+EXP(alpha*b*psi)*(-1+Size*psi*alpha))*(Beta*Phi)/((alpha*psi)*(EXP(alpha*a*psi)-EXP(alpha*b*psi)))</f>
        <v>12.2941718960407</v>
      </c>
      <c r="P14" s="7" t="n">
        <f aca="false">(EXP(alpha*(zeta-a*psi))*Beta*Phi*(-EXP(alpha*a*psi)*(-2+(-1)*Size*alpha*psi)+EXP(alpha*b*psi)*(-2+Size*alpha*psi)))/((alpha^3)*(psi^3))</f>
        <v>78.836375998096</v>
      </c>
      <c r="Q14" s="7" t="n">
        <f aca="false">Tau*Beta</f>
        <v>198</v>
      </c>
      <c r="R14" s="7" t="n">
        <f aca="false">Tau*Beta</f>
        <v>198</v>
      </c>
      <c r="S14" s="11" t="n">
        <f aca="false">Tau</f>
        <v>1.1</v>
      </c>
      <c r="T14" s="7" t="n">
        <f aca="false">Profit+Utility</f>
        <v>3385.27165860813</v>
      </c>
      <c r="U14" s="7" t="n">
        <f aca="false">ij*BUTIJ+BUTII</f>
        <v>2295.61367974593</v>
      </c>
      <c r="V14" s="7" t="n">
        <f aca="false">Revenue-Cost</f>
        <v>1089.6579788622</v>
      </c>
      <c r="W14" s="7" t="n">
        <f aca="false">(2*ij*BRIJ)+(2)*jj*BRJJ</f>
        <v>1457.50237144267</v>
      </c>
      <c r="X14" s="9" t="n">
        <f aca="false">2*(ij*BCCIJ)+(2*jj*BCCJJ)+BCS+jj*BCPTJJ+2*(ij*BCPTIJ)+BCPTII+BCk</f>
        <v>367.844392580465</v>
      </c>
    </row>
    <row r="15" customFormat="false" ht="13" hidden="false" customHeight="false" outlineLevel="0" collapsed="false">
      <c r="A15" s="2" t="n">
        <f aca="false">A14+0.1</f>
        <v>1.2</v>
      </c>
      <c r="B15" s="2" t="n">
        <v>0</v>
      </c>
      <c r="C15" s="2" t="n">
        <v>10</v>
      </c>
      <c r="D15" s="2" t="n">
        <v>0</v>
      </c>
      <c r="E15" s="2" t="n">
        <f aca="false">Size-a</f>
        <v>10</v>
      </c>
      <c r="F15" s="10" t="n">
        <f aca="false">(EXP(alpha*(Tau+OldTau+zeta-2*a*psi))*((EXP(alpha*a*psi)-EXP(alpha*b*psi))^2))/((EXP(alpha*a*psi)-EXP(alpha*(2*OldTau+b*psi)))*(alpha^2)*(psi^2))</f>
        <v>3.03969600130255</v>
      </c>
      <c r="G15" s="10" t="n">
        <f aca="false">(EXP(alpha*(zeta+(2*b-a)*psi))*(-1+EXP(alpha*(-1)*Size*psi))*(EXP(alpha*(2*(Tau+OldTau)+a*psi))-EXP(alpha*(2*(Tau+OldTau)+b*psi))))/(((EXP(alpha*a*psi)-EXP(alpha*(2*OldTau+b*psi)))^2)*(alpha^2)*(psi^2))</f>
        <v>0.262958243274749</v>
      </c>
      <c r="H15" s="7" t="n">
        <f aca="false">-Beta/alpha</f>
        <v>180</v>
      </c>
      <c r="I15" s="7" t="n">
        <f aca="false">(-EXP(alpha*zeta)*Beta*(-1+EXP(alpha*Size*psi)-Size*alpha*psi))/((alpha^3)*(psi^2))</f>
        <v>1690.92462806846</v>
      </c>
      <c r="J15" s="7" t="n">
        <f aca="false">Beta*Theta</f>
        <v>14.4</v>
      </c>
      <c r="K15" s="7" t="n">
        <f aca="false">Beta*Theta</f>
        <v>14.4</v>
      </c>
      <c r="L15" s="7" t="n">
        <f aca="false">kappa</f>
        <v>90</v>
      </c>
      <c r="M15" s="7" t="n">
        <f aca="false">Gamma*Size</f>
        <v>0</v>
      </c>
      <c r="N15" s="7" t="n">
        <f aca="false">Size*Beta*Phi</f>
        <v>32.4</v>
      </c>
      <c r="O15" s="7" t="n">
        <f aca="false">-(EXP(alpha*a*psi)+EXP(alpha*b*psi)*(-1+Size*psi*alpha))*(Beta*Phi)/((alpha*psi)*(EXP(alpha*a*psi)-EXP(alpha*b*psi)))</f>
        <v>12.2941718960407</v>
      </c>
      <c r="P15" s="7" t="n">
        <f aca="false">(EXP(alpha*(zeta-a*psi))*Beta*Phi*(-EXP(alpha*a*psi)*(-2+(-1)*Size*alpha*psi)+EXP(alpha*b*psi)*(-2+Size*alpha*psi)))/((alpha^3)*(psi^3))</f>
        <v>78.836375998096</v>
      </c>
      <c r="Q15" s="7" t="n">
        <f aca="false">Tau*Beta</f>
        <v>216</v>
      </c>
      <c r="R15" s="7" t="n">
        <f aca="false">Tau*Beta</f>
        <v>216</v>
      </c>
      <c r="S15" s="11" t="n">
        <f aca="false">Tau</f>
        <v>1.2</v>
      </c>
      <c r="T15" s="7" t="n">
        <f aca="false">Profit+Utility</f>
        <v>3317.60278633284</v>
      </c>
      <c r="U15" s="7" t="n">
        <f aca="false">ij*BUTIJ+BUTII</f>
        <v>2238.06990830292</v>
      </c>
      <c r="V15" s="7" t="n">
        <f aca="false">Revenue-Cost</f>
        <v>1079.53287802993</v>
      </c>
      <c r="W15" s="7" t="n">
        <f aca="false">(2*ij*BRIJ)+(2)*jj*BRJJ</f>
        <v>1426.74663365739</v>
      </c>
      <c r="X15" s="9" t="n">
        <f aca="false">2*(ij*BCCIJ)+(2*jj*BCCJJ)+BCS+jj*BCPTJJ+2*(ij*BCPTIJ)+BCPTII+BCk</f>
        <v>347.213755627466</v>
      </c>
    </row>
    <row r="16" customFormat="false" ht="13" hidden="false" customHeight="false" outlineLevel="0" collapsed="false">
      <c r="A16" s="2" t="n">
        <f aca="false">A15+0.1</f>
        <v>1.3</v>
      </c>
      <c r="B16" s="2" t="n">
        <v>0</v>
      </c>
      <c r="C16" s="2" t="n">
        <v>10</v>
      </c>
      <c r="D16" s="2" t="n">
        <v>0</v>
      </c>
      <c r="E16" s="2" t="n">
        <f aca="false">Size-a</f>
        <v>10</v>
      </c>
      <c r="F16" s="10" t="n">
        <f aca="false">(EXP(alpha*(Tau+OldTau+zeta-2*a*psi))*((EXP(alpha*a*psi)-EXP(alpha*b*psi))^2))/((EXP(alpha*a*psi)-EXP(alpha*(2*OldTau+b*psi)))*(alpha^2)*(psi^2))</f>
        <v>2.75043068143283</v>
      </c>
      <c r="G16" s="10" t="n">
        <f aca="false">(EXP(alpha*(zeta+(2*b-a)*psi))*(-1+EXP(alpha*(-1)*Size*psi))*(EXP(alpha*(2*(Tau+OldTau)+a*psi))-EXP(alpha*(2*(Tau+OldTau)+b*psi))))/(((EXP(alpha*a*psi)-EXP(alpha*(2*OldTau+b*psi)))^2)*(alpha^2)*(psi^2))</f>
        <v>0.215292000544398</v>
      </c>
      <c r="H16" s="7" t="n">
        <f aca="false">-Beta/alpha</f>
        <v>180</v>
      </c>
      <c r="I16" s="7" t="n">
        <f aca="false">(-EXP(alpha*zeta)*Beta*(-1+EXP(alpha*Size*psi)-Size*alpha*psi))/((alpha^3)*(psi^2))</f>
        <v>1690.92462806846</v>
      </c>
      <c r="J16" s="7" t="n">
        <f aca="false">Beta*Theta</f>
        <v>14.4</v>
      </c>
      <c r="K16" s="7" t="n">
        <f aca="false">Beta*Theta</f>
        <v>14.4</v>
      </c>
      <c r="L16" s="7" t="n">
        <f aca="false">kappa</f>
        <v>90</v>
      </c>
      <c r="M16" s="7" t="n">
        <f aca="false">Gamma*Size</f>
        <v>0</v>
      </c>
      <c r="N16" s="7" t="n">
        <f aca="false">Size*Beta*Phi</f>
        <v>32.4</v>
      </c>
      <c r="O16" s="7" t="n">
        <f aca="false">-(EXP(alpha*a*psi)+EXP(alpha*b*psi)*(-1+Size*psi*alpha))*(Beta*Phi)/((alpha*psi)*(EXP(alpha*a*psi)-EXP(alpha*b*psi)))</f>
        <v>12.2941718960407</v>
      </c>
      <c r="P16" s="7" t="n">
        <f aca="false">(EXP(alpha*(zeta-a*psi))*Beta*Phi*(-EXP(alpha*a*psi)*(-2+(-1)*Size*alpha*psi)+EXP(alpha*b*psi)*(-2+Size*alpha*psi)))/((alpha^3)*(psi^3))</f>
        <v>78.836375998096</v>
      </c>
      <c r="Q16" s="7" t="n">
        <f aca="false">Tau*Beta</f>
        <v>234</v>
      </c>
      <c r="R16" s="7" t="n">
        <f aca="false">Tau*Beta</f>
        <v>234</v>
      </c>
      <c r="S16" s="11" t="n">
        <f aca="false">Tau</f>
        <v>1.3</v>
      </c>
      <c r="T16" s="7" t="n">
        <f aca="false">Profit+Utility</f>
        <v>3245.10718066367</v>
      </c>
      <c r="U16" s="7" t="n">
        <f aca="false">ij*BUTIJ+BUTII</f>
        <v>2186.00215072637</v>
      </c>
      <c r="V16" s="7" t="n">
        <f aca="false">Revenue-Cost</f>
        <v>1059.1050299373</v>
      </c>
      <c r="W16" s="7" t="n">
        <f aca="false">(2*ij*BRIJ)+(2)*jj*BRJJ</f>
        <v>1387.95821516534</v>
      </c>
      <c r="X16" s="9" t="n">
        <f aca="false">2*(ij*BCCIJ)+(2*jj*BCCJJ)+BCS+jj*BCPTJJ+2*(ij*BCPTIJ)+BCPTII+BCk</f>
        <v>328.853185228037</v>
      </c>
    </row>
    <row r="17" customFormat="false" ht="13" hidden="false" customHeight="false" outlineLevel="0" collapsed="false">
      <c r="A17" s="2" t="n">
        <f aca="false">A16+0.1</f>
        <v>1.4</v>
      </c>
      <c r="B17" s="2" t="n">
        <v>0</v>
      </c>
      <c r="C17" s="2" t="n">
        <v>10</v>
      </c>
      <c r="D17" s="2" t="n">
        <v>0</v>
      </c>
      <c r="E17" s="2" t="n">
        <f aca="false">Size-a</f>
        <v>10</v>
      </c>
      <c r="F17" s="10" t="n">
        <f aca="false">(EXP(alpha*(Tau+OldTau+zeta-2*a*psi))*((EXP(alpha*a*psi)-EXP(alpha*b*psi))^2))/((EXP(alpha*a*psi)-EXP(alpha*(2*OldTau+b*psi)))*(alpha^2)*(psi^2))</f>
        <v>2.48869259627456</v>
      </c>
      <c r="G17" s="10" t="n">
        <f aca="false">(EXP(alpha*(zeta+(2*b-a)*psi))*(-1+EXP(alpha*(-1)*Size*psi))*(EXP(alpha*(2*(Tau+OldTau)+a*psi))-EXP(alpha*(2*(Tau+OldTau)+b*psi))))/(((EXP(alpha*a*psi)-EXP(alpha*(2*OldTau+b*psi)))^2)*(alpha^2)*(psi^2))</f>
        <v>0.176266181737381</v>
      </c>
      <c r="H17" s="7" t="n">
        <f aca="false">-Beta/alpha</f>
        <v>180</v>
      </c>
      <c r="I17" s="7" t="n">
        <f aca="false">(-EXP(alpha*zeta)*Beta*(-1+EXP(alpha*Size*psi)-Size*alpha*psi))/((alpha^3)*(psi^2))</f>
        <v>1690.92462806846</v>
      </c>
      <c r="J17" s="7" t="n">
        <f aca="false">Beta*Theta</f>
        <v>14.4</v>
      </c>
      <c r="K17" s="7" t="n">
        <f aca="false">Beta*Theta</f>
        <v>14.4</v>
      </c>
      <c r="L17" s="7" t="n">
        <f aca="false">kappa</f>
        <v>90</v>
      </c>
      <c r="M17" s="7" t="n">
        <f aca="false">Gamma*Size</f>
        <v>0</v>
      </c>
      <c r="N17" s="7" t="n">
        <f aca="false">Size*Beta*Phi</f>
        <v>32.4</v>
      </c>
      <c r="O17" s="7" t="n">
        <f aca="false">-(EXP(alpha*a*psi)+EXP(alpha*b*psi)*(-1+Size*psi*alpha))*(Beta*Phi)/((alpha*psi)*(EXP(alpha*a*psi)-EXP(alpha*b*psi)))</f>
        <v>12.2941718960407</v>
      </c>
      <c r="P17" s="7" t="n">
        <f aca="false">(EXP(alpha*(zeta-a*psi))*Beta*Phi*(-EXP(alpha*a*psi)*(-2+(-1)*Size*alpha*psi)+EXP(alpha*b*psi)*(-2+Size*alpha*psi)))/((alpha^3)*(psi^3))</f>
        <v>78.836375998096</v>
      </c>
      <c r="Q17" s="7" t="n">
        <f aca="false">Tau*Beta</f>
        <v>252</v>
      </c>
      <c r="R17" s="7" t="n">
        <f aca="false">Tau*Beta</f>
        <v>252</v>
      </c>
      <c r="S17" s="11" t="n">
        <f aca="false">Tau</f>
        <v>1.4</v>
      </c>
      <c r="T17" s="7" t="n">
        <f aca="false">Profit+Utility</f>
        <v>3169.53747727276</v>
      </c>
      <c r="U17" s="7" t="n">
        <f aca="false">ij*BUTIJ+BUTII</f>
        <v>2138.88929539788</v>
      </c>
      <c r="V17" s="7" t="n">
        <f aca="false">Revenue-Cost</f>
        <v>1030.64818187488</v>
      </c>
      <c r="W17" s="7" t="n">
        <f aca="false">(2*ij*BRIJ)+(2)*jj*BRJJ</f>
        <v>1343.13922411802</v>
      </c>
      <c r="X17" s="9" t="n">
        <f aca="false">2*(ij*BCCIJ)+(2*jj*BCCJJ)+BCS+jj*BCPTJJ+2*(ij*BCPTIJ)+BCPTII+BCk</f>
        <v>312.491042243138</v>
      </c>
    </row>
    <row r="18" customFormat="false" ht="13" hidden="false" customHeight="false" outlineLevel="0" collapsed="false">
      <c r="A18" s="2" t="n">
        <f aca="false">A17+0.1</f>
        <v>1.5</v>
      </c>
      <c r="B18" s="2" t="n">
        <v>0</v>
      </c>
      <c r="C18" s="2" t="n">
        <v>10</v>
      </c>
      <c r="D18" s="2" t="n">
        <v>0</v>
      </c>
      <c r="E18" s="2" t="n">
        <f aca="false">Size-a</f>
        <v>10</v>
      </c>
      <c r="F18" s="10" t="n">
        <f aca="false">(EXP(alpha*(Tau+OldTau+zeta-2*a*psi))*((EXP(alpha*a*psi)-EXP(alpha*b*psi))^2))/((EXP(alpha*a*psi)-EXP(alpha*(2*OldTau+b*psi)))*(alpha^2)*(psi^2))</f>
        <v>2.25186218309828</v>
      </c>
      <c r="G18" s="10" t="n">
        <f aca="false">(EXP(alpha*(zeta+(2*b-a)*psi))*(-1+EXP(alpha*(-1)*Size*psi))*(EXP(alpha*(2*(Tau+OldTau)+a*psi))-EXP(alpha*(2*(Tau+OldTau)+b*psi))))/(((EXP(alpha*a*psi)-EXP(alpha*(2*OldTau+b*psi)))^2)*(alpha^2)*(psi^2))</f>
        <v>0.144314543716026</v>
      </c>
      <c r="H18" s="7" t="n">
        <f aca="false">-Beta/alpha</f>
        <v>180</v>
      </c>
      <c r="I18" s="7" t="n">
        <f aca="false">(-EXP(alpha*zeta)*Beta*(-1+EXP(alpha*Size*psi)-Size*alpha*psi))/((alpha^3)*(psi^2))</f>
        <v>1690.92462806846</v>
      </c>
      <c r="J18" s="7" t="n">
        <f aca="false">Beta*Theta</f>
        <v>14.4</v>
      </c>
      <c r="K18" s="7" t="n">
        <f aca="false">Beta*Theta</f>
        <v>14.4</v>
      </c>
      <c r="L18" s="7" t="n">
        <f aca="false">kappa</f>
        <v>90</v>
      </c>
      <c r="M18" s="7" t="n">
        <f aca="false">Gamma*Size</f>
        <v>0</v>
      </c>
      <c r="N18" s="7" t="n">
        <f aca="false">Size*Beta*Phi</f>
        <v>32.4</v>
      </c>
      <c r="O18" s="7" t="n">
        <f aca="false">-(EXP(alpha*a*psi)+EXP(alpha*b*psi)*(-1+Size*psi*alpha))*(Beta*Phi)/((alpha*psi)*(EXP(alpha*a*psi)-EXP(alpha*b*psi)))</f>
        <v>12.2941718960407</v>
      </c>
      <c r="P18" s="7" t="n">
        <f aca="false">(EXP(alpha*(zeta-a*psi))*Beta*Phi*(-EXP(alpha*a*psi)*(-2+(-1)*Size*alpha*psi)+EXP(alpha*b*psi)*(-2+Size*alpha*psi)))/((alpha^3)*(psi^3))</f>
        <v>78.836375998096</v>
      </c>
      <c r="Q18" s="7" t="n">
        <f aca="false">Tau*Beta</f>
        <v>270</v>
      </c>
      <c r="R18" s="7" t="n">
        <f aca="false">Tau*Beta</f>
        <v>270</v>
      </c>
      <c r="S18" s="11" t="n">
        <f aca="false">Tau</f>
        <v>1.5</v>
      </c>
      <c r="T18" s="7" t="n">
        <f aca="false">Profit+Utility</f>
        <v>3092.30363502872</v>
      </c>
      <c r="U18" s="7" t="n">
        <f aca="false">ij*BUTIJ+BUTII</f>
        <v>2096.25982102615</v>
      </c>
      <c r="V18" s="7" t="n">
        <f aca="false">Revenue-Cost</f>
        <v>996.043814002573</v>
      </c>
      <c r="W18" s="7" t="n">
        <f aca="false">(2*ij*BRIJ)+(2)*jj*BRJJ</f>
        <v>1293.93543247973</v>
      </c>
      <c r="X18" s="9" t="n">
        <f aca="false">2*(ij*BCCIJ)+(2*jj*BCCJJ)+BCS+jj*BCPTJJ+2*(ij*BCPTIJ)+BCPTII+BCk</f>
        <v>297.891618477155</v>
      </c>
    </row>
    <row r="19" customFormat="false" ht="13" hidden="false" customHeight="false" outlineLevel="0" collapsed="false">
      <c r="A19" s="2" t="n">
        <f aca="false">A18+0.1</f>
        <v>1.6</v>
      </c>
      <c r="B19" s="2" t="n">
        <v>0</v>
      </c>
      <c r="C19" s="2" t="n">
        <v>10</v>
      </c>
      <c r="D19" s="2" t="n">
        <v>0</v>
      </c>
      <c r="E19" s="2" t="n">
        <f aca="false">Size-a</f>
        <v>10</v>
      </c>
      <c r="F19" s="10" t="n">
        <f aca="false">(EXP(alpha*(Tau+OldTau+zeta-2*a*psi))*((EXP(alpha*a*psi)-EXP(alpha*b*psi))^2))/((EXP(alpha*a*psi)-EXP(alpha*(2*OldTau+b*psi)))*(alpha^2)*(psi^2))</f>
        <v>2.03756916352747</v>
      </c>
      <c r="G19" s="10" t="n">
        <f aca="false">(EXP(alpha*(zeta+(2*b-a)*psi))*(-1+EXP(alpha*(-1)*Size*psi))*(EXP(alpha*(2*(Tau+OldTau)+a*psi))-EXP(alpha*(2*(Tau+OldTau)+b*psi))))/(((EXP(alpha*a*psi)-EXP(alpha*(2*OldTau+b*psi)))^2)*(alpha^2)*(psi^2))</f>
        <v>0.118154755056727</v>
      </c>
      <c r="H19" s="7" t="n">
        <f aca="false">-Beta/alpha</f>
        <v>180</v>
      </c>
      <c r="I19" s="7" t="n">
        <f aca="false">(-EXP(alpha*zeta)*Beta*(-1+EXP(alpha*Size*psi)-Size*alpha*psi))/((alpha^3)*(psi^2))</f>
        <v>1690.92462806846</v>
      </c>
      <c r="J19" s="7" t="n">
        <f aca="false">Beta*Theta</f>
        <v>14.4</v>
      </c>
      <c r="K19" s="7" t="n">
        <f aca="false">Beta*Theta</f>
        <v>14.4</v>
      </c>
      <c r="L19" s="7" t="n">
        <f aca="false">kappa</f>
        <v>90</v>
      </c>
      <c r="M19" s="7" t="n">
        <f aca="false">Gamma*Size</f>
        <v>0</v>
      </c>
      <c r="N19" s="7" t="n">
        <f aca="false">Size*Beta*Phi</f>
        <v>32.4</v>
      </c>
      <c r="O19" s="7" t="n">
        <f aca="false">-(EXP(alpha*a*psi)+EXP(alpha*b*psi)*(-1+Size*psi*alpha))*(Beta*Phi)/((alpha*psi)*(EXP(alpha*a*psi)-EXP(alpha*b*psi)))</f>
        <v>12.2941718960407</v>
      </c>
      <c r="P19" s="7" t="n">
        <f aca="false">(EXP(alpha*(zeta-a*psi))*Beta*Phi*(-EXP(alpha*a*psi)*(-2+(-1)*Size*alpha*psi)+EXP(alpha*b*psi)*(-2+Size*alpha*psi)))/((alpha^3)*(psi^3))</f>
        <v>78.836375998096</v>
      </c>
      <c r="Q19" s="7" t="n">
        <f aca="false">Tau*Beta</f>
        <v>288</v>
      </c>
      <c r="R19" s="7" t="n">
        <f aca="false">Tau*Beta</f>
        <v>288</v>
      </c>
      <c r="S19" s="11" t="n">
        <f aca="false">Tau</f>
        <v>1.6</v>
      </c>
      <c r="T19" s="7" t="n">
        <f aca="false">Profit+Utility</f>
        <v>3014.53416459779</v>
      </c>
      <c r="U19" s="7" t="n">
        <f aca="false">ij*BUTIJ+BUTII</f>
        <v>2057.6870775034</v>
      </c>
      <c r="V19" s="7" t="n">
        <f aca="false">Revenue-Cost</f>
        <v>956.847087094383</v>
      </c>
      <c r="W19" s="7" t="n">
        <f aca="false">(2*ij*BRIJ)+(2)*jj*BRJJ</f>
        <v>1241.6969771045</v>
      </c>
      <c r="X19" s="9" t="n">
        <f aca="false">2*(ij*BCCIJ)+(2*jj*BCCJJ)+BCS+jj*BCPTJJ+2*(ij*BCPTIJ)+BCPTII+BCk</f>
        <v>284.849890010116</v>
      </c>
    </row>
    <row r="20" customFormat="false" ht="13" hidden="false" customHeight="false" outlineLevel="0" collapsed="false">
      <c r="A20" s="2" t="n">
        <f aca="false">A19+0.1</f>
        <v>1.7</v>
      </c>
      <c r="B20" s="2" t="n">
        <v>0</v>
      </c>
      <c r="C20" s="2" t="n">
        <v>10</v>
      </c>
      <c r="D20" s="2" t="n">
        <v>0</v>
      </c>
      <c r="E20" s="2" t="n">
        <f aca="false">Size-a</f>
        <v>10</v>
      </c>
      <c r="F20" s="10" t="n">
        <f aca="false">(EXP(alpha*(Tau+OldTau+zeta-2*a*psi))*((EXP(alpha*a*psi)-EXP(alpha*b*psi))^2))/((EXP(alpha*a*psi)-EXP(alpha*(2*OldTau+b*psi)))*(alpha^2)*(psi^2))</f>
        <v>1.84366882099589</v>
      </c>
      <c r="G20" s="10" t="n">
        <f aca="false">(EXP(alpha*(zeta+(2*b-a)*psi))*(-1+EXP(alpha*(-1)*Size*psi))*(EXP(alpha*(2*(Tau+OldTau)+a*psi))-EXP(alpha*(2*(Tau+OldTau)+b*psi))))/(((EXP(alpha*a*psi)-EXP(alpha*(2*OldTau+b*psi)))^2)*(alpha^2)*(psi^2))</f>
        <v>0.0967369315873388</v>
      </c>
      <c r="H20" s="7" t="n">
        <f aca="false">-Beta/alpha</f>
        <v>180</v>
      </c>
      <c r="I20" s="7" t="n">
        <f aca="false">(-EXP(alpha*zeta)*Beta*(-1+EXP(alpha*Size*psi)-Size*alpha*psi))/((alpha^3)*(psi^2))</f>
        <v>1690.92462806846</v>
      </c>
      <c r="J20" s="7" t="n">
        <f aca="false">Beta*Theta</f>
        <v>14.4</v>
      </c>
      <c r="K20" s="7" t="n">
        <f aca="false">Beta*Theta</f>
        <v>14.4</v>
      </c>
      <c r="L20" s="7" t="n">
        <f aca="false">kappa</f>
        <v>90</v>
      </c>
      <c r="M20" s="7" t="n">
        <f aca="false">Gamma*Size</f>
        <v>0</v>
      </c>
      <c r="N20" s="7" t="n">
        <f aca="false">Size*Beta*Phi</f>
        <v>32.4</v>
      </c>
      <c r="O20" s="7" t="n">
        <f aca="false">-(EXP(alpha*a*psi)+EXP(alpha*b*psi)*(-1+Size*psi*alpha))*(Beta*Phi)/((alpha*psi)*(EXP(alpha*a*psi)-EXP(alpha*b*psi)))</f>
        <v>12.2941718960407</v>
      </c>
      <c r="P20" s="7" t="n">
        <f aca="false">(EXP(alpha*(zeta-a*psi))*Beta*Phi*(-EXP(alpha*a*psi)*(-2+(-1)*Size*alpha*psi)+EXP(alpha*b*psi)*(-2+Size*alpha*psi)))/((alpha^3)*(psi^3))</f>
        <v>78.836375998096</v>
      </c>
      <c r="Q20" s="7" t="n">
        <f aca="false">Tau*Beta</f>
        <v>306</v>
      </c>
      <c r="R20" s="7" t="n">
        <f aca="false">Tau*Beta</f>
        <v>306</v>
      </c>
      <c r="S20" s="11" t="n">
        <f aca="false">Tau</f>
        <v>1.7</v>
      </c>
      <c r="T20" s="7" t="n">
        <f aca="false">Profit+Utility</f>
        <v>2937.12623536334</v>
      </c>
      <c r="U20" s="7" t="n">
        <f aca="false">ij*BUTIJ+BUTII</f>
        <v>2022.78501584772</v>
      </c>
      <c r="V20" s="7" t="n">
        <f aca="false">Revenue-Cost</f>
        <v>914.341219515623</v>
      </c>
      <c r="W20" s="7" t="n">
        <f aca="false">(2*ij*BRIJ)+(2)*jj*BRJJ</f>
        <v>1187.52832058093</v>
      </c>
      <c r="X20" s="9" t="n">
        <f aca="false">2*(ij*BCCIJ)+(2*jj*BCCJJ)+BCS+jj*BCPTJJ+2*(ij*BCPTIJ)+BCPTII+BCk</f>
        <v>273.187101065311</v>
      </c>
    </row>
    <row r="21" customFormat="false" ht="13" hidden="false" customHeight="false" outlineLevel="0" collapsed="false">
      <c r="A21" s="2" t="n">
        <f aca="false">A20+0.1</f>
        <v>1.8</v>
      </c>
      <c r="B21" s="2" t="n">
        <v>0</v>
      </c>
      <c r="C21" s="2" t="n">
        <v>10</v>
      </c>
      <c r="D21" s="2" t="n">
        <v>0</v>
      </c>
      <c r="E21" s="2" t="n">
        <f aca="false">Size-a</f>
        <v>10</v>
      </c>
      <c r="F21" s="10" t="n">
        <f aca="false">(EXP(alpha*(Tau+OldTau+zeta-2*a*psi))*((EXP(alpha*a*psi)-EXP(alpha*b*psi))^2))/((EXP(alpha*a*psi)-EXP(alpha*(2*OldTau+b*psi)))*(alpha^2)*(psi^2))</f>
        <v>1.66822053570332</v>
      </c>
      <c r="G21" s="10" t="n">
        <f aca="false">(EXP(alpha*(zeta+(2*b-a)*psi))*(-1+EXP(alpha*(-1)*Size*psi))*(EXP(alpha*(2*(Tau+OldTau)+a*psi))-EXP(alpha*(2*(Tau+OldTau)+b*psi))))/(((EXP(alpha*a*psi)-EXP(alpha*(2*OldTau+b*psi)))^2)*(alpha^2)*(psi^2))</f>
        <v>0.0792015008489551</v>
      </c>
      <c r="H21" s="7" t="n">
        <f aca="false">-Beta/alpha</f>
        <v>180</v>
      </c>
      <c r="I21" s="7" t="n">
        <f aca="false">(-EXP(alpha*zeta)*Beta*(-1+EXP(alpha*Size*psi)-Size*alpha*psi))/((alpha^3)*(psi^2))</f>
        <v>1690.92462806846</v>
      </c>
      <c r="J21" s="7" t="n">
        <f aca="false">Beta*Theta</f>
        <v>14.4</v>
      </c>
      <c r="K21" s="7" t="n">
        <f aca="false">Beta*Theta</f>
        <v>14.4</v>
      </c>
      <c r="L21" s="7" t="n">
        <f aca="false">kappa</f>
        <v>90</v>
      </c>
      <c r="M21" s="7" t="n">
        <f aca="false">Gamma*Size</f>
        <v>0</v>
      </c>
      <c r="N21" s="7" t="n">
        <f aca="false">Size*Beta*Phi</f>
        <v>32.4</v>
      </c>
      <c r="O21" s="7" t="n">
        <f aca="false">-(EXP(alpha*a*psi)+EXP(alpha*b*psi)*(-1+Size*psi*alpha))*(Beta*Phi)/((alpha*psi)*(EXP(alpha*a*psi)-EXP(alpha*b*psi)))</f>
        <v>12.2941718960407</v>
      </c>
      <c r="P21" s="7" t="n">
        <f aca="false">(EXP(alpha*(zeta-a*psi))*Beta*Phi*(-EXP(alpha*a*psi)*(-2+(-1)*Size*alpha*psi)+EXP(alpha*b*psi)*(-2+Size*alpha*psi)))/((alpha^3)*(psi^3))</f>
        <v>78.836375998096</v>
      </c>
      <c r="Q21" s="7" t="n">
        <f aca="false">Tau*Beta</f>
        <v>324</v>
      </c>
      <c r="R21" s="7" t="n">
        <f aca="false">Tau*Beta</f>
        <v>324</v>
      </c>
      <c r="S21" s="11" t="n">
        <f aca="false">Tau</f>
        <v>1.8</v>
      </c>
      <c r="T21" s="7" t="n">
        <f aca="false">Profit+Utility</f>
        <v>2860.78676484974</v>
      </c>
      <c r="U21" s="7" t="n">
        <f aca="false">ij*BUTIJ+BUTII</f>
        <v>1991.20432449506</v>
      </c>
      <c r="V21" s="7" t="n">
        <f aca="false">Revenue-Cost</f>
        <v>869.582440354683</v>
      </c>
      <c r="W21" s="7" t="n">
        <f aca="false">(2*ij*BRIJ)+(2)*jj*BRJJ</f>
        <v>1132.32947968587</v>
      </c>
      <c r="X21" s="9" t="n">
        <f aca="false">2*(ij*BCCIJ)+(2*jj*BCCJJ)+BCS+jj*BCPTJJ+2*(ij*BCPTIJ)+BCPTII+BCk</f>
        <v>262.747039331191</v>
      </c>
    </row>
    <row r="22" customFormat="false" ht="13" hidden="false" customHeight="false" outlineLevel="0" collapsed="false">
      <c r="A22" s="2" t="n">
        <f aca="false">A21+0.1</f>
        <v>1.9</v>
      </c>
      <c r="B22" s="2" t="n">
        <v>0</v>
      </c>
      <c r="C22" s="2" t="n">
        <v>10</v>
      </c>
      <c r="D22" s="2" t="n">
        <v>0</v>
      </c>
      <c r="E22" s="2" t="n">
        <f aca="false">Size-a</f>
        <v>10</v>
      </c>
      <c r="F22" s="10" t="n">
        <f aca="false">(EXP(alpha*(Tau+OldTau+zeta-2*a*psi))*((EXP(alpha*a*psi)-EXP(alpha*b*psi))^2))/((EXP(alpha*a*psi)-EXP(alpha*(2*OldTau+b*psi)))*(alpha^2)*(psi^2))</f>
        <v>1.50946836224036</v>
      </c>
      <c r="G22" s="10" t="n">
        <f aca="false">(EXP(alpha*(zeta+(2*b-a)*psi))*(-1+EXP(alpha*(-1)*Size*psi))*(EXP(alpha*(2*(Tau+OldTau)+a*psi))-EXP(alpha*(2*(Tau+OldTau)+b*psi))))/(((EXP(alpha*a*psi)-EXP(alpha*(2*OldTau+b*psi)))^2)*(alpha^2)*(psi^2))</f>
        <v>0.0648447044349714</v>
      </c>
      <c r="H22" s="7" t="n">
        <f aca="false">-Beta/alpha</f>
        <v>180</v>
      </c>
      <c r="I22" s="7" t="n">
        <f aca="false">(-EXP(alpha*zeta)*Beta*(-1+EXP(alpha*Size*psi)-Size*alpha*psi))/((alpha^3)*(psi^2))</f>
        <v>1690.92462806846</v>
      </c>
      <c r="J22" s="7" t="n">
        <f aca="false">Beta*Theta</f>
        <v>14.4</v>
      </c>
      <c r="K22" s="7" t="n">
        <f aca="false">Beta*Theta</f>
        <v>14.4</v>
      </c>
      <c r="L22" s="7" t="n">
        <f aca="false">kappa</f>
        <v>90</v>
      </c>
      <c r="M22" s="7" t="n">
        <f aca="false">Gamma*Size</f>
        <v>0</v>
      </c>
      <c r="N22" s="7" t="n">
        <f aca="false">Size*Beta*Phi</f>
        <v>32.4</v>
      </c>
      <c r="O22" s="7" t="n">
        <f aca="false">-(EXP(alpha*a*psi)+EXP(alpha*b*psi)*(-1+Size*psi*alpha))*(Beta*Phi)/((alpha*psi)*(EXP(alpha*a*psi)-EXP(alpha*b*psi)))</f>
        <v>12.2941718960407</v>
      </c>
      <c r="P22" s="7" t="n">
        <f aca="false">(EXP(alpha*(zeta-a*psi))*Beta*Phi*(-EXP(alpha*a*psi)*(-2+(-1)*Size*alpha*psi)+EXP(alpha*b*psi)*(-2+Size*alpha*psi)))/((alpha^3)*(psi^3))</f>
        <v>78.836375998096</v>
      </c>
      <c r="Q22" s="7" t="n">
        <f aca="false">Tau*Beta</f>
        <v>342</v>
      </c>
      <c r="R22" s="7" t="n">
        <f aca="false">Tau*Beta</f>
        <v>342</v>
      </c>
      <c r="S22" s="11" t="n">
        <f aca="false">Tau</f>
        <v>1.9</v>
      </c>
      <c r="T22" s="7" t="n">
        <f aca="false">Profit+Utility</f>
        <v>2786.06618310157</v>
      </c>
      <c r="U22" s="7" t="n">
        <f aca="false">ij*BUTIJ+BUTII</f>
        <v>1962.62893327172</v>
      </c>
      <c r="V22" s="7" t="n">
        <f aca="false">Revenue-Cost</f>
        <v>823.43724982985</v>
      </c>
      <c r="W22" s="7" t="n">
        <f aca="false">(2*ij*BRIJ)+(2)*jj*BRJJ</f>
        <v>1076.83013760592</v>
      </c>
      <c r="X22" s="9" t="n">
        <f aca="false">2*(ij*BCCIJ)+(2*jj*BCCJJ)+BCS+jj*BCPTJJ+2*(ij*BCPTIJ)+BCPTII+BCk</f>
        <v>253.392887776074</v>
      </c>
    </row>
    <row r="23" customFormat="false" ht="13" hidden="false" customHeight="false" outlineLevel="0" collapsed="false">
      <c r="A23" s="2" t="n">
        <f aca="false">A22+0.1</f>
        <v>2</v>
      </c>
      <c r="B23" s="2" t="n">
        <v>0</v>
      </c>
      <c r="C23" s="2" t="n">
        <v>10</v>
      </c>
      <c r="D23" s="2" t="n">
        <v>0</v>
      </c>
      <c r="E23" s="2" t="n">
        <f aca="false">Size-a</f>
        <v>10</v>
      </c>
      <c r="F23" s="10" t="n">
        <f aca="false">(EXP(alpha*(Tau+OldTau+zeta-2*a*psi))*((EXP(alpha*a*psi)-EXP(alpha*b*psi))^2))/((EXP(alpha*a*psi)-EXP(alpha*(2*OldTau+b*psi)))*(alpha^2)*(psi^2))</f>
        <v>1.36582345549653</v>
      </c>
      <c r="G23" s="10" t="n">
        <f aca="false">(EXP(alpha*(zeta+(2*b-a)*psi))*(-1+EXP(alpha*(-1)*Size*psi))*(EXP(alpha*(2*(Tau+OldTau)+a*psi))-EXP(alpha*(2*(Tau+OldTau)+b*psi))))/(((EXP(alpha*a*psi)-EXP(alpha*(2*OldTau+b*psi)))^2)*(alpha^2)*(psi^2))</f>
        <v>0.0530903536951633</v>
      </c>
      <c r="H23" s="7" t="n">
        <f aca="false">-Beta/alpha</f>
        <v>180</v>
      </c>
      <c r="I23" s="7" t="n">
        <f aca="false">(-EXP(alpha*zeta)*Beta*(-1+EXP(alpha*Size*psi)-Size*alpha*psi))/((alpha^3)*(psi^2))</f>
        <v>1690.92462806846</v>
      </c>
      <c r="J23" s="7" t="n">
        <f aca="false">Beta*Theta</f>
        <v>14.4</v>
      </c>
      <c r="K23" s="7" t="n">
        <f aca="false">Beta*Theta</f>
        <v>14.4</v>
      </c>
      <c r="L23" s="7" t="n">
        <f aca="false">kappa</f>
        <v>90</v>
      </c>
      <c r="M23" s="7" t="n">
        <f aca="false">Gamma*Size</f>
        <v>0</v>
      </c>
      <c r="N23" s="7" t="n">
        <f aca="false">Size*Beta*Phi</f>
        <v>32.4</v>
      </c>
      <c r="O23" s="7" t="n">
        <f aca="false">-(EXP(alpha*a*psi)+EXP(alpha*b*psi)*(-1+Size*psi*alpha))*(Beta*Phi)/((alpha*psi)*(EXP(alpha*a*psi)-EXP(alpha*b*psi)))</f>
        <v>12.2941718960407</v>
      </c>
      <c r="P23" s="7" t="n">
        <f aca="false">(EXP(alpha*(zeta-a*psi))*Beta*Phi*(-EXP(alpha*a*psi)*(-2+(-1)*Size*alpha*psi)+EXP(alpha*b*psi)*(-2+Size*alpha*psi)))/((alpha^3)*(psi^3))</f>
        <v>78.836375998096</v>
      </c>
      <c r="Q23" s="7" t="n">
        <f aca="false">Tau*Beta</f>
        <v>360</v>
      </c>
      <c r="R23" s="7" t="n">
        <f aca="false">Tau*Beta</f>
        <v>360</v>
      </c>
      <c r="S23" s="11" t="n">
        <f aca="false">Tau</f>
        <v>2</v>
      </c>
      <c r="T23" s="7" t="n">
        <f aca="false">Profit+Utility</f>
        <v>2713.38623483028</v>
      </c>
      <c r="U23" s="7" t="n">
        <f aca="false">ij*BUTIJ+BUTII</f>
        <v>1936.77285005783</v>
      </c>
      <c r="V23" s="7" t="n">
        <f aca="false">Revenue-Cost</f>
        <v>776.613384772444</v>
      </c>
      <c r="W23" s="7" t="n">
        <f aca="false">(2*ij*BRIJ)+(2)*jj*BRJJ</f>
        <v>1021.61794261802</v>
      </c>
      <c r="X23" s="9" t="n">
        <f aca="false">2*(ij*BCCIJ)+(2*jj*BCCJJ)+BCS+jj*BCPTJJ+2*(ij*BCPTIJ)+BCPTII+BCk</f>
        <v>245.004557845577</v>
      </c>
    </row>
    <row r="24" customFormat="false" ht="13" hidden="false" customHeight="false" outlineLevel="0" collapsed="false">
      <c r="A24" s="2" t="n">
        <f aca="false">A23+0.1</f>
        <v>2.1</v>
      </c>
      <c r="B24" s="2" t="n">
        <v>0</v>
      </c>
      <c r="C24" s="2" t="n">
        <v>10</v>
      </c>
      <c r="D24" s="2" t="n">
        <v>0</v>
      </c>
      <c r="E24" s="2" t="n">
        <f aca="false">Size-a</f>
        <v>10</v>
      </c>
      <c r="F24" s="10" t="n">
        <f aca="false">(EXP(alpha*(Tau+OldTau+zeta-2*a*psi))*((EXP(alpha*a*psi)-EXP(alpha*b*psi))^2))/((EXP(alpha*a*psi)-EXP(alpha*(2*OldTau+b*psi)))*(alpha^2)*(psi^2))</f>
        <v>1.23584816896444</v>
      </c>
      <c r="G24" s="10" t="n">
        <f aca="false">(EXP(alpha*(zeta+(2*b-a)*psi))*(-1+EXP(alpha*(-1)*Size*psi))*(EXP(alpha*(2*(Tau+OldTau)+a*psi))-EXP(alpha*(2*(Tau+OldTau)+b*psi))))/(((EXP(alpha*a*psi)-EXP(alpha*(2*OldTau+b*psi)))^2)*(alpha^2)*(psi^2))</f>
        <v>0.0434667052620175</v>
      </c>
      <c r="H24" s="7" t="n">
        <f aca="false">-Beta/alpha</f>
        <v>180</v>
      </c>
      <c r="I24" s="7" t="n">
        <f aca="false">(-EXP(alpha*zeta)*Beta*(-1+EXP(alpha*Size*psi)-Size*alpha*psi))/((alpha^3)*(psi^2))</f>
        <v>1690.92462806846</v>
      </c>
      <c r="J24" s="7" t="n">
        <f aca="false">Beta*Theta</f>
        <v>14.4</v>
      </c>
      <c r="K24" s="7" t="n">
        <f aca="false">Beta*Theta</f>
        <v>14.4</v>
      </c>
      <c r="L24" s="7" t="n">
        <f aca="false">kappa</f>
        <v>90</v>
      </c>
      <c r="M24" s="7" t="n">
        <f aca="false">Gamma*Size</f>
        <v>0</v>
      </c>
      <c r="N24" s="7" t="n">
        <f aca="false">Size*Beta*Phi</f>
        <v>32.4</v>
      </c>
      <c r="O24" s="7" t="n">
        <f aca="false">-(EXP(alpha*a*psi)+EXP(alpha*b*psi)*(-1+Size*psi*alpha))*(Beta*Phi)/((alpha*psi)*(EXP(alpha*a*psi)-EXP(alpha*b*psi)))</f>
        <v>12.2941718960407</v>
      </c>
      <c r="P24" s="7" t="n">
        <f aca="false">(EXP(alpha*(zeta-a*psi))*Beta*Phi*(-EXP(alpha*a*psi)*(-2+(-1)*Size*alpha*psi)+EXP(alpha*b*psi)*(-2+Size*alpha*psi)))/((alpha^3)*(psi^3))</f>
        <v>78.836375998096</v>
      </c>
      <c r="Q24" s="7" t="n">
        <f aca="false">Tau*Beta</f>
        <v>378</v>
      </c>
      <c r="R24" s="7" t="n">
        <f aca="false">Tau*Beta</f>
        <v>378</v>
      </c>
      <c r="S24" s="11" t="n">
        <f aca="false">Tau</f>
        <v>2.1</v>
      </c>
      <c r="T24" s="7" t="n">
        <f aca="false">Profit+Utility</f>
        <v>2643.06291811764</v>
      </c>
      <c r="U24" s="7" t="n">
        <f aca="false">ij*BUTIJ+BUTII</f>
        <v>1913.37729848206</v>
      </c>
      <c r="V24" s="7" t="n">
        <f aca="false">Revenue-Cost</f>
        <v>729.685619635579</v>
      </c>
      <c r="W24" s="7" t="n">
        <f aca="false">(2*ij*BRIJ)+(2)*jj*BRJJ</f>
        <v>967.162044915198</v>
      </c>
      <c r="X24" s="9" t="n">
        <f aca="false">2*(ij*BCCIJ)+(2*jj*BCCJJ)+BCS+jj*BCPTJJ+2*(ij*BCPTIJ)+BCPTII+BCk</f>
        <v>237.476425279619</v>
      </c>
    </row>
    <row r="25" customFormat="false" ht="13" hidden="false" customHeight="false" outlineLevel="0" collapsed="false">
      <c r="A25" s="2" t="n">
        <f aca="false">A24+0.1</f>
        <v>2.2</v>
      </c>
      <c r="B25" s="2" t="n">
        <v>0</v>
      </c>
      <c r="C25" s="2" t="n">
        <v>10</v>
      </c>
      <c r="D25" s="2" t="n">
        <v>0</v>
      </c>
      <c r="E25" s="2" t="n">
        <f aca="false">Size-a</f>
        <v>10</v>
      </c>
      <c r="F25" s="10" t="n">
        <f aca="false">(EXP(alpha*(Tau+OldTau+zeta-2*a*psi))*((EXP(alpha*a*psi)-EXP(alpha*b*psi))^2))/((EXP(alpha*a*psi)-EXP(alpha*(2*OldTau+b*psi)))*(alpha^2)*(psi^2))</f>
        <v>1.11824166629025</v>
      </c>
      <c r="G25" s="10" t="n">
        <f aca="false">(EXP(alpha*(zeta+(2*b-a)*psi))*(-1+EXP(alpha*(-1)*Size*psi))*(EXP(alpha*(2*(Tau+OldTau)+a*psi))-EXP(alpha*(2*(Tau+OldTau)+b*psi))))/(((EXP(alpha*a*psi)-EXP(alpha*(2*OldTau+b*psi)))^2)*(alpha^2)*(psi^2))</f>
        <v>0.0355875283329902</v>
      </c>
      <c r="H25" s="7" t="n">
        <f aca="false">-Beta/alpha</f>
        <v>180</v>
      </c>
      <c r="I25" s="7" t="n">
        <f aca="false">(-EXP(alpha*zeta)*Beta*(-1+EXP(alpha*Size*psi)-Size*alpha*psi))/((alpha^3)*(psi^2))</f>
        <v>1690.92462806846</v>
      </c>
      <c r="J25" s="7" t="n">
        <f aca="false">Beta*Theta</f>
        <v>14.4</v>
      </c>
      <c r="K25" s="7" t="n">
        <f aca="false">Beta*Theta</f>
        <v>14.4</v>
      </c>
      <c r="L25" s="7" t="n">
        <f aca="false">kappa</f>
        <v>90</v>
      </c>
      <c r="M25" s="7" t="n">
        <f aca="false">Gamma*Size</f>
        <v>0</v>
      </c>
      <c r="N25" s="7" t="n">
        <f aca="false">Size*Beta*Phi</f>
        <v>32.4</v>
      </c>
      <c r="O25" s="7" t="n">
        <f aca="false">-(EXP(alpha*a*psi)+EXP(alpha*b*psi)*(-1+Size*psi*alpha))*(Beta*Phi)/((alpha*psi)*(EXP(alpha*a*psi)-EXP(alpha*b*psi)))</f>
        <v>12.2941718960407</v>
      </c>
      <c r="P25" s="7" t="n">
        <f aca="false">(EXP(alpha*(zeta-a*psi))*Beta*Phi*(-EXP(alpha*a*psi)*(-2+(-1)*Size*alpha*psi)+EXP(alpha*b*psi)*(-2+Size*alpha*psi)))/((alpha^3)*(psi^3))</f>
        <v>78.836375998096</v>
      </c>
      <c r="Q25" s="7" t="n">
        <f aca="false">Tau*Beta</f>
        <v>396</v>
      </c>
      <c r="R25" s="7" t="n">
        <f aca="false">Tau*Beta</f>
        <v>396</v>
      </c>
      <c r="S25" s="11" t="n">
        <f aca="false">Tau</f>
        <v>2.2</v>
      </c>
      <c r="T25" s="7" t="n">
        <f aca="false">Profit+Utility</f>
        <v>2575.3254468877</v>
      </c>
      <c r="U25" s="7" t="n">
        <f aca="false">ij*BUTIJ+BUTII</f>
        <v>1892.2081280007</v>
      </c>
      <c r="V25" s="7" t="n">
        <f aca="false">Revenue-Cost</f>
        <v>683.117318886996</v>
      </c>
      <c r="W25" s="7" t="n">
        <f aca="false">(2*ij*BRIJ)+(2)*jj*BRJJ</f>
        <v>913.832722141605</v>
      </c>
      <c r="X25" s="9" t="n">
        <f aca="false">2*(ij*BCCIJ)+(2*jj*BCCJJ)+BCS+jj*BCPTJJ+2*(ij*BCPTIJ)+BCPTII+BCk</f>
        <v>230.715403254609</v>
      </c>
    </row>
    <row r="26" customFormat="false" ht="13" hidden="false" customHeight="false" outlineLevel="0" collapsed="false">
      <c r="A26" s="2" t="n">
        <f aca="false">A25+0.1</f>
        <v>2.3</v>
      </c>
      <c r="B26" s="2" t="n">
        <v>0</v>
      </c>
      <c r="C26" s="2" t="n">
        <v>10</v>
      </c>
      <c r="D26" s="2" t="n">
        <v>0</v>
      </c>
      <c r="E26" s="2" t="n">
        <f aca="false">Size-a</f>
        <v>10</v>
      </c>
      <c r="F26" s="10" t="n">
        <f aca="false">(EXP(alpha*(Tau+OldTau+zeta-2*a*psi))*((EXP(alpha*a*psi)-EXP(alpha*b*psi))^2))/((EXP(alpha*a*psi)-EXP(alpha*(2*OldTau+b*psi)))*(alpha^2)*(psi^2))</f>
        <v>1.0118269020663</v>
      </c>
      <c r="G26" s="10" t="n">
        <f aca="false">(EXP(alpha*(zeta+(2*b-a)*psi))*(-1+EXP(alpha*(-1)*Size*psi))*(EXP(alpha*(2*(Tau+OldTau)+a*psi))-EXP(alpha*(2*(Tau+OldTau)+b*psi))))/(((EXP(alpha*a*psi)-EXP(alpha*(2*OldTau+b*psi)))^2)*(alpha^2)*(psi^2))</f>
        <v>0.0291366038722531</v>
      </c>
      <c r="H26" s="7" t="n">
        <f aca="false">-Beta/alpha</f>
        <v>180</v>
      </c>
      <c r="I26" s="7" t="n">
        <f aca="false">(-EXP(alpha*zeta)*Beta*(-1+EXP(alpha*Size*psi)-Size*alpha*psi))/((alpha^3)*(psi^2))</f>
        <v>1690.92462806846</v>
      </c>
      <c r="J26" s="7" t="n">
        <f aca="false">Beta*Theta</f>
        <v>14.4</v>
      </c>
      <c r="K26" s="7" t="n">
        <f aca="false">Beta*Theta</f>
        <v>14.4</v>
      </c>
      <c r="L26" s="7" t="n">
        <f aca="false">kappa</f>
        <v>90</v>
      </c>
      <c r="M26" s="7" t="n">
        <f aca="false">Gamma*Size</f>
        <v>0</v>
      </c>
      <c r="N26" s="7" t="n">
        <f aca="false">Size*Beta*Phi</f>
        <v>32.4</v>
      </c>
      <c r="O26" s="7" t="n">
        <f aca="false">-(EXP(alpha*a*psi)+EXP(alpha*b*psi)*(-1+Size*psi*alpha))*(Beta*Phi)/((alpha*psi)*(EXP(alpha*a*psi)-EXP(alpha*b*psi)))</f>
        <v>12.2941718960407</v>
      </c>
      <c r="P26" s="7" t="n">
        <f aca="false">(EXP(alpha*(zeta-a*psi))*Beta*Phi*(-EXP(alpha*a*psi)*(-2+(-1)*Size*alpha*psi)+EXP(alpha*b*psi)*(-2+Size*alpha*psi)))/((alpha^3)*(psi^3))</f>
        <v>78.836375998096</v>
      </c>
      <c r="Q26" s="7" t="n">
        <f aca="false">Tau*Beta</f>
        <v>414</v>
      </c>
      <c r="R26" s="7" t="n">
        <f aca="false">Tau*Beta</f>
        <v>414</v>
      </c>
      <c r="S26" s="11" t="n">
        <f aca="false">Tau</f>
        <v>2.3</v>
      </c>
      <c r="T26" s="7" t="n">
        <f aca="false">Profit+Utility</f>
        <v>2510.33195469684</v>
      </c>
      <c r="U26" s="7" t="n">
        <f aca="false">ij*BUTIJ+BUTII</f>
        <v>1873.05347044039</v>
      </c>
      <c r="V26" s="7" t="n">
        <f aca="false">Revenue-Cost</f>
        <v>637.27848425645</v>
      </c>
      <c r="W26" s="7" t="n">
        <f aca="false">(2*ij*BRIJ)+(2)*jj*BRJJ</f>
        <v>861.917782917119</v>
      </c>
      <c r="X26" s="9" t="n">
        <f aca="false">2*(ij*BCCIJ)+(2*jj*BCCJJ)+BCS+jj*BCPTJJ+2*(ij*BCPTIJ)+BCPTII+BCk</f>
        <v>224.63929866067</v>
      </c>
    </row>
    <row r="27" customFormat="false" ht="13" hidden="false" customHeight="false" outlineLevel="0" collapsed="false">
      <c r="A27" s="2" t="n">
        <f aca="false">A26+0.1</f>
        <v>2.4</v>
      </c>
      <c r="B27" s="2" t="n">
        <v>0</v>
      </c>
      <c r="C27" s="2" t="n">
        <v>10</v>
      </c>
      <c r="D27" s="2" t="n">
        <v>0</v>
      </c>
      <c r="E27" s="2" t="n">
        <f aca="false">Size-a</f>
        <v>10</v>
      </c>
      <c r="F27" s="10" t="n">
        <f aca="false">(EXP(alpha*(Tau+OldTau+zeta-2*a*psi))*((EXP(alpha*a*psi)-EXP(alpha*b*psi))^2))/((EXP(alpha*a*psi)-EXP(alpha*(2*OldTau+b*psi)))*(alpha^2)*(psi^2))</f>
        <v>0.915538841564992</v>
      </c>
      <c r="G27" s="10" t="n">
        <f aca="false">(EXP(alpha*(zeta+(2*b-a)*psi))*(-1+EXP(alpha*(-1)*Size*psi))*(EXP(alpha*(2*(Tau+OldTau)+a*psi))-EXP(alpha*(2*(Tau+OldTau)+b*psi))))/(((EXP(alpha*a*psi)-EXP(alpha*(2*OldTau+b*psi)))^2)*(alpha^2)*(psi^2))</f>
        <v>0.0238550336304646</v>
      </c>
      <c r="H27" s="7" t="n">
        <f aca="false">-Beta/alpha</f>
        <v>180</v>
      </c>
      <c r="I27" s="7" t="n">
        <f aca="false">(-EXP(alpha*zeta)*Beta*(-1+EXP(alpha*Size*psi)-Size*alpha*psi))/((alpha^3)*(psi^2))</f>
        <v>1690.92462806846</v>
      </c>
      <c r="J27" s="7" t="n">
        <f aca="false">Beta*Theta</f>
        <v>14.4</v>
      </c>
      <c r="K27" s="7" t="n">
        <f aca="false">Beta*Theta</f>
        <v>14.4</v>
      </c>
      <c r="L27" s="7" t="n">
        <f aca="false">kappa</f>
        <v>90</v>
      </c>
      <c r="M27" s="7" t="n">
        <f aca="false">Gamma*Size</f>
        <v>0</v>
      </c>
      <c r="N27" s="7" t="n">
        <f aca="false">Size*Beta*Phi</f>
        <v>32.4</v>
      </c>
      <c r="O27" s="7" t="n">
        <f aca="false">-(EXP(alpha*a*psi)+EXP(alpha*b*psi)*(-1+Size*psi*alpha))*(Beta*Phi)/((alpha*psi)*(EXP(alpha*a*psi)-EXP(alpha*b*psi)))</f>
        <v>12.2941718960407</v>
      </c>
      <c r="P27" s="7" t="n">
        <f aca="false">(EXP(alpha*(zeta-a*psi))*Beta*Phi*(-EXP(alpha*a*psi)*(-2+(-1)*Size*alpha*psi)+EXP(alpha*b*psi)*(-2+Size*alpha*psi)))/((alpha^3)*(psi^3))</f>
        <v>78.836375998096</v>
      </c>
      <c r="Q27" s="7" t="n">
        <f aca="false">Tau*Beta</f>
        <v>432</v>
      </c>
      <c r="R27" s="7" t="n">
        <f aca="false">Tau*Beta</f>
        <v>432</v>
      </c>
      <c r="S27" s="11" t="n">
        <f aca="false">Tau</f>
        <v>2.4</v>
      </c>
      <c r="T27" s="7" t="n">
        <f aca="false">Profit+Utility</f>
        <v>2448.18252123427</v>
      </c>
      <c r="U27" s="7" t="n">
        <f aca="false">ij*BUTIJ+BUTII</f>
        <v>1855.72161955016</v>
      </c>
      <c r="V27" s="7" t="n">
        <f aca="false">Revenue-Cost</f>
        <v>592.460901684118</v>
      </c>
      <c r="W27" s="7" t="n">
        <f aca="false">(2*ij*BRIJ)+(2)*jj*BRJJ</f>
        <v>811.636308168875</v>
      </c>
      <c r="X27" s="9" t="n">
        <f aca="false">2*(ij*BCCIJ)+(2*jj*BCCJJ)+BCS+jj*BCPTJJ+2*(ij*BCPTIJ)+BCPTII+BCk</f>
        <v>219.175406484756</v>
      </c>
    </row>
    <row r="28" customFormat="false" ht="13" hidden="false" customHeight="false" outlineLevel="0" collapsed="false">
      <c r="A28" s="2" t="n">
        <f aca="false">A27+0.1</f>
        <v>2.5</v>
      </c>
      <c r="B28" s="2" t="n">
        <v>0</v>
      </c>
      <c r="C28" s="2" t="n">
        <v>10</v>
      </c>
      <c r="D28" s="2" t="n">
        <v>0</v>
      </c>
      <c r="E28" s="2" t="n">
        <f aca="false">Size-a</f>
        <v>10</v>
      </c>
      <c r="F28" s="10" t="n">
        <f aca="false">(EXP(alpha*(Tau+OldTau+zeta-2*a*psi))*((EXP(alpha*a*psi)-EXP(alpha*b*psi))^2))/((EXP(alpha*a*psi)-EXP(alpha*(2*OldTau+b*psi)))*(alpha^2)*(psi^2))</f>
        <v>0.8284138015133</v>
      </c>
      <c r="G28" s="10" t="n">
        <f aca="false">(EXP(alpha*(zeta+(2*b-a)*psi))*(-1+EXP(alpha*(-1)*Size*psi))*(EXP(alpha*(2*(Tau+OldTau)+a*psi))-EXP(alpha*(2*(Tau+OldTau)+b*psi))))/(((EXP(alpha*a*psi)-EXP(alpha*(2*OldTau+b*psi)))^2)*(alpha^2)*(psi^2))</f>
        <v>0.0195308496489709</v>
      </c>
      <c r="H28" s="7" t="n">
        <f aca="false">-Beta/alpha</f>
        <v>180</v>
      </c>
      <c r="I28" s="7" t="n">
        <f aca="false">(-EXP(alpha*zeta)*Beta*(-1+EXP(alpha*Size*psi)-Size*alpha*psi))/((alpha^3)*(psi^2))</f>
        <v>1690.92462806846</v>
      </c>
      <c r="J28" s="7" t="n">
        <f aca="false">Beta*Theta</f>
        <v>14.4</v>
      </c>
      <c r="K28" s="7" t="n">
        <f aca="false">Beta*Theta</f>
        <v>14.4</v>
      </c>
      <c r="L28" s="7" t="n">
        <f aca="false">kappa</f>
        <v>90</v>
      </c>
      <c r="M28" s="7" t="n">
        <f aca="false">Gamma*Size</f>
        <v>0</v>
      </c>
      <c r="N28" s="7" t="n">
        <f aca="false">Size*Beta*Phi</f>
        <v>32.4</v>
      </c>
      <c r="O28" s="7" t="n">
        <f aca="false">-(EXP(alpha*a*psi)+EXP(alpha*b*psi)*(-1+Size*psi*alpha))*(Beta*Phi)/((alpha*psi)*(EXP(alpha*a*psi)-EXP(alpha*b*psi)))</f>
        <v>12.2941718960407</v>
      </c>
      <c r="P28" s="7" t="n">
        <f aca="false">(EXP(alpha*(zeta-a*psi))*Beta*Phi*(-EXP(alpha*a*psi)*(-2+(-1)*Size*alpha*psi)+EXP(alpha*b*psi)*(-2+Size*alpha*psi)))/((alpha^3)*(psi^3))</f>
        <v>78.836375998096</v>
      </c>
      <c r="Q28" s="7" t="n">
        <f aca="false">Tau*Beta</f>
        <v>450</v>
      </c>
      <c r="R28" s="7" t="n">
        <f aca="false">Tau*Beta</f>
        <v>450</v>
      </c>
      <c r="S28" s="11" t="n">
        <f aca="false">Tau</f>
        <v>2.5</v>
      </c>
      <c r="T28" s="7" t="n">
        <f aca="false">Profit+Utility</f>
        <v>2388.92999355299</v>
      </c>
      <c r="U28" s="7" t="n">
        <f aca="false">ij*BUTIJ+BUTII</f>
        <v>1840.03911234085</v>
      </c>
      <c r="V28" s="7" t="n">
        <f aca="false">Revenue-Cost</f>
        <v>548.890881212134</v>
      </c>
      <c r="W28" s="7" t="n">
        <f aca="false">(2*ij*BRIJ)+(2)*jj*BRJJ</f>
        <v>763.150186046044</v>
      </c>
      <c r="X28" s="9" t="n">
        <f aca="false">2*(ij*BCCIJ)+(2*jj*BCCJJ)+BCS+jj*BCPTJJ+2*(ij*BCPTIJ)+BCPTII+BCk</f>
        <v>214.25930483391</v>
      </c>
    </row>
    <row r="29" customFormat="false" ht="13" hidden="false" customHeight="false" outlineLevel="0" collapsed="false">
      <c r="A29" s="2" t="n">
        <f aca="false">A28+0.1</f>
        <v>2.6</v>
      </c>
      <c r="B29" s="2" t="n">
        <v>0</v>
      </c>
      <c r="C29" s="2" t="n">
        <v>10</v>
      </c>
      <c r="D29" s="2" t="n">
        <v>0</v>
      </c>
      <c r="E29" s="2" t="n">
        <f aca="false">Size-a</f>
        <v>10</v>
      </c>
      <c r="F29" s="10" t="n">
        <f aca="false">(EXP(alpha*(Tau+OldTau+zeta-2*a*psi))*((EXP(alpha*a*psi)-EXP(alpha*b*psi))^2))/((EXP(alpha*a*psi)-EXP(alpha*(2*OldTau+b*psi)))*(alpha^2)*(psi^2))</f>
        <v>0.749579805226648</v>
      </c>
      <c r="G29" s="10" t="n">
        <f aca="false">(EXP(alpha*(zeta+(2*b-a)*psi))*(-1+EXP(alpha*(-1)*Size*psi))*(EXP(alpha*(2*(Tau+OldTau)+a*psi))-EXP(alpha*(2*(Tau+OldTau)+b*psi))))/(((EXP(alpha*a*psi)-EXP(alpha*(2*OldTau+b*psi)))^2)*(alpha^2)*(psi^2))</f>
        <v>0.0159905072413548</v>
      </c>
      <c r="H29" s="7" t="n">
        <f aca="false">-Beta/alpha</f>
        <v>180</v>
      </c>
      <c r="I29" s="7" t="n">
        <f aca="false">(-EXP(alpha*zeta)*Beta*(-1+EXP(alpha*Size*psi)-Size*alpha*psi))/((alpha^3)*(psi^2))</f>
        <v>1690.92462806846</v>
      </c>
      <c r="J29" s="7" t="n">
        <f aca="false">Beta*Theta</f>
        <v>14.4</v>
      </c>
      <c r="K29" s="7" t="n">
        <f aca="false">Beta*Theta</f>
        <v>14.4</v>
      </c>
      <c r="L29" s="7" t="n">
        <f aca="false">kappa</f>
        <v>90</v>
      </c>
      <c r="M29" s="7" t="n">
        <f aca="false">Gamma*Size</f>
        <v>0</v>
      </c>
      <c r="N29" s="7" t="n">
        <f aca="false">Size*Beta*Phi</f>
        <v>32.4</v>
      </c>
      <c r="O29" s="7" t="n">
        <f aca="false">-(EXP(alpha*a*psi)+EXP(alpha*b*psi)*(-1+Size*psi*alpha))*(Beta*Phi)/((alpha*psi)*(EXP(alpha*a*psi)-EXP(alpha*b*psi)))</f>
        <v>12.2941718960407</v>
      </c>
      <c r="P29" s="7" t="n">
        <f aca="false">(EXP(alpha*(zeta-a*psi))*Beta*Phi*(-EXP(alpha*a*psi)*(-2+(-1)*Size*alpha*psi)+EXP(alpha*b*psi)*(-2+Size*alpha*psi)))/((alpha^3)*(psi^3))</f>
        <v>78.836375998096</v>
      </c>
      <c r="Q29" s="7" t="n">
        <f aca="false">Tau*Beta</f>
        <v>468</v>
      </c>
      <c r="R29" s="7" t="n">
        <f aca="false">Tau*Beta</f>
        <v>468</v>
      </c>
      <c r="S29" s="11" t="n">
        <f aca="false">Tau</f>
        <v>2.6</v>
      </c>
      <c r="T29" s="7" t="n">
        <f aca="false">Profit+Utility</f>
        <v>2332.588986097</v>
      </c>
      <c r="U29" s="7" t="n">
        <f aca="false">ij*BUTIJ+BUTII</f>
        <v>1825.84899300925</v>
      </c>
      <c r="V29" s="7" t="n">
        <f aca="false">Revenue-Cost</f>
        <v>506.739993087743</v>
      </c>
      <c r="W29" s="7" t="n">
        <f aca="false">(2*ij*BRIJ)+(2)*jj*BRJJ</f>
        <v>716.573812470051</v>
      </c>
      <c r="X29" s="9" t="n">
        <f aca="false">2*(ij*BCCIJ)+(2*jj*BCCJJ)+BCS+jj*BCPTJJ+2*(ij*BCPTIJ)+BCPTII+BCk</f>
        <v>209.833819382309</v>
      </c>
    </row>
    <row r="30" customFormat="false" ht="13" hidden="false" customHeight="false" outlineLevel="0" collapsed="false">
      <c r="A30" s="2" t="n">
        <f aca="false">A29+0.1</f>
        <v>2.7</v>
      </c>
      <c r="B30" s="2" t="n">
        <v>0</v>
      </c>
      <c r="C30" s="2" t="n">
        <v>10</v>
      </c>
      <c r="D30" s="2" t="n">
        <v>0</v>
      </c>
      <c r="E30" s="2" t="n">
        <f aca="false">Size-a</f>
        <v>10</v>
      </c>
      <c r="F30" s="10" t="n">
        <f aca="false">(EXP(alpha*(Tau+OldTau+zeta-2*a*psi))*((EXP(alpha*a*psi)-EXP(alpha*b*psi))^2))/((EXP(alpha*a*psi)-EXP(alpha*(2*OldTau+b*psi)))*(alpha^2)*(psi^2))</f>
        <v>0.678247855573178</v>
      </c>
      <c r="G30" s="10" t="n">
        <f aca="false">(EXP(alpha*(zeta+(2*b-a)*psi))*(-1+EXP(alpha*(-1)*Size*psi))*(EXP(alpha*(2*(Tau+OldTau)+a*psi))-EXP(alpha*(2*(Tau+OldTau)+b*psi))))/(((EXP(alpha*a*psi)-EXP(alpha*(2*OldTau+b*psi)))^2)*(alpha^2)*(psi^2))</f>
        <v>0.0130919200358133</v>
      </c>
      <c r="H30" s="7" t="n">
        <f aca="false">-Beta/alpha</f>
        <v>180</v>
      </c>
      <c r="I30" s="7" t="n">
        <f aca="false">(-EXP(alpha*zeta)*Beta*(-1+EXP(alpha*Size*psi)-Size*alpha*psi))/((alpha^3)*(psi^2))</f>
        <v>1690.92462806846</v>
      </c>
      <c r="J30" s="7" t="n">
        <f aca="false">Beta*Theta</f>
        <v>14.4</v>
      </c>
      <c r="K30" s="7" t="n">
        <f aca="false">Beta*Theta</f>
        <v>14.4</v>
      </c>
      <c r="L30" s="7" t="n">
        <f aca="false">kappa</f>
        <v>90</v>
      </c>
      <c r="M30" s="7" t="n">
        <f aca="false">Gamma*Size</f>
        <v>0</v>
      </c>
      <c r="N30" s="7" t="n">
        <f aca="false">Size*Beta*Phi</f>
        <v>32.4</v>
      </c>
      <c r="O30" s="7" t="n">
        <f aca="false">-(EXP(alpha*a*psi)+EXP(alpha*b*psi)*(-1+Size*psi*alpha))*(Beta*Phi)/((alpha*psi)*(EXP(alpha*a*psi)-EXP(alpha*b*psi)))</f>
        <v>12.2941718960407</v>
      </c>
      <c r="P30" s="7" t="n">
        <f aca="false">(EXP(alpha*(zeta-a*psi))*Beta*Phi*(-EXP(alpha*a*psi)*(-2+(-1)*Size*alpha*psi)+EXP(alpha*b*psi)*(-2+Size*alpha*psi)))/((alpha^3)*(psi^3))</f>
        <v>78.836375998096</v>
      </c>
      <c r="Q30" s="7" t="n">
        <f aca="false">Tau*Beta</f>
        <v>486</v>
      </c>
      <c r="R30" s="7" t="n">
        <f aca="false">Tau*Beta</f>
        <v>486</v>
      </c>
      <c r="S30" s="11" t="n">
        <f aca="false">Tau</f>
        <v>2.7</v>
      </c>
      <c r="T30" s="7" t="n">
        <f aca="false">Profit+Utility</f>
        <v>2279.1433727697</v>
      </c>
      <c r="U30" s="7" t="n">
        <f aca="false">ij*BUTIJ+BUTII</f>
        <v>1813.00924207163</v>
      </c>
      <c r="V30" s="7" t="n">
        <f aca="false">Revenue-Cost</f>
        <v>466.134130698069</v>
      </c>
      <c r="W30" s="7" t="n">
        <f aca="false">(2*ij*BRIJ)+(2)*jj*BRJJ</f>
        <v>671.98226189194</v>
      </c>
      <c r="X30" s="9" t="n">
        <f aca="false">2*(ij*BCCIJ)+(2*jj*BCCJJ)+BCS+jj*BCPTJJ+2*(ij*BCPTIJ)+BCPTII+BCk</f>
        <v>205.84813119387</v>
      </c>
    </row>
    <row r="31" customFormat="false" ht="13" hidden="false" customHeight="false" outlineLevel="0" collapsed="false">
      <c r="A31" s="2" t="n">
        <f aca="false">A30+0.1</f>
        <v>2.8</v>
      </c>
      <c r="B31" s="2" t="n">
        <v>0</v>
      </c>
      <c r="C31" s="2" t="n">
        <v>10</v>
      </c>
      <c r="D31" s="2" t="n">
        <v>0</v>
      </c>
      <c r="E31" s="2" t="n">
        <f aca="false">Size-a</f>
        <v>10</v>
      </c>
      <c r="F31" s="10" t="n">
        <f aca="false">(EXP(alpha*(Tau+OldTau+zeta-2*a*psi))*((EXP(alpha*a*psi)-EXP(alpha*b*psi))^2))/((EXP(alpha*a*psi)-EXP(alpha*(2*OldTau+b*psi)))*(alpha^2)*(psi^2))</f>
        <v>0.613704038425261</v>
      </c>
      <c r="G31" s="10" t="n">
        <f aca="false">(EXP(alpha*(zeta+(2*b-a)*psi))*(-1+EXP(alpha*(-1)*Size*psi))*(EXP(alpha*(2*(Tau+OldTau)+a*psi))-EXP(alpha*(2*(Tau+OldTau)+b*psi))))/(((EXP(alpha*a*psi)-EXP(alpha*(2*OldTau+b*psi)))^2)*(alpha^2)*(psi^2))</f>
        <v>0.0107187575501581</v>
      </c>
      <c r="H31" s="7" t="n">
        <f aca="false">-Beta/alpha</f>
        <v>180</v>
      </c>
      <c r="I31" s="7" t="n">
        <f aca="false">(-EXP(alpha*zeta)*Beta*(-1+EXP(alpha*Size*psi)-Size*alpha*psi))/((alpha^3)*(psi^2))</f>
        <v>1690.92462806846</v>
      </c>
      <c r="J31" s="7" t="n">
        <f aca="false">Beta*Theta</f>
        <v>14.4</v>
      </c>
      <c r="K31" s="7" t="n">
        <f aca="false">Beta*Theta</f>
        <v>14.4</v>
      </c>
      <c r="L31" s="7" t="n">
        <f aca="false">kappa</f>
        <v>90</v>
      </c>
      <c r="M31" s="7" t="n">
        <f aca="false">Gamma*Size</f>
        <v>0</v>
      </c>
      <c r="N31" s="7" t="n">
        <f aca="false">Size*Beta*Phi</f>
        <v>32.4</v>
      </c>
      <c r="O31" s="7" t="n">
        <f aca="false">-(EXP(alpha*a*psi)+EXP(alpha*b*psi)*(-1+Size*psi*alpha))*(Beta*Phi)/((alpha*psi)*(EXP(alpha*a*psi)-EXP(alpha*b*psi)))</f>
        <v>12.2941718960407</v>
      </c>
      <c r="P31" s="7" t="n">
        <f aca="false">(EXP(alpha*(zeta-a*psi))*Beta*Phi*(-EXP(alpha*a*psi)*(-2+(-1)*Size*alpha*psi)+EXP(alpha*b*psi)*(-2+Size*alpha*psi)))/((alpha^3)*(psi^3))</f>
        <v>78.836375998096</v>
      </c>
      <c r="Q31" s="7" t="n">
        <f aca="false">Tau*Beta</f>
        <v>504</v>
      </c>
      <c r="R31" s="7" t="n">
        <f aca="false">Tau*Beta</f>
        <v>504</v>
      </c>
      <c r="S31" s="11" t="n">
        <f aca="false">Tau</f>
        <v>2.8</v>
      </c>
      <c r="T31" s="7" t="n">
        <f aca="false">Profit+Utility</f>
        <v>2228.55252717803</v>
      </c>
      <c r="U31" s="7" t="n">
        <f aca="false">ij*BUTIJ+BUTII</f>
        <v>1801.39135498501</v>
      </c>
      <c r="V31" s="7" t="n">
        <f aca="false">Revenue-Cost</f>
        <v>427.161172193021</v>
      </c>
      <c r="W31" s="7" t="n">
        <f aca="false">(2*ij*BRIJ)+(2)*jj*BRJJ</f>
        <v>629.418178343223</v>
      </c>
      <c r="X31" s="9" t="n">
        <f aca="false">2*(ij*BCCIJ)+(2*jj*BCCJJ)+BCS+jj*BCPTJJ+2*(ij*BCPTIJ)+BCPTII+BCk</f>
        <v>202.257006150202</v>
      </c>
    </row>
    <row r="32" customFormat="false" ht="13" hidden="false" customHeight="false" outlineLevel="0" collapsed="false">
      <c r="A32" s="2" t="n">
        <f aca="false">A31+0.1</f>
        <v>2.9</v>
      </c>
      <c r="B32" s="2" t="n">
        <v>0</v>
      </c>
      <c r="C32" s="2" t="n">
        <v>10</v>
      </c>
      <c r="D32" s="2" t="n">
        <v>0</v>
      </c>
      <c r="E32" s="2" t="n">
        <f aca="false">Size-a</f>
        <v>10</v>
      </c>
      <c r="F32" s="10" t="n">
        <f aca="false">(EXP(alpha*(Tau+OldTau+zeta-2*a*psi))*((EXP(alpha*a*psi)-EXP(alpha*b*psi))^2))/((EXP(alpha*a*psi)-EXP(alpha*(2*OldTau+b*psi)))*(alpha^2)*(psi^2))</f>
        <v>0.555302377566955</v>
      </c>
      <c r="G32" s="10" t="n">
        <f aca="false">(EXP(alpha*(zeta+(2*b-a)*psi))*(-1+EXP(alpha*(-1)*Size*psi))*(EXP(alpha*(2*(Tau+OldTau)+a*psi))-EXP(alpha*(2*(Tau+OldTau)+b*psi))))/(((EXP(alpha*a*psi)-EXP(alpha*(2*OldTau+b*psi)))^2)*(alpha^2)*(psi^2))</f>
        <v>0.00877577644110127</v>
      </c>
      <c r="H32" s="7" t="n">
        <f aca="false">-Beta/alpha</f>
        <v>180</v>
      </c>
      <c r="I32" s="7" t="n">
        <f aca="false">(-EXP(alpha*zeta)*Beta*(-1+EXP(alpha*Size*psi)-Size*alpha*psi))/((alpha^3)*(psi^2))</f>
        <v>1690.92462806846</v>
      </c>
      <c r="J32" s="7" t="n">
        <f aca="false">Beta*Theta</f>
        <v>14.4</v>
      </c>
      <c r="K32" s="7" t="n">
        <f aca="false">Beta*Theta</f>
        <v>14.4</v>
      </c>
      <c r="L32" s="7" t="n">
        <f aca="false">kappa</f>
        <v>90</v>
      </c>
      <c r="M32" s="7" t="n">
        <f aca="false">Gamma*Size</f>
        <v>0</v>
      </c>
      <c r="N32" s="7" t="n">
        <f aca="false">Size*Beta*Phi</f>
        <v>32.4</v>
      </c>
      <c r="O32" s="7" t="n">
        <f aca="false">-(EXP(alpha*a*psi)+EXP(alpha*b*psi)*(-1+Size*psi*alpha))*(Beta*Phi)/((alpha*psi)*(EXP(alpha*a*psi)-EXP(alpha*b*psi)))</f>
        <v>12.2941718960407</v>
      </c>
      <c r="P32" s="7" t="n">
        <f aca="false">(EXP(alpha*(zeta-a*psi))*Beta*Phi*(-EXP(alpha*a*psi)*(-2+(-1)*Size*alpha*psi)+EXP(alpha*b*psi)*(-2+Size*alpha*psi)))/((alpha^3)*(psi^3))</f>
        <v>78.836375998096</v>
      </c>
      <c r="Q32" s="7" t="n">
        <f aca="false">Tau*Beta</f>
        <v>522</v>
      </c>
      <c r="R32" s="7" t="n">
        <f aca="false">Tau*Beta</f>
        <v>522</v>
      </c>
      <c r="S32" s="11" t="n">
        <f aca="false">Tau</f>
        <v>2.9</v>
      </c>
      <c r="T32" s="7" t="n">
        <f aca="false">Profit+Utility</f>
        <v>2180.75652105652</v>
      </c>
      <c r="U32" s="7" t="n">
        <f aca="false">ij*BUTIJ+BUTII</f>
        <v>1790.87905603051</v>
      </c>
      <c r="V32" s="7" t="n">
        <f aca="false">Revenue-Cost</f>
        <v>389.877465026015</v>
      </c>
      <c r="W32" s="7" t="n">
        <f aca="false">(2*ij*BRIJ)+(2)*jj*BRJJ</f>
        <v>588.897592784411</v>
      </c>
      <c r="X32" s="9" t="n">
        <f aca="false">2*(ij*BCCIJ)+(2*jj*BCCJJ)+BCS+jj*BCPTJJ+2*(ij*BCPTIJ)+BCPTII+BCk</f>
        <v>199.020127758396</v>
      </c>
    </row>
    <row r="33" customFormat="false" ht="13" hidden="false" customHeight="false" outlineLevel="0" collapsed="false">
      <c r="A33" s="2" t="n">
        <f aca="false">A32+0.1</f>
        <v>3</v>
      </c>
      <c r="B33" s="2" t="n">
        <v>0</v>
      </c>
      <c r="C33" s="2" t="n">
        <v>10</v>
      </c>
      <c r="D33" s="2" t="n">
        <v>0</v>
      </c>
      <c r="E33" s="2" t="n">
        <f aca="false">Size-a</f>
        <v>10</v>
      </c>
      <c r="F33" s="10" t="n">
        <f aca="false">(EXP(alpha*(Tau+OldTau+zeta-2*a*psi))*((EXP(alpha*a*psi)-EXP(alpha*b*psi))^2))/((EXP(alpha*a*psi)-EXP(alpha*(2*OldTau+b*psi)))*(alpha^2)*(psi^2))</f>
        <v>0.502458369546912</v>
      </c>
      <c r="G33" s="10" t="n">
        <f aca="false">(EXP(alpha*(zeta+(2*b-a)*psi))*(-1+EXP(alpha*(-1)*Size*psi))*(EXP(alpha*(2*(Tau+OldTau)+a*psi))-EXP(alpha*(2*(Tau+OldTau)+b*psi))))/(((EXP(alpha*a*psi)-EXP(alpha*(2*OldTau+b*psi)))^2)*(alpha^2)*(psi^2))</f>
        <v>0.00718499805446686</v>
      </c>
      <c r="H33" s="7" t="n">
        <f aca="false">-Beta/alpha</f>
        <v>180</v>
      </c>
      <c r="I33" s="7" t="n">
        <f aca="false">(-EXP(alpha*zeta)*Beta*(-1+EXP(alpha*Size*psi)-Size*alpha*psi))/((alpha^3)*(psi^2))</f>
        <v>1690.92462806846</v>
      </c>
      <c r="J33" s="7" t="n">
        <f aca="false">Beta*Theta</f>
        <v>14.4</v>
      </c>
      <c r="K33" s="7" t="n">
        <f aca="false">Beta*Theta</f>
        <v>14.4</v>
      </c>
      <c r="L33" s="7" t="n">
        <f aca="false">kappa</f>
        <v>90</v>
      </c>
      <c r="M33" s="7" t="n">
        <f aca="false">Gamma*Size</f>
        <v>0</v>
      </c>
      <c r="N33" s="7" t="n">
        <f aca="false">Size*Beta*Phi</f>
        <v>32.4</v>
      </c>
      <c r="O33" s="7" t="n">
        <f aca="false">-(EXP(alpha*a*psi)+EXP(alpha*b*psi)*(-1+Size*psi*alpha))*(Beta*Phi)/((alpha*psi)*(EXP(alpha*a*psi)-EXP(alpha*b*psi)))</f>
        <v>12.2941718960407</v>
      </c>
      <c r="P33" s="7" t="n">
        <f aca="false">(EXP(alpha*(zeta-a*psi))*Beta*Phi*(-EXP(alpha*a*psi)*(-2+(-1)*Size*alpha*psi)+EXP(alpha*b*psi)*(-2+Size*alpha*psi)))/((alpha^3)*(psi^3))</f>
        <v>78.836375998096</v>
      </c>
      <c r="Q33" s="7" t="n">
        <f aca="false">Tau*Beta</f>
        <v>540</v>
      </c>
      <c r="R33" s="7" t="n">
        <f aca="false">Tau*Beta</f>
        <v>540</v>
      </c>
      <c r="S33" s="11" t="n">
        <f aca="false">Tau</f>
        <v>3</v>
      </c>
      <c r="T33" s="7" t="n">
        <f aca="false">Profit+Utility</f>
        <v>2135.68045354278</v>
      </c>
      <c r="U33" s="7" t="n">
        <f aca="false">ij*BUTIJ+BUTII</f>
        <v>1781.3671345869</v>
      </c>
      <c r="V33" s="7" t="n">
        <f aca="false">Revenue-Cost</f>
        <v>354.313318955881</v>
      </c>
      <c r="W33" s="7" t="n">
        <f aca="false">(2*ij*BRIJ)+(2)*jj*BRJJ</f>
        <v>550.41483700949</v>
      </c>
      <c r="X33" s="9" t="n">
        <f aca="false">2*(ij*BCCIJ)+(2*jj*BCCJJ)+BCS+jj*BCPTJJ+2*(ij*BCPTIJ)+BCPTII+BCk</f>
        <v>196.101518053609</v>
      </c>
    </row>
    <row r="34" customFormat="false" ht="13" hidden="false" customHeight="false" outlineLevel="0" collapsed="false">
      <c r="A34" s="2" t="n">
        <f aca="false">A33+0.1</f>
        <v>3.1</v>
      </c>
      <c r="B34" s="2" t="n">
        <v>0</v>
      </c>
      <c r="C34" s="2" t="n">
        <v>10</v>
      </c>
      <c r="D34" s="2" t="n">
        <v>0</v>
      </c>
      <c r="E34" s="2" t="n">
        <f aca="false">Size-a</f>
        <v>10</v>
      </c>
      <c r="F34" s="10" t="n">
        <f aca="false">(EXP(alpha*(Tau+OldTau+zeta-2*a*psi))*((EXP(alpha*a*psi)-EXP(alpha*b*psi))^2))/((EXP(alpha*a*psi)-EXP(alpha*(2*OldTau+b*psi)))*(alpha^2)*(psi^2))</f>
        <v>0.454643133771386</v>
      </c>
      <c r="G34" s="10" t="n">
        <f aca="false">(EXP(alpha*(zeta+(2*b-a)*psi))*(-1+EXP(alpha*(-1)*Size*psi))*(EXP(alpha*(2*(Tau+OldTau)+a*psi))-EXP(alpha*(2*(Tau+OldTau)+b*psi))))/(((EXP(alpha*a*psi)-EXP(alpha*(2*OldTau+b*psi)))^2)*(alpha^2)*(psi^2))</f>
        <v>0.00588257886799748</v>
      </c>
      <c r="H34" s="7" t="n">
        <f aca="false">-Beta/alpha</f>
        <v>180</v>
      </c>
      <c r="I34" s="7" t="n">
        <f aca="false">(-EXP(alpha*zeta)*Beta*(-1+EXP(alpha*Size*psi)-Size*alpha*psi))/((alpha^3)*(psi^2))</f>
        <v>1690.92462806846</v>
      </c>
      <c r="J34" s="7" t="n">
        <f aca="false">Beta*Theta</f>
        <v>14.4</v>
      </c>
      <c r="K34" s="7" t="n">
        <f aca="false">Beta*Theta</f>
        <v>14.4</v>
      </c>
      <c r="L34" s="7" t="n">
        <f aca="false">kappa</f>
        <v>90</v>
      </c>
      <c r="M34" s="7" t="n">
        <f aca="false">Gamma*Size</f>
        <v>0</v>
      </c>
      <c r="N34" s="7" t="n">
        <f aca="false">Size*Beta*Phi</f>
        <v>32.4</v>
      </c>
      <c r="O34" s="7" t="n">
        <f aca="false">-(EXP(alpha*a*psi)+EXP(alpha*b*psi)*(-1+Size*psi*alpha))*(Beta*Phi)/((alpha*psi)*(EXP(alpha*a*psi)-EXP(alpha*b*psi)))</f>
        <v>12.2941718960407</v>
      </c>
      <c r="P34" s="7" t="n">
        <f aca="false">(EXP(alpha*(zeta-a*psi))*Beta*Phi*(-EXP(alpha*a*psi)*(-2+(-1)*Size*alpha*psi)+EXP(alpha*b*psi)*(-2+Size*alpha*psi)))/((alpha^3)*(psi^3))</f>
        <v>78.836375998096</v>
      </c>
      <c r="Q34" s="7" t="n">
        <f aca="false">Tau*Beta</f>
        <v>558</v>
      </c>
      <c r="R34" s="7" t="n">
        <f aca="false">Tau*Beta</f>
        <v>558</v>
      </c>
      <c r="S34" s="11" t="n">
        <f aca="false">Tau</f>
        <v>3.1</v>
      </c>
      <c r="T34" s="7" t="n">
        <f aca="false">Profit+Utility</f>
        <v>2093.23805369955</v>
      </c>
      <c r="U34" s="7" t="n">
        <f aca="false">ij*BUTIJ+BUTII</f>
        <v>1772.76039214731</v>
      </c>
      <c r="V34" s="7" t="n">
        <f aca="false">Revenue-Cost</f>
        <v>320.477661552239</v>
      </c>
      <c r="W34" s="7" t="n">
        <f aca="false">(2*ij*BRIJ)+(2)*jj*BRJJ</f>
        <v>513.946695305552</v>
      </c>
      <c r="X34" s="9" t="n">
        <f aca="false">2*(ij*BCCIJ)+(2*jj*BCCJJ)+BCS+jj*BCPTJJ+2*(ij*BCPTIJ)+BCPTII+BCk</f>
        <v>193.469033753313</v>
      </c>
    </row>
    <row r="35" customFormat="false" ht="13" hidden="false" customHeight="false" outlineLevel="0" collapsed="false">
      <c r="A35" s="2" t="n">
        <f aca="false">A34+0.1</f>
        <v>3.2</v>
      </c>
      <c r="B35" s="2" t="n">
        <v>0</v>
      </c>
      <c r="C35" s="2" t="n">
        <v>10</v>
      </c>
      <c r="D35" s="2" t="n">
        <v>0</v>
      </c>
      <c r="E35" s="2" t="n">
        <f aca="false">Size-a</f>
        <v>10</v>
      </c>
      <c r="F35" s="10" t="n">
        <f aca="false">(EXP(alpha*(Tau+OldTau+zeta-2*a*psi))*((EXP(alpha*a*psi)-EXP(alpha*b*psi))^2))/((EXP(alpha*a*psi)-EXP(alpha*(2*OldTau+b*psi)))*(alpha^2)*(psi^2))</f>
        <v>0.411378119289478</v>
      </c>
      <c r="G35" s="10" t="n">
        <f aca="false">(EXP(alpha*(zeta+(2*b-a)*psi))*(-1+EXP(alpha*(-1)*Size*psi))*(EXP(alpha*(2*(Tau+OldTau)+a*psi))-EXP(alpha*(2*(Tau+OldTau)+b*psi))))/(((EXP(alpha*a*psi)-EXP(alpha*(2*OldTau+b*psi)))^2)*(alpha^2)*(psi^2))</f>
        <v>0.0048162482266362</v>
      </c>
      <c r="H35" s="7" t="n">
        <f aca="false">-Beta/alpha</f>
        <v>180</v>
      </c>
      <c r="I35" s="7" t="n">
        <f aca="false">(-EXP(alpha*zeta)*Beta*(-1+EXP(alpha*Size*psi)-Size*alpha*psi))/((alpha^3)*(psi^2))</f>
        <v>1690.92462806846</v>
      </c>
      <c r="J35" s="7" t="n">
        <f aca="false">Beta*Theta</f>
        <v>14.4</v>
      </c>
      <c r="K35" s="7" t="n">
        <f aca="false">Beta*Theta</f>
        <v>14.4</v>
      </c>
      <c r="L35" s="7" t="n">
        <f aca="false">kappa</f>
        <v>90</v>
      </c>
      <c r="M35" s="7" t="n">
        <f aca="false">Gamma*Size</f>
        <v>0</v>
      </c>
      <c r="N35" s="7" t="n">
        <f aca="false">Size*Beta*Phi</f>
        <v>32.4</v>
      </c>
      <c r="O35" s="7" t="n">
        <f aca="false">-(EXP(alpha*a*psi)+EXP(alpha*b*psi)*(-1+Size*psi*alpha))*(Beta*Phi)/((alpha*psi)*(EXP(alpha*a*psi)-EXP(alpha*b*psi)))</f>
        <v>12.2941718960407</v>
      </c>
      <c r="P35" s="7" t="n">
        <f aca="false">(EXP(alpha*(zeta-a*psi))*Beta*Phi*(-EXP(alpha*a*psi)*(-2+(-1)*Size*alpha*psi)+EXP(alpha*b*psi)*(-2+Size*alpha*psi)))/((alpha^3)*(psi^3))</f>
        <v>78.836375998096</v>
      </c>
      <c r="Q35" s="7" t="n">
        <f aca="false">Tau*Beta</f>
        <v>576</v>
      </c>
      <c r="R35" s="7" t="n">
        <f aca="false">Tau*Beta</f>
        <v>576</v>
      </c>
      <c r="S35" s="11" t="n">
        <f aca="false">Tau</f>
        <v>3.2</v>
      </c>
      <c r="T35" s="7" t="n">
        <f aca="false">Profit+Utility</f>
        <v>2053.3346740684</v>
      </c>
      <c r="U35" s="7" t="n">
        <f aca="false">ij*BUTIJ+BUTII</f>
        <v>1764.97268954056</v>
      </c>
      <c r="V35" s="7" t="n">
        <f aca="false">Revenue-Cost</f>
        <v>288.361984527832</v>
      </c>
      <c r="W35" s="7" t="n">
        <f aca="false">(2*ij*BRIJ)+(2)*jj*BRJJ</f>
        <v>479.455911378564</v>
      </c>
      <c r="X35" s="9" t="n">
        <f aca="false">2*(ij*BCCIJ)+(2*jj*BCCJJ)+BCS+jj*BCPTJJ+2*(ij*BCPTIJ)+BCPTII+BCk</f>
        <v>191.093926850733</v>
      </c>
    </row>
    <row r="36" customFormat="false" ht="13" hidden="false" customHeight="false" outlineLevel="0" collapsed="false">
      <c r="A36" s="2" t="n">
        <f aca="false">A35+0.1</f>
        <v>3.3</v>
      </c>
      <c r="B36" s="2" t="n">
        <v>0</v>
      </c>
      <c r="C36" s="2" t="n">
        <v>10</v>
      </c>
      <c r="D36" s="2" t="n">
        <v>0</v>
      </c>
      <c r="E36" s="2" t="n">
        <f aca="false">Size-a</f>
        <v>10</v>
      </c>
      <c r="F36" s="10" t="n">
        <f aca="false">(EXP(alpha*(Tau+OldTau+zeta-2*a*psi))*((EXP(alpha*a*psi)-EXP(alpha*b*psi))^2))/((EXP(alpha*a*psi)-EXP(alpha*(2*OldTau+b*psi)))*(alpha^2)*(psi^2))</f>
        <v>0.372230315294381</v>
      </c>
      <c r="G36" s="10" t="n">
        <f aca="false">(EXP(alpha*(zeta+(2*b-a)*psi))*(-1+EXP(alpha*(-1)*Size*psi))*(EXP(alpha*(2*(Tau+OldTau)+a*psi))-EXP(alpha*(2*(Tau+OldTau)+b*psi))))/(((EXP(alpha*a*psi)-EXP(alpha*(2*OldTau+b*psi)))^2)*(alpha^2)*(psi^2))</f>
        <v>0.00394321053760435</v>
      </c>
      <c r="H36" s="7" t="n">
        <f aca="false">-Beta/alpha</f>
        <v>180</v>
      </c>
      <c r="I36" s="7" t="n">
        <f aca="false">(-EXP(alpha*zeta)*Beta*(-1+EXP(alpha*Size*psi)-Size*alpha*psi))/((alpha^3)*(psi^2))</f>
        <v>1690.92462806846</v>
      </c>
      <c r="J36" s="7" t="n">
        <f aca="false">Beta*Theta</f>
        <v>14.4</v>
      </c>
      <c r="K36" s="7" t="n">
        <f aca="false">Beta*Theta</f>
        <v>14.4</v>
      </c>
      <c r="L36" s="7" t="n">
        <f aca="false">kappa</f>
        <v>90</v>
      </c>
      <c r="M36" s="7" t="n">
        <f aca="false">Gamma*Size</f>
        <v>0</v>
      </c>
      <c r="N36" s="7" t="n">
        <f aca="false">Size*Beta*Phi</f>
        <v>32.4</v>
      </c>
      <c r="O36" s="7" t="n">
        <f aca="false">-(EXP(alpha*a*psi)+EXP(alpha*b*psi)*(-1+Size*psi*alpha))*(Beta*Phi)/((alpha*psi)*(EXP(alpha*a*psi)-EXP(alpha*b*psi)))</f>
        <v>12.2941718960407</v>
      </c>
      <c r="P36" s="7" t="n">
        <f aca="false">(EXP(alpha*(zeta-a*psi))*Beta*Phi*(-EXP(alpha*a*psi)*(-2+(-1)*Size*alpha*psi)+EXP(alpha*b*psi)*(-2+Size*alpha*psi)))/((alpha^3)*(psi^3))</f>
        <v>78.836375998096</v>
      </c>
      <c r="Q36" s="7" t="n">
        <f aca="false">Tau*Beta</f>
        <v>594</v>
      </c>
      <c r="R36" s="7" t="n">
        <f aca="false">Tau*Beta</f>
        <v>594</v>
      </c>
      <c r="S36" s="11" t="n">
        <f aca="false">Tau</f>
        <v>3.3</v>
      </c>
      <c r="T36" s="7" t="n">
        <f aca="false">Profit+Utility</f>
        <v>2015.86977298408</v>
      </c>
      <c r="U36" s="7" t="n">
        <f aca="false">ij*BUTIJ+BUTII</f>
        <v>1757.92608482145</v>
      </c>
      <c r="V36" s="7" t="n">
        <f aca="false">Revenue-Cost</f>
        <v>257.94368816263</v>
      </c>
      <c r="W36" s="7" t="n">
        <f aca="false">(2*ij*BRIJ)+(2)*jj*BRJJ</f>
        <v>446.894148688399</v>
      </c>
      <c r="X36" s="9" t="n">
        <f aca="false">2*(ij*BCCIJ)+(2*jj*BCCJJ)+BCS+jj*BCPTJJ+2*(ij*BCPTIJ)+BCPTII+BCk</f>
        <v>188.950460525769</v>
      </c>
    </row>
    <row r="37" customFormat="false" ht="13" hidden="false" customHeight="false" outlineLevel="0" collapsed="false">
      <c r="A37" s="2" t="n">
        <f aca="false">A36+0.1</f>
        <v>3.4</v>
      </c>
      <c r="B37" s="2" t="n">
        <v>0</v>
      </c>
      <c r="C37" s="2" t="n">
        <v>10</v>
      </c>
      <c r="D37" s="2" t="n">
        <v>0</v>
      </c>
      <c r="E37" s="2" t="n">
        <f aca="false">Size-a</f>
        <v>10</v>
      </c>
      <c r="F37" s="10" t="n">
        <f aca="false">(EXP(alpha*(Tau+OldTau+zeta-2*a*psi))*((EXP(alpha*a*psi)-EXP(alpha*b*psi))^2))/((EXP(alpha*a*psi)-EXP(alpha*(2*OldTau+b*psi)))*(alpha^2)*(psi^2))</f>
        <v>0.336807917405678</v>
      </c>
      <c r="G37" s="10" t="n">
        <f aca="false">(EXP(alpha*(zeta+(2*b-a)*psi))*(-1+EXP(alpha*(-1)*Size*psi))*(EXP(alpha*(2*(Tau+OldTau)+a*psi))-EXP(alpha*(2*(Tau+OldTau)+b*psi))))/(((EXP(alpha*a*psi)-EXP(alpha*(2*OldTau+b*psi)))^2)*(alpha^2)*(psi^2))</f>
        <v>0.00322842773299784</v>
      </c>
      <c r="H37" s="7" t="n">
        <f aca="false">-Beta/alpha</f>
        <v>180</v>
      </c>
      <c r="I37" s="7" t="n">
        <f aca="false">(-EXP(alpha*zeta)*Beta*(-1+EXP(alpha*Size*psi)-Size*alpha*psi))/((alpha^3)*(psi^2))</f>
        <v>1690.92462806846</v>
      </c>
      <c r="J37" s="7" t="n">
        <f aca="false">Beta*Theta</f>
        <v>14.4</v>
      </c>
      <c r="K37" s="7" t="n">
        <f aca="false">Beta*Theta</f>
        <v>14.4</v>
      </c>
      <c r="L37" s="7" t="n">
        <f aca="false">kappa</f>
        <v>90</v>
      </c>
      <c r="M37" s="7" t="n">
        <f aca="false">Gamma*Size</f>
        <v>0</v>
      </c>
      <c r="N37" s="7" t="n">
        <f aca="false">Size*Beta*Phi</f>
        <v>32.4</v>
      </c>
      <c r="O37" s="7" t="n">
        <f aca="false">-(EXP(alpha*a*psi)+EXP(alpha*b*psi)*(-1+Size*psi*alpha))*(Beta*Phi)/((alpha*psi)*(EXP(alpha*a*psi)-EXP(alpha*b*psi)))</f>
        <v>12.2941718960407</v>
      </c>
      <c r="P37" s="7" t="n">
        <f aca="false">(EXP(alpha*(zeta-a*psi))*Beta*Phi*(-EXP(alpha*a*psi)*(-2+(-1)*Size*alpha*psi)+EXP(alpha*b*psi)*(-2+Size*alpha*psi)))/((alpha^3)*(psi^3))</f>
        <v>78.836375998096</v>
      </c>
      <c r="Q37" s="7" t="n">
        <f aca="false">Tau*Beta</f>
        <v>612</v>
      </c>
      <c r="R37" s="7" t="n">
        <f aca="false">Tau*Beta</f>
        <v>612</v>
      </c>
      <c r="S37" s="11" t="n">
        <f aca="false">Tau</f>
        <v>3.4</v>
      </c>
      <c r="T37" s="7" t="n">
        <f aca="false">Profit+Utility</f>
        <v>1980.73896698952</v>
      </c>
      <c r="U37" s="7" t="n">
        <f aca="false">ij*BUTIJ+BUTII</f>
        <v>1751.55005320148</v>
      </c>
      <c r="V37" s="7" t="n">
        <f aca="false">Revenue-Cost</f>
        <v>229.188913788035</v>
      </c>
      <c r="W37" s="7" t="n">
        <f aca="false">(2*ij*BRIJ)+(2)*jj*BRJJ</f>
        <v>416.20448644974</v>
      </c>
      <c r="X37" s="9" t="n">
        <f aca="false">2*(ij*BCCIJ)+(2*jj*BCCJJ)+BCS+jj*BCPTJJ+2*(ij*BCPTIJ)+BCPTII+BCk</f>
        <v>187.015572661705</v>
      </c>
    </row>
    <row r="38" customFormat="false" ht="13" hidden="false" customHeight="false" outlineLevel="0" collapsed="false">
      <c r="A38" s="2" t="n">
        <f aca="false">A37+0.1</f>
        <v>3.5</v>
      </c>
      <c r="B38" s="2" t="n">
        <v>0</v>
      </c>
      <c r="C38" s="2" t="n">
        <v>10</v>
      </c>
      <c r="D38" s="2" t="n">
        <v>0</v>
      </c>
      <c r="E38" s="2" t="n">
        <f aca="false">Size-a</f>
        <v>10</v>
      </c>
      <c r="F38" s="10" t="n">
        <f aca="false">(EXP(alpha*(Tau+OldTau+zeta-2*a*psi))*((EXP(alpha*a*psi)-EXP(alpha*b*psi))^2))/((EXP(alpha*a*psi)-EXP(alpha*(2*OldTau+b*psi)))*(alpha^2)*(psi^2))</f>
        <v>0.304756406359423</v>
      </c>
      <c r="G38" s="10" t="n">
        <f aca="false">(EXP(alpha*(zeta+(2*b-a)*psi))*(-1+EXP(alpha*(-1)*Size*psi))*(EXP(alpha*(2*(Tau+OldTau)+a*psi))-EXP(alpha*(2*(Tau+OldTau)+b*psi))))/(((EXP(alpha*a*psi)-EXP(alpha*(2*OldTau+b*psi)))^2)*(alpha^2)*(psi^2))</f>
        <v>0.00264321306909517</v>
      </c>
      <c r="H38" s="7" t="n">
        <f aca="false">-Beta/alpha</f>
        <v>180</v>
      </c>
      <c r="I38" s="7" t="n">
        <f aca="false">(-EXP(alpha*zeta)*Beta*(-1+EXP(alpha*Size*psi)-Size*alpha*psi))/((alpha^3)*(psi^2))</f>
        <v>1690.92462806846</v>
      </c>
      <c r="J38" s="7" t="n">
        <f aca="false">Beta*Theta</f>
        <v>14.4</v>
      </c>
      <c r="K38" s="7" t="n">
        <f aca="false">Beta*Theta</f>
        <v>14.4</v>
      </c>
      <c r="L38" s="7" t="n">
        <f aca="false">kappa</f>
        <v>90</v>
      </c>
      <c r="M38" s="7" t="n">
        <f aca="false">Gamma*Size</f>
        <v>0</v>
      </c>
      <c r="N38" s="7" t="n">
        <f aca="false">Size*Beta*Phi</f>
        <v>32.4</v>
      </c>
      <c r="O38" s="7" t="n">
        <f aca="false">-(EXP(alpha*a*psi)+EXP(alpha*b*psi)*(-1+Size*psi*alpha))*(Beta*Phi)/((alpha*psi)*(EXP(alpha*a*psi)-EXP(alpha*b*psi)))</f>
        <v>12.2941718960407</v>
      </c>
      <c r="P38" s="7" t="n">
        <f aca="false">(EXP(alpha*(zeta-a*psi))*Beta*Phi*(-EXP(alpha*a*psi)*(-2+(-1)*Size*alpha*psi)+EXP(alpha*b*psi)*(-2+Size*alpha*psi)))/((alpha^3)*(psi^3))</f>
        <v>78.836375998096</v>
      </c>
      <c r="Q38" s="7" t="n">
        <f aca="false">Tau*Beta</f>
        <v>630</v>
      </c>
      <c r="R38" s="7" t="n">
        <f aca="false">Tau*Beta</f>
        <v>630</v>
      </c>
      <c r="S38" s="11" t="n">
        <f aca="false">Tau</f>
        <v>3.5</v>
      </c>
      <c r="T38" s="7" t="n">
        <f aca="false">Profit+Utility</f>
        <v>1947.83572125961</v>
      </c>
      <c r="U38" s="7" t="n">
        <f aca="false">ij*BUTIJ+BUTII</f>
        <v>1745.78078121315</v>
      </c>
      <c r="V38" s="7" t="n">
        <f aca="false">Revenue-Cost</f>
        <v>202.054940046452</v>
      </c>
      <c r="W38" s="7" t="n">
        <f aca="false">(2*ij*BRIJ)+(2)*jj*BRJJ</f>
        <v>387.323520479933</v>
      </c>
      <c r="X38" s="9" t="n">
        <f aca="false">2*(ij*BCCIJ)+(2*jj*BCCJJ)+BCS+jj*BCPTJJ+2*(ij*BCPTIJ)+BCPTII+BCk</f>
        <v>185.268580433481</v>
      </c>
    </row>
    <row r="39" customFormat="false" ht="13" hidden="false" customHeight="false" outlineLevel="0" collapsed="false">
      <c r="A39" s="2" t="n">
        <f aca="false">A38+0.1</f>
        <v>3.6</v>
      </c>
      <c r="B39" s="2" t="n">
        <v>0</v>
      </c>
      <c r="C39" s="2" t="n">
        <v>10</v>
      </c>
      <c r="D39" s="2" t="n">
        <v>0</v>
      </c>
      <c r="E39" s="2" t="n">
        <f aca="false">Size-a</f>
        <v>10</v>
      </c>
      <c r="F39" s="10" t="n">
        <f aca="false">(EXP(alpha*(Tau+OldTau+zeta-2*a*psi))*((EXP(alpha*a*psi)-EXP(alpha*b*psi))^2))/((EXP(alpha*a*psi)-EXP(alpha*(2*OldTau+b*psi)))*(alpha^2)*(psi^2))</f>
        <v>0.275754999860178</v>
      </c>
      <c r="G39" s="10" t="n">
        <f aca="false">(EXP(alpha*(zeta+(2*b-a)*psi))*(-1+EXP(alpha*(-1)*Size*psi))*(EXP(alpha*(2*(Tau+OldTau)+a*psi))-EXP(alpha*(2*(Tau+OldTau)+b*psi))))/(((EXP(alpha*a*psi)-EXP(alpha*(2*OldTau+b*psi)))^2)*(alpha^2)*(psi^2))</f>
        <v>0.00216407982660585</v>
      </c>
      <c r="H39" s="7" t="n">
        <f aca="false">-Beta/alpha</f>
        <v>180</v>
      </c>
      <c r="I39" s="7" t="n">
        <f aca="false">(-EXP(alpha*zeta)*Beta*(-1+EXP(alpha*Size*psi)-Size*alpha*psi))/((alpha^3)*(psi^2))</f>
        <v>1690.92462806846</v>
      </c>
      <c r="J39" s="7" t="n">
        <f aca="false">Beta*Theta</f>
        <v>14.4</v>
      </c>
      <c r="K39" s="7" t="n">
        <f aca="false">Beta*Theta</f>
        <v>14.4</v>
      </c>
      <c r="L39" s="7" t="n">
        <f aca="false">kappa</f>
        <v>90</v>
      </c>
      <c r="M39" s="7" t="n">
        <f aca="false">Gamma*Size</f>
        <v>0</v>
      </c>
      <c r="N39" s="7" t="n">
        <f aca="false">Size*Beta*Phi</f>
        <v>32.4</v>
      </c>
      <c r="O39" s="7" t="n">
        <f aca="false">-(EXP(alpha*a*psi)+EXP(alpha*b*psi)*(-1+Size*psi*alpha))*(Beta*Phi)/((alpha*psi)*(EXP(alpha*a*psi)-EXP(alpha*b*psi)))</f>
        <v>12.2941718960407</v>
      </c>
      <c r="P39" s="7" t="n">
        <f aca="false">(EXP(alpha*(zeta-a*psi))*Beta*Phi*(-EXP(alpha*a*psi)*(-2+(-1)*Size*alpha*psi)+EXP(alpha*b*psi)*(-2+Size*alpha*psi)))/((alpha^3)*(psi^3))</f>
        <v>78.836375998096</v>
      </c>
      <c r="Q39" s="7" t="n">
        <f aca="false">Tau*Beta</f>
        <v>648</v>
      </c>
      <c r="R39" s="7" t="n">
        <f aca="false">Tau*Beta</f>
        <v>648</v>
      </c>
      <c r="S39" s="11" t="n">
        <f aca="false">Tau</f>
        <v>3.6</v>
      </c>
      <c r="T39" s="7" t="n">
        <f aca="false">Profit+Utility</f>
        <v>1917.05273489896</v>
      </c>
      <c r="U39" s="7" t="n">
        <f aca="false">ij*BUTIJ+BUTII</f>
        <v>1740.56052804329</v>
      </c>
      <c r="V39" s="7" t="n">
        <f aca="false">Revenue-Cost</f>
        <v>176.492206855667</v>
      </c>
      <c r="W39" s="7" t="n">
        <f aca="false">(2*ij*BRIJ)+(2)*jj*BRJJ</f>
        <v>360.183127274072</v>
      </c>
      <c r="X39" s="9" t="n">
        <f aca="false">2*(ij*BCCIJ)+(2*jj*BCCJJ)+BCS+jj*BCPTJJ+2*(ij*BCPTIJ)+BCPTII+BCk</f>
        <v>183.690920418405</v>
      </c>
    </row>
    <row r="40" customFormat="false" ht="13" hidden="false" customHeight="false" outlineLevel="0" collapsed="false">
      <c r="A40" s="2" t="n">
        <f aca="false">A39+0.1</f>
        <v>3.7</v>
      </c>
      <c r="B40" s="2" t="n">
        <v>0</v>
      </c>
      <c r="C40" s="2" t="n">
        <v>10</v>
      </c>
      <c r="D40" s="2" t="n">
        <v>0</v>
      </c>
      <c r="E40" s="2" t="n">
        <f aca="false">Size-a</f>
        <v>10</v>
      </c>
      <c r="F40" s="10" t="n">
        <f aca="false">(EXP(alpha*(Tau+OldTau+zeta-2*a*psi))*((EXP(alpha*a*psi)-EXP(alpha*b*psi))^2))/((EXP(alpha*a*psi)-EXP(alpha*(2*OldTau+b*psi)))*(alpha^2)*(psi^2))</f>
        <v>0.24951344208399</v>
      </c>
      <c r="G40" s="10" t="n">
        <f aca="false">(EXP(alpha*(zeta+(2*b-a)*psi))*(-1+EXP(alpha*(-1)*Size*psi))*(EXP(alpha*(2*(Tau+OldTau)+a*psi))-EXP(alpha*(2*(Tau+OldTau)+b*psi))))/(((EXP(alpha*a*psi)-EXP(alpha*(2*OldTau+b*psi)))^2)*(alpha^2)*(psi^2))</f>
        <v>0.00177179870615787</v>
      </c>
      <c r="H40" s="7" t="n">
        <f aca="false">-Beta/alpha</f>
        <v>180</v>
      </c>
      <c r="I40" s="7" t="n">
        <f aca="false">(-EXP(alpha*zeta)*Beta*(-1+EXP(alpha*Size*psi)-Size*alpha*psi))/((alpha^3)*(psi^2))</f>
        <v>1690.92462806846</v>
      </c>
      <c r="J40" s="7" t="n">
        <f aca="false">Beta*Theta</f>
        <v>14.4</v>
      </c>
      <c r="K40" s="7" t="n">
        <f aca="false">Beta*Theta</f>
        <v>14.4</v>
      </c>
      <c r="L40" s="7" t="n">
        <f aca="false">kappa</f>
        <v>90</v>
      </c>
      <c r="M40" s="7" t="n">
        <f aca="false">Gamma*Size</f>
        <v>0</v>
      </c>
      <c r="N40" s="7" t="n">
        <f aca="false">Size*Beta*Phi</f>
        <v>32.4</v>
      </c>
      <c r="O40" s="7" t="n">
        <f aca="false">-(EXP(alpha*a*psi)+EXP(alpha*b*psi)*(-1+Size*psi*alpha))*(Beta*Phi)/((alpha*psi)*(EXP(alpha*a*psi)-EXP(alpha*b*psi)))</f>
        <v>12.2941718960407</v>
      </c>
      <c r="P40" s="7" t="n">
        <f aca="false">(EXP(alpha*(zeta-a*psi))*Beta*Phi*(-EXP(alpha*a*psi)*(-2+(-1)*Size*alpha*psi)+EXP(alpha*b*psi)*(-2+Size*alpha*psi)))/((alpha^3)*(psi^3))</f>
        <v>78.836375998096</v>
      </c>
      <c r="Q40" s="7" t="n">
        <f aca="false">Tau*Beta</f>
        <v>666</v>
      </c>
      <c r="R40" s="7" t="n">
        <f aca="false">Tau*Beta</f>
        <v>666</v>
      </c>
      <c r="S40" s="11" t="n">
        <f aca="false">Tau</f>
        <v>3.7</v>
      </c>
      <c r="T40" s="7" t="n">
        <f aca="false">Profit+Utility</f>
        <v>1888.28306887041</v>
      </c>
      <c r="U40" s="7" t="n">
        <f aca="false">ij*BUTIJ+BUTII</f>
        <v>1735.83704764358</v>
      </c>
      <c r="V40" s="7" t="n">
        <f aca="false">Revenue-Cost</f>
        <v>152.446021226838</v>
      </c>
      <c r="W40" s="7" t="n">
        <f aca="false">(2*ij*BRIJ)+(2)*jj*BRJJ</f>
        <v>334.711940732477</v>
      </c>
      <c r="X40" s="9" t="n">
        <f aca="false">2*(ij*BCCIJ)+(2*jj*BCCJJ)+BCS+jj*BCPTJJ+2*(ij*BCPTIJ)+BCPTII+BCk</f>
        <v>182.265919505638</v>
      </c>
    </row>
    <row r="41" customFormat="false" ht="13" hidden="false" customHeight="false" outlineLevel="0" collapsed="false">
      <c r="A41" s="2" t="n">
        <f aca="false">A40+0.1</f>
        <v>3.8</v>
      </c>
      <c r="B41" s="2" t="n">
        <v>0</v>
      </c>
      <c r="C41" s="2" t="n">
        <v>10</v>
      </c>
      <c r="D41" s="2" t="n">
        <v>0</v>
      </c>
      <c r="E41" s="2" t="n">
        <f aca="false">Size-a</f>
        <v>10</v>
      </c>
      <c r="F41" s="10" t="n">
        <f aca="false">(EXP(alpha*(Tau+OldTau+zeta-2*a*psi))*((EXP(alpha*a*psi)-EXP(alpha*b*psi))^2))/((EXP(alpha*a*psi)-EXP(alpha*(2*OldTau+b*psi)))*(alpha^2)*(psi^2))</f>
        <v>0.225769098700542</v>
      </c>
      <c r="G41" s="10" t="n">
        <f aca="false">(EXP(alpha*(zeta+(2*b-a)*psi))*(-1+EXP(alpha*(-1)*Size*psi))*(EXP(alpha*(2*(Tau+OldTau)+a*psi))-EXP(alpha*(2*(Tau+OldTau)+b*psi))))/(((EXP(alpha*a*psi)-EXP(alpha*(2*OldTau+b*psi)))^2)*(alpha^2)*(psi^2))</f>
        <v>0.00145062608899523</v>
      </c>
      <c r="H41" s="7" t="n">
        <f aca="false">-Beta/alpha</f>
        <v>180</v>
      </c>
      <c r="I41" s="7" t="n">
        <f aca="false">(-EXP(alpha*zeta)*Beta*(-1+EXP(alpha*Size*psi)-Size*alpha*psi))/((alpha^3)*(psi^2))</f>
        <v>1690.92462806846</v>
      </c>
      <c r="J41" s="7" t="n">
        <f aca="false">Beta*Theta</f>
        <v>14.4</v>
      </c>
      <c r="K41" s="7" t="n">
        <f aca="false">Beta*Theta</f>
        <v>14.4</v>
      </c>
      <c r="L41" s="7" t="n">
        <f aca="false">kappa</f>
        <v>90</v>
      </c>
      <c r="M41" s="7" t="n">
        <f aca="false">Gamma*Size</f>
        <v>0</v>
      </c>
      <c r="N41" s="7" t="n">
        <f aca="false">Size*Beta*Phi</f>
        <v>32.4</v>
      </c>
      <c r="O41" s="7" t="n">
        <f aca="false">-(EXP(alpha*a*psi)+EXP(alpha*b*psi)*(-1+Size*psi*alpha))*(Beta*Phi)/((alpha*psi)*(EXP(alpha*a*psi)-EXP(alpha*b*psi)))</f>
        <v>12.2941718960407</v>
      </c>
      <c r="P41" s="7" t="n">
        <f aca="false">(EXP(alpha*(zeta-a*psi))*Beta*Phi*(-EXP(alpha*a*psi)*(-2+(-1)*Size*alpha*psi)+EXP(alpha*b*psi)*(-2+Size*alpha*psi)))/((alpha^3)*(psi^3))</f>
        <v>78.836375998096</v>
      </c>
      <c r="Q41" s="7" t="n">
        <f aca="false">Tau*Beta</f>
        <v>684</v>
      </c>
      <c r="R41" s="7" t="n">
        <f aca="false">Tau*Beta</f>
        <v>684</v>
      </c>
      <c r="S41" s="11" t="n">
        <f aca="false">Tau</f>
        <v>3.8</v>
      </c>
      <c r="T41" s="7" t="n">
        <f aca="false">Profit+Utility</f>
        <v>1861.42105677285</v>
      </c>
      <c r="U41" s="7" t="n">
        <f aca="false">ij*BUTIJ+BUTII</f>
        <v>1731.56306583456</v>
      </c>
      <c r="V41" s="7" t="n">
        <f aca="false">Revenue-Cost</f>
        <v>129.857990938292</v>
      </c>
      <c r="W41" s="7" t="n">
        <f aca="false">(2*ij*BRIJ)+(2)*jj*BRJJ</f>
        <v>310.836583512087</v>
      </c>
      <c r="X41" s="9" t="n">
        <f aca="false">2*(ij*BCCIJ)+(2*jj*BCCJJ)+BCS+jj*BCPTJJ+2*(ij*BCPTIJ)+BCPTII+BCk</f>
        <v>180.978592573795</v>
      </c>
    </row>
    <row r="42" customFormat="false" ht="13" hidden="false" customHeight="false" outlineLevel="0" collapsed="false">
      <c r="A42" s="2" t="n">
        <f aca="false">A41+0.1</f>
        <v>3.9</v>
      </c>
      <c r="B42" s="2" t="n">
        <v>0</v>
      </c>
      <c r="C42" s="2" t="n">
        <v>10</v>
      </c>
      <c r="D42" s="2" t="n">
        <v>0</v>
      </c>
      <c r="E42" s="2" t="n">
        <f aca="false">Size-a</f>
        <v>10</v>
      </c>
      <c r="F42" s="10" t="n">
        <f aca="false">(EXP(alpha*(Tau+OldTau+zeta-2*a*psi))*((EXP(alpha*a*psi)-EXP(alpha*b*psi))^2))/((EXP(alpha*a*psi)-EXP(alpha*(2*OldTau+b*psi)))*(alpha^2)*(psi^2))</f>
        <v>0.204284328340504</v>
      </c>
      <c r="G42" s="10" t="n">
        <f aca="false">(EXP(alpha*(zeta+(2*b-a)*psi))*(-1+EXP(alpha*(-1)*Size*psi))*(EXP(alpha*(2*(Tau+OldTau)+a*psi))-EXP(alpha*(2*(Tau+OldTau)+b*psi))))/(((EXP(alpha*a*psi)-EXP(alpha*(2*OldTau+b*psi)))^2)*(alpha^2)*(psi^2))</f>
        <v>0.00118767219027763</v>
      </c>
      <c r="H42" s="7" t="n">
        <f aca="false">-Beta/alpha</f>
        <v>180</v>
      </c>
      <c r="I42" s="7" t="n">
        <f aca="false">(-EXP(alpha*zeta)*Beta*(-1+EXP(alpha*Size*psi)-Size*alpha*psi))/((alpha^3)*(psi^2))</f>
        <v>1690.92462806846</v>
      </c>
      <c r="J42" s="7" t="n">
        <f aca="false">Beta*Theta</f>
        <v>14.4</v>
      </c>
      <c r="K42" s="7" t="n">
        <f aca="false">Beta*Theta</f>
        <v>14.4</v>
      </c>
      <c r="L42" s="7" t="n">
        <f aca="false">kappa</f>
        <v>90</v>
      </c>
      <c r="M42" s="7" t="n">
        <f aca="false">Gamma*Size</f>
        <v>0</v>
      </c>
      <c r="N42" s="7" t="n">
        <f aca="false">Size*Beta*Phi</f>
        <v>32.4</v>
      </c>
      <c r="O42" s="7" t="n">
        <f aca="false">-(EXP(alpha*a*psi)+EXP(alpha*b*psi)*(-1+Size*psi*alpha))*(Beta*Phi)/((alpha*psi)*(EXP(alpha*a*psi)-EXP(alpha*b*psi)))</f>
        <v>12.2941718960407</v>
      </c>
      <c r="P42" s="7" t="n">
        <f aca="false">(EXP(alpha*(zeta-a*psi))*Beta*Phi*(-EXP(alpha*a*psi)*(-2+(-1)*Size*alpha*psi)+EXP(alpha*b*psi)*(-2+Size*alpha*psi)))/((alpha^3)*(psi^3))</f>
        <v>78.836375998096</v>
      </c>
      <c r="Q42" s="7" t="n">
        <f aca="false">Tau*Beta</f>
        <v>702</v>
      </c>
      <c r="R42" s="7" t="n">
        <f aca="false">Tau*Beta</f>
        <v>702</v>
      </c>
      <c r="S42" s="11" t="n">
        <f aca="false">Tau</f>
        <v>3.9</v>
      </c>
      <c r="T42" s="7" t="n">
        <f aca="false">Profit+Utility</f>
        <v>1836.36303242605</v>
      </c>
      <c r="U42" s="7" t="n">
        <f aca="false">ij*BUTIJ+BUTII</f>
        <v>1727.69580716975</v>
      </c>
      <c r="V42" s="7" t="n">
        <f aca="false">Revenue-Cost</f>
        <v>108.6672252563</v>
      </c>
      <c r="W42" s="7" t="n">
        <f aca="false">(2*ij*BRIJ)+(2)*jj*BRJJ</f>
        <v>288.482688745218</v>
      </c>
      <c r="X42" s="9" t="n">
        <f aca="false">2*(ij*BCCIJ)+(2*jj*BCCJJ)+BCS+jj*BCPTJJ+2*(ij*BCPTIJ)+BCPTII+BCk</f>
        <v>179.815463488918</v>
      </c>
    </row>
    <row r="43" customFormat="false" ht="13" hidden="false" customHeight="false" outlineLevel="0" collapsed="false">
      <c r="A43" s="2" t="n">
        <f aca="false">A42+0.1</f>
        <v>4</v>
      </c>
      <c r="B43" s="2" t="n">
        <v>0</v>
      </c>
      <c r="C43" s="2" t="n">
        <v>10</v>
      </c>
      <c r="D43" s="2" t="n">
        <v>0</v>
      </c>
      <c r="E43" s="2" t="n">
        <f aca="false">Size-a</f>
        <v>10</v>
      </c>
      <c r="F43" s="10" t="n">
        <f aca="false">(EXP(alpha*(Tau+OldTau+zeta-2*a*psi))*((EXP(alpha*a*psi)-EXP(alpha*b*psi))^2))/((EXP(alpha*a*psi)-EXP(alpha*(2*OldTau+b*psi)))*(alpha^2)*(psi^2))</f>
        <v>0.184844104200832</v>
      </c>
      <c r="G43" s="10" t="n">
        <f aca="false">(EXP(alpha*(zeta+(2*b-a)*psi))*(-1+EXP(alpha*(-1)*Size*psi))*(EXP(alpha*(2*(Tau+OldTau)+a*psi))-EXP(alpha*(2*(Tau+OldTau)+b*psi))))/(((EXP(alpha*a*psi)-EXP(alpha*(2*OldTau+b*psi)))^2)*(alpha^2)*(psi^2))</f>
        <v>0.000972383746755783</v>
      </c>
      <c r="H43" s="7" t="n">
        <f aca="false">-Beta/alpha</f>
        <v>180</v>
      </c>
      <c r="I43" s="7" t="n">
        <f aca="false">(-EXP(alpha*zeta)*Beta*(-1+EXP(alpha*Size*psi)-Size*alpha*psi))/((alpha^3)*(psi^2))</f>
        <v>1690.92462806846</v>
      </c>
      <c r="J43" s="7" t="n">
        <f aca="false">Beta*Theta</f>
        <v>14.4</v>
      </c>
      <c r="K43" s="7" t="n">
        <f aca="false">Beta*Theta</f>
        <v>14.4</v>
      </c>
      <c r="L43" s="7" t="n">
        <f aca="false">kappa</f>
        <v>90</v>
      </c>
      <c r="M43" s="7" t="n">
        <f aca="false">Gamma*Size</f>
        <v>0</v>
      </c>
      <c r="N43" s="7" t="n">
        <f aca="false">Size*Beta*Phi</f>
        <v>32.4</v>
      </c>
      <c r="O43" s="7" t="n">
        <f aca="false">-(EXP(alpha*a*psi)+EXP(alpha*b*psi)*(-1+Size*psi*alpha))*(Beta*Phi)/((alpha*psi)*(EXP(alpha*a*psi)-EXP(alpha*b*psi)))</f>
        <v>12.2941718960407</v>
      </c>
      <c r="P43" s="7" t="n">
        <f aca="false">(EXP(alpha*(zeta-a*psi))*Beta*Phi*(-EXP(alpha*a*psi)*(-2+(-1)*Size*alpha*psi)+EXP(alpha*b*psi)*(-2+Size*alpha*psi)))/((alpha^3)*(psi^3))</f>
        <v>78.836375998096</v>
      </c>
      <c r="Q43" s="7" t="n">
        <f aca="false">Tau*Beta</f>
        <v>720</v>
      </c>
      <c r="R43" s="7" t="n">
        <f aca="false">Tau*Beta</f>
        <v>720</v>
      </c>
      <c r="S43" s="11" t="n">
        <f aca="false">Tau</f>
        <v>4</v>
      </c>
      <c r="T43" s="7" t="n">
        <f aca="false">Profit+Utility</f>
        <v>1813.00790300272</v>
      </c>
      <c r="U43" s="7" t="n">
        <f aca="false">ij*BUTIJ+BUTII</f>
        <v>1724.19656682461</v>
      </c>
      <c r="V43" s="7" t="n">
        <f aca="false">Revenue-Cost</f>
        <v>88.8113361781158</v>
      </c>
      <c r="W43" s="7" t="n">
        <f aca="false">(2*ij*BRIJ)+(2)*jj*BRJJ</f>
        <v>267.575742644527</v>
      </c>
      <c r="X43" s="9" t="n">
        <f aca="false">2*(ij*BCCIJ)+(2*jj*BCCJJ)+BCS+jj*BCPTJJ+2*(ij*BCPTIJ)+BCPTII+BCk</f>
        <v>178.764406466411</v>
      </c>
    </row>
    <row r="44" customFormat="false" ht="13" hidden="false" customHeight="false" outlineLevel="0" collapsed="false">
      <c r="A44" s="2" t="n">
        <f aca="false">A43+0.1</f>
        <v>4.1</v>
      </c>
      <c r="B44" s="2" t="n">
        <v>0</v>
      </c>
      <c r="C44" s="2" t="n">
        <v>10</v>
      </c>
      <c r="D44" s="2" t="n">
        <v>0</v>
      </c>
      <c r="E44" s="2" t="n">
        <f aca="false">Size-a</f>
        <v>10</v>
      </c>
      <c r="F44" s="10" t="n">
        <f aca="false">(EXP(alpha*(Tau+OldTau+zeta-2*a*psi))*((EXP(alpha*a*psi)-EXP(alpha*b*psi))^2))/((EXP(alpha*a*psi)-EXP(alpha*(2*OldTau+b*psi)))*(alpha^2)*(psi^2))</f>
        <v>0.167253861984251</v>
      </c>
      <c r="G44" s="10" t="n">
        <f aca="false">(EXP(alpha*(zeta+(2*b-a)*psi))*(-1+EXP(alpha*(-1)*Size*psi))*(EXP(alpha*(2*(Tau+OldTau)+a*psi))-EXP(alpha*(2*(Tau+OldTau)+b*psi))))/(((EXP(alpha*a*psi)-EXP(alpha*(2*OldTau+b*psi)))^2)*(alpha^2)*(psi^2))</f>
        <v>0.000796120477262152</v>
      </c>
      <c r="H44" s="7" t="n">
        <f aca="false">-Beta/alpha</f>
        <v>180</v>
      </c>
      <c r="I44" s="7" t="n">
        <f aca="false">(-EXP(alpha*zeta)*Beta*(-1+EXP(alpha*Size*psi)-Size*alpha*psi))/((alpha^3)*(psi^2))</f>
        <v>1690.92462806846</v>
      </c>
      <c r="J44" s="7" t="n">
        <f aca="false">Beta*Theta</f>
        <v>14.4</v>
      </c>
      <c r="K44" s="7" t="n">
        <f aca="false">Beta*Theta</f>
        <v>14.4</v>
      </c>
      <c r="L44" s="7" t="n">
        <f aca="false">kappa</f>
        <v>90</v>
      </c>
      <c r="M44" s="7" t="n">
        <f aca="false">Gamma*Size</f>
        <v>0</v>
      </c>
      <c r="N44" s="7" t="n">
        <f aca="false">Size*Beta*Phi</f>
        <v>32.4</v>
      </c>
      <c r="O44" s="7" t="n">
        <f aca="false">-(EXP(alpha*a*psi)+EXP(alpha*b*psi)*(-1+Size*psi*alpha))*(Beta*Phi)/((alpha*psi)*(EXP(alpha*a*psi)-EXP(alpha*b*psi)))</f>
        <v>12.2941718960407</v>
      </c>
      <c r="P44" s="7" t="n">
        <f aca="false">(EXP(alpha*(zeta-a*psi))*Beta*Phi*(-EXP(alpha*a*psi)*(-2+(-1)*Size*alpha*psi)+EXP(alpha*b*psi)*(-2+Size*alpha*psi)))/((alpha^3)*(psi^3))</f>
        <v>78.836375998096</v>
      </c>
      <c r="Q44" s="7" t="n">
        <f aca="false">Tau*Beta</f>
        <v>738</v>
      </c>
      <c r="R44" s="7" t="n">
        <f aca="false">Tau*Beta</f>
        <v>738</v>
      </c>
      <c r="S44" s="11" t="n">
        <f aca="false">Tau</f>
        <v>4.1</v>
      </c>
      <c r="T44" s="7" t="n">
        <f aca="false">Profit+Utility</f>
        <v>1791.25759208334</v>
      </c>
      <c r="U44" s="7" t="n">
        <f aca="false">ij*BUTIJ+BUTII</f>
        <v>1721.03032322562</v>
      </c>
      <c r="V44" s="7" t="n">
        <f aca="false">Revenue-Cost</f>
        <v>70.2272688577203</v>
      </c>
      <c r="W44" s="7" t="n">
        <f aca="false">(2*ij*BRIJ)+(2)*jj*BRJJ</f>
        <v>248.041774113193</v>
      </c>
      <c r="X44" s="9" t="n">
        <f aca="false">2*(ij*BCCIJ)+(2*jj*BCCJJ)+BCS+jj*BCPTJJ+2*(ij*BCPTIJ)+BCPTII+BCk</f>
        <v>177.814505255473</v>
      </c>
    </row>
    <row r="45" customFormat="false" ht="13" hidden="false" customHeight="false" outlineLevel="0" collapsed="false">
      <c r="A45" s="2" t="n">
        <f aca="false">A44+0.1</f>
        <v>4.2</v>
      </c>
      <c r="B45" s="2" t="n">
        <v>0</v>
      </c>
      <c r="C45" s="2" t="n">
        <v>10</v>
      </c>
      <c r="D45" s="2" t="n">
        <v>0</v>
      </c>
      <c r="E45" s="2" t="n">
        <f aca="false">Size-a</f>
        <v>10</v>
      </c>
      <c r="F45" s="10" t="n">
        <f aca="false">(EXP(alpha*(Tau+OldTau+zeta-2*a*psi))*((EXP(alpha*a*psi)-EXP(alpha*b*psi))^2))/((EXP(alpha*a*psi)-EXP(alpha*(2*OldTau+b*psi)))*(alpha^2)*(psi^2))</f>
        <v>0.151337552634372</v>
      </c>
      <c r="G45" s="10" t="n">
        <f aca="false">(EXP(alpha*(zeta+(2*b-a)*psi))*(-1+EXP(alpha*(-1)*Size*psi))*(EXP(alpha*(2*(Tau+OldTau)+a*psi))-EXP(alpha*(2*(Tau+OldTau)+b*psi))))/(((EXP(alpha*a*psi)-EXP(alpha*(2*OldTau+b*psi)))^2)*(alpha^2)*(psi^2))</f>
        <v>0.000651808317889644</v>
      </c>
      <c r="H45" s="7" t="n">
        <f aca="false">-Beta/alpha</f>
        <v>180</v>
      </c>
      <c r="I45" s="7" t="n">
        <f aca="false">(-EXP(alpha*zeta)*Beta*(-1+EXP(alpha*Size*psi)-Size*alpha*psi))/((alpha^3)*(psi^2))</f>
        <v>1690.92462806846</v>
      </c>
      <c r="J45" s="7" t="n">
        <f aca="false">Beta*Theta</f>
        <v>14.4</v>
      </c>
      <c r="K45" s="7" t="n">
        <f aca="false">Beta*Theta</f>
        <v>14.4</v>
      </c>
      <c r="L45" s="7" t="n">
        <f aca="false">kappa</f>
        <v>90</v>
      </c>
      <c r="M45" s="7" t="n">
        <f aca="false">Gamma*Size</f>
        <v>0</v>
      </c>
      <c r="N45" s="7" t="n">
        <f aca="false">Size*Beta*Phi</f>
        <v>32.4</v>
      </c>
      <c r="O45" s="7" t="n">
        <f aca="false">-(EXP(alpha*a*psi)+EXP(alpha*b*psi)*(-1+Size*psi*alpha))*(Beta*Phi)/((alpha*psi)*(EXP(alpha*a*psi)-EXP(alpha*b*psi)))</f>
        <v>12.2941718960407</v>
      </c>
      <c r="P45" s="7" t="n">
        <f aca="false">(EXP(alpha*(zeta-a*psi))*Beta*Phi*(-EXP(alpha*a*psi)*(-2+(-1)*Size*alpha*psi)+EXP(alpha*b*psi)*(-2+Size*alpha*psi)))/((alpha^3)*(psi^3))</f>
        <v>78.836375998096</v>
      </c>
      <c r="Q45" s="7" t="n">
        <f aca="false">Tau*Beta</f>
        <v>756</v>
      </c>
      <c r="R45" s="7" t="n">
        <f aca="false">Tau*Beta</f>
        <v>756</v>
      </c>
      <c r="S45" s="11" t="n">
        <f aca="false">Tau</f>
        <v>4.2</v>
      </c>
      <c r="T45" s="7" t="n">
        <f aca="false">Profit+Utility</f>
        <v>1771.01737334662</v>
      </c>
      <c r="U45" s="7" t="n">
        <f aca="false">ij*BUTIJ+BUTII</f>
        <v>1718.16538754264</v>
      </c>
      <c r="V45" s="7" t="n">
        <f aca="false">Revenue-Cost</f>
        <v>52.8519858039732</v>
      </c>
      <c r="W45" s="7" t="n">
        <f aca="false">(2*ij*BRIJ)+(2)*jj*BRJJ</f>
        <v>229.80791375982</v>
      </c>
      <c r="X45" s="9" t="n">
        <f aca="false">2*(ij*BCCIJ)+(2*jj*BCCJJ)+BCS+jj*BCPTJJ+2*(ij*BCPTIJ)+BCPTII+BCk</f>
        <v>176.955927955847</v>
      </c>
    </row>
    <row r="46" customFormat="false" ht="13" hidden="false" customHeight="false" outlineLevel="0" collapsed="false">
      <c r="A46" s="2" t="n">
        <f aca="false">A45+0.1</f>
        <v>4.3</v>
      </c>
      <c r="B46" s="2" t="n">
        <v>0</v>
      </c>
      <c r="C46" s="2" t="n">
        <v>10</v>
      </c>
      <c r="D46" s="2" t="n">
        <v>0</v>
      </c>
      <c r="E46" s="2" t="n">
        <f aca="false">Size-a</f>
        <v>10</v>
      </c>
      <c r="F46" s="10" t="n">
        <f aca="false">(EXP(alpha*(Tau+OldTau+zeta-2*a*psi))*((EXP(alpha*a*psi)-EXP(alpha*b*psi))^2))/((EXP(alpha*a*psi)-EXP(alpha*(2*OldTau+b*psi)))*(alpha^2)*(psi^2))</f>
        <v>0.136935880377567</v>
      </c>
      <c r="G46" s="10" t="n">
        <f aca="false">(EXP(alpha*(zeta+(2*b-a)*psi))*(-1+EXP(alpha*(-1)*Size*psi))*(EXP(alpha*(2*(Tau+OldTau)+a*psi))-EXP(alpha*(2*(Tau+OldTau)+b*psi))))/(((EXP(alpha*a*psi)-EXP(alpha*(2*OldTau+b*psi)))^2)*(alpha^2)*(psi^2))</f>
        <v>0.000533655514968282</v>
      </c>
      <c r="H46" s="7" t="n">
        <f aca="false">-Beta/alpha</f>
        <v>180</v>
      </c>
      <c r="I46" s="7" t="n">
        <f aca="false">(-EXP(alpha*zeta)*Beta*(-1+EXP(alpha*Size*psi)-Size*alpha*psi))/((alpha^3)*(psi^2))</f>
        <v>1690.92462806846</v>
      </c>
      <c r="J46" s="7" t="n">
        <f aca="false">Beta*Theta</f>
        <v>14.4</v>
      </c>
      <c r="K46" s="7" t="n">
        <f aca="false">Beta*Theta</f>
        <v>14.4</v>
      </c>
      <c r="L46" s="7" t="n">
        <f aca="false">kappa</f>
        <v>90</v>
      </c>
      <c r="M46" s="7" t="n">
        <f aca="false">Gamma*Size</f>
        <v>0</v>
      </c>
      <c r="N46" s="7" t="n">
        <f aca="false">Size*Beta*Phi</f>
        <v>32.4</v>
      </c>
      <c r="O46" s="7" t="n">
        <f aca="false">-(EXP(alpha*a*psi)+EXP(alpha*b*psi)*(-1+Size*psi*alpha))*(Beta*Phi)/((alpha*psi)*(EXP(alpha*a*psi)-EXP(alpha*b*psi)))</f>
        <v>12.2941718960407</v>
      </c>
      <c r="P46" s="7" t="n">
        <f aca="false">(EXP(alpha*(zeta-a*psi))*Beta*Phi*(-EXP(alpha*a*psi)*(-2+(-1)*Size*alpha*psi)+EXP(alpha*b*psi)*(-2+Size*alpha*psi)))/((alpha^3)*(psi^3))</f>
        <v>78.836375998096</v>
      </c>
      <c r="Q46" s="7" t="n">
        <f aca="false">Tau*Beta</f>
        <v>774</v>
      </c>
      <c r="R46" s="7" t="n">
        <f aca="false">Tau*Beta</f>
        <v>774</v>
      </c>
      <c r="S46" s="11" t="n">
        <f aca="false">Tau</f>
        <v>4.3</v>
      </c>
      <c r="T46" s="7" t="n">
        <f aca="false">Profit+Utility</f>
        <v>1752.19611252338</v>
      </c>
      <c r="U46" s="7" t="n">
        <f aca="false">ij*BUTIJ+BUTII</f>
        <v>1715.57308653642</v>
      </c>
      <c r="V46" s="7" t="n">
        <f aca="false">Revenue-Cost</f>
        <v>36.6230259869631</v>
      </c>
      <c r="W46" s="7" t="n">
        <f aca="false">(2*ij*BRIJ)+(2)*jj*BRJJ</f>
        <v>212.802841561644</v>
      </c>
      <c r="X46" s="9" t="n">
        <f aca="false">2*(ij*BCCIJ)+(2*jj*BCCJJ)+BCS+jj*BCPTJJ+2*(ij*BCPTIJ)+BCPTII+BCk</f>
        <v>176.179815574681</v>
      </c>
    </row>
    <row r="47" customFormat="false" ht="13" hidden="false" customHeight="false" outlineLevel="0" collapsed="false">
      <c r="A47" s="2" t="n">
        <f aca="false">A46+0.1</f>
        <v>4.4</v>
      </c>
      <c r="B47" s="2" t="n">
        <v>0</v>
      </c>
      <c r="C47" s="2" t="n">
        <v>10</v>
      </c>
      <c r="D47" s="2" t="n">
        <v>0</v>
      </c>
      <c r="E47" s="2" t="n">
        <f aca="false">Size-a</f>
        <v>10</v>
      </c>
      <c r="F47" s="10" t="n">
        <f aca="false">(EXP(alpha*(Tau+OldTau+zeta-2*a*psi))*((EXP(alpha*a*psi)-EXP(alpha*b*psi))^2))/((EXP(alpha*a*psi)-EXP(alpha*(2*OldTau+b*psi)))*(alpha^2)*(psi^2))</f>
        <v>0.123904708437318</v>
      </c>
      <c r="G47" s="10" t="n">
        <f aca="false">(EXP(alpha*(zeta+(2*b-a)*psi))*(-1+EXP(alpha*(-1)*Size*psi))*(EXP(alpha*(2*(Tau+OldTau)+a*psi))-EXP(alpha*(2*(Tau+OldTau)+b*psi))))/(((EXP(alpha*a*psi)-EXP(alpha*(2*OldTau+b*psi)))^2)*(alpha^2)*(psi^2))</f>
        <v>0.0004369201816542</v>
      </c>
      <c r="H47" s="7" t="n">
        <f aca="false">-Beta/alpha</f>
        <v>180</v>
      </c>
      <c r="I47" s="7" t="n">
        <f aca="false">(-EXP(alpha*zeta)*Beta*(-1+EXP(alpha*Size*psi)-Size*alpha*psi))/((alpha^3)*(psi^2))</f>
        <v>1690.92462806846</v>
      </c>
      <c r="J47" s="7" t="n">
        <f aca="false">Beta*Theta</f>
        <v>14.4</v>
      </c>
      <c r="K47" s="7" t="n">
        <f aca="false">Beta*Theta</f>
        <v>14.4</v>
      </c>
      <c r="L47" s="7" t="n">
        <f aca="false">kappa</f>
        <v>90</v>
      </c>
      <c r="M47" s="7" t="n">
        <f aca="false">Gamma*Size</f>
        <v>0</v>
      </c>
      <c r="N47" s="7" t="n">
        <f aca="false">Size*Beta*Phi</f>
        <v>32.4</v>
      </c>
      <c r="O47" s="7" t="n">
        <f aca="false">-(EXP(alpha*a*psi)+EXP(alpha*b*psi)*(-1+Size*psi*alpha))*(Beta*Phi)/((alpha*psi)*(EXP(alpha*a*psi)-EXP(alpha*b*psi)))</f>
        <v>12.2941718960407</v>
      </c>
      <c r="P47" s="7" t="n">
        <f aca="false">(EXP(alpha*(zeta-a*psi))*Beta*Phi*(-EXP(alpha*a*psi)*(-2+(-1)*Size*alpha*psi)+EXP(alpha*b*psi)*(-2+Size*alpha*psi)))/((alpha^3)*(psi^3))</f>
        <v>78.836375998096</v>
      </c>
      <c r="Q47" s="7" t="n">
        <f aca="false">Tau*Beta</f>
        <v>792</v>
      </c>
      <c r="R47" s="7" t="n">
        <f aca="false">Tau*Beta</f>
        <v>792</v>
      </c>
      <c r="S47" s="11" t="n">
        <f aca="false">Tau</f>
        <v>4.4</v>
      </c>
      <c r="T47" s="7" t="n">
        <f aca="false">Profit+Utility</f>
        <v>1734.70643263491</v>
      </c>
      <c r="U47" s="7" t="n">
        <f aca="false">ij*BUTIJ+BUTII</f>
        <v>1713.22747558718</v>
      </c>
      <c r="V47" s="7" t="n">
        <f aca="false">Revenue-Cost</f>
        <v>21.4789570477303</v>
      </c>
      <c r="W47" s="7" t="n">
        <f aca="false">(2*ij*BRIJ)+(2)*jj*BRJJ</f>
        <v>196.957139732453</v>
      </c>
      <c r="X47" s="9" t="n">
        <f aca="false">2*(ij*BCCIJ)+(2*jj*BCCJJ)+BCS+jj*BCPTJJ+2*(ij*BCPTIJ)+BCPTII+BCk</f>
        <v>175.478182684722</v>
      </c>
    </row>
    <row r="48" customFormat="false" ht="13" hidden="false" customHeight="false" outlineLevel="0" collapsed="false">
      <c r="A48" s="2" t="n">
        <f aca="false">A47+0.1</f>
        <v>4.5</v>
      </c>
      <c r="B48" s="2" t="n">
        <v>0</v>
      </c>
      <c r="C48" s="2" t="n">
        <v>10</v>
      </c>
      <c r="D48" s="2" t="n">
        <v>0</v>
      </c>
      <c r="E48" s="2" t="n">
        <f aca="false">Size-a</f>
        <v>10</v>
      </c>
      <c r="F48" s="10" t="n">
        <f aca="false">(EXP(alpha*(Tau+OldTau+zeta-2*a*psi))*((EXP(alpha*a*psi)-EXP(alpha*b*psi))^2))/((EXP(alpha*a*psi)-EXP(alpha*(2*OldTau+b*psi)))*(alpha^2)*(psi^2))</f>
        <v>0.112113616464922</v>
      </c>
      <c r="G48" s="10" t="n">
        <f aca="false">(EXP(alpha*(zeta+(2*b-a)*psi))*(-1+EXP(alpha*(-1)*Size*psi))*(EXP(alpha*(2*(Tau+OldTau)+a*psi))-EXP(alpha*(2*(Tau+OldTau)+b*psi))))/(((EXP(alpha*a*psi)-EXP(alpha*(2*OldTau+b*psi)))^2)*(alpha^2)*(psi^2))</f>
        <v>0.000357719989360712</v>
      </c>
      <c r="H48" s="7" t="n">
        <f aca="false">-Beta/alpha</f>
        <v>180</v>
      </c>
      <c r="I48" s="7" t="n">
        <f aca="false">(-EXP(alpha*zeta)*Beta*(-1+EXP(alpha*Size*psi)-Size*alpha*psi))/((alpha^3)*(psi^2))</f>
        <v>1690.92462806846</v>
      </c>
      <c r="J48" s="7" t="n">
        <f aca="false">Beta*Theta</f>
        <v>14.4</v>
      </c>
      <c r="K48" s="7" t="n">
        <f aca="false">Beta*Theta</f>
        <v>14.4</v>
      </c>
      <c r="L48" s="7" t="n">
        <f aca="false">kappa</f>
        <v>90</v>
      </c>
      <c r="M48" s="7" t="n">
        <f aca="false">Gamma*Size</f>
        <v>0</v>
      </c>
      <c r="N48" s="7" t="n">
        <f aca="false">Size*Beta*Phi</f>
        <v>32.4</v>
      </c>
      <c r="O48" s="7" t="n">
        <f aca="false">-(EXP(alpha*a*psi)+EXP(alpha*b*psi)*(-1+Size*psi*alpha))*(Beta*Phi)/((alpha*psi)*(EXP(alpha*a*psi)-EXP(alpha*b*psi)))</f>
        <v>12.2941718960407</v>
      </c>
      <c r="P48" s="7" t="n">
        <f aca="false">(EXP(alpha*(zeta-a*psi))*Beta*Phi*(-EXP(alpha*a*psi)*(-2+(-1)*Size*alpha*psi)+EXP(alpha*b*psi)*(-2+Size*alpha*psi)))/((alpha^3)*(psi^3))</f>
        <v>78.836375998096</v>
      </c>
      <c r="Q48" s="7" t="n">
        <f aca="false">Tau*Beta</f>
        <v>810</v>
      </c>
      <c r="R48" s="7" t="n">
        <f aca="false">Tau*Beta</f>
        <v>810</v>
      </c>
      <c r="S48" s="11" t="n">
        <f aca="false">Tau</f>
        <v>4.5</v>
      </c>
      <c r="T48" s="7" t="n">
        <f aca="false">Profit+Utility</f>
        <v>1718.46481532703</v>
      </c>
      <c r="U48" s="7" t="n">
        <f aca="false">ij*BUTIJ+BUTII</f>
        <v>1711.10507903214</v>
      </c>
      <c r="V48" s="7" t="n">
        <f aca="false">Revenue-Cost</f>
        <v>7.35973629488976</v>
      </c>
      <c r="W48" s="7" t="n">
        <f aca="false">(2*ij*BRIJ)+(2)*jj*BRJJ</f>
        <v>182.203565055937</v>
      </c>
      <c r="X48" s="9" t="n">
        <f aca="false">2*(ij*BCCIJ)+(2*jj*BCCJJ)+BCS+jj*BCPTJJ+2*(ij*BCPTIJ)+BCPTII+BCk</f>
        <v>174.843828761048</v>
      </c>
    </row>
    <row r="49" customFormat="false" ht="13" hidden="false" customHeight="false" outlineLevel="0" collapsed="false">
      <c r="A49" s="2" t="n">
        <f aca="false">A48+0.1</f>
        <v>4.6</v>
      </c>
      <c r="B49" s="2" t="n">
        <v>0</v>
      </c>
      <c r="C49" s="2" t="n">
        <v>10</v>
      </c>
      <c r="D49" s="2" t="n">
        <v>0</v>
      </c>
      <c r="E49" s="2" t="n">
        <f aca="false">Size-a</f>
        <v>10</v>
      </c>
      <c r="F49" s="10" t="n">
        <f aca="false">(EXP(alpha*(Tau+OldTau+zeta-2*a*psi))*((EXP(alpha*a*psi)-EXP(alpha*b*psi))^2))/((EXP(alpha*a*psi)-EXP(alpha*(2*OldTau+b*psi)))*(alpha^2)*(psi^2))</f>
        <v>0.101444595248794</v>
      </c>
      <c r="G49" s="10" t="n">
        <f aca="false">(EXP(alpha*(zeta+(2*b-a)*psi))*(-1+EXP(alpha*(-1)*Size*psi))*(EXP(alpha*(2*(Tau+OldTau)+a*psi))-EXP(alpha*(2*(Tau+OldTau)+b*psi))))/(((EXP(alpha*a*psi)-EXP(alpha*(2*OldTau+b*psi)))^2)*(alpha^2)*(psi^2))</f>
        <v>0.000292876356280343</v>
      </c>
      <c r="H49" s="7" t="n">
        <f aca="false">-Beta/alpha</f>
        <v>180</v>
      </c>
      <c r="I49" s="7" t="n">
        <f aca="false">(-EXP(alpha*zeta)*Beta*(-1+EXP(alpha*Size*psi)-Size*alpha*psi))/((alpha^3)*(psi^2))</f>
        <v>1690.92462806846</v>
      </c>
      <c r="J49" s="7" t="n">
        <f aca="false">Beta*Theta</f>
        <v>14.4</v>
      </c>
      <c r="K49" s="7" t="n">
        <f aca="false">Beta*Theta</f>
        <v>14.4</v>
      </c>
      <c r="L49" s="7" t="n">
        <f aca="false">kappa</f>
        <v>90</v>
      </c>
      <c r="M49" s="7" t="n">
        <f aca="false">Gamma*Size</f>
        <v>0</v>
      </c>
      <c r="N49" s="7" t="n">
        <f aca="false">Size*Beta*Phi</f>
        <v>32.4</v>
      </c>
      <c r="O49" s="7" t="n">
        <f aca="false">-(EXP(alpha*a*psi)+EXP(alpha*b*psi)*(-1+Size*psi*alpha))*(Beta*Phi)/((alpha*psi)*(EXP(alpha*a*psi)-EXP(alpha*b*psi)))</f>
        <v>12.2941718960407</v>
      </c>
      <c r="P49" s="7" t="n">
        <f aca="false">(EXP(alpha*(zeta-a*psi))*Beta*Phi*(-EXP(alpha*a*psi)*(-2+(-1)*Size*alpha*psi)+EXP(alpha*b*psi)*(-2+Size*alpha*psi)))/((alpha^3)*(psi^3))</f>
        <v>78.836375998096</v>
      </c>
      <c r="Q49" s="7" t="n">
        <f aca="false">Tau*Beta</f>
        <v>828</v>
      </c>
      <c r="R49" s="7" t="n">
        <f aca="false">Tau*Beta</f>
        <v>828</v>
      </c>
      <c r="S49" s="11" t="n">
        <f aca="false">Tau</f>
        <v>4.6</v>
      </c>
      <c r="T49" s="7" t="n">
        <f aca="false">Profit+Utility</f>
        <v>1703.39164923315</v>
      </c>
      <c r="U49" s="7" t="n">
        <f aca="false">ij*BUTIJ+BUTII</f>
        <v>1709.18465521324</v>
      </c>
      <c r="V49" s="7" t="n">
        <f aca="false">Revenue-Cost</f>
        <v>-5.79300598008908</v>
      </c>
      <c r="W49" s="7" t="n">
        <f aca="false">(2*ij*BRIJ)+(2)*jj*BRJJ</f>
        <v>168.477252978002</v>
      </c>
      <c r="X49" s="9" t="n">
        <f aca="false">2*(ij*BCCIJ)+(2*jj*BCCJJ)+BCS+jj*BCPTJJ+2*(ij*BCPTIJ)+BCPTII+BCk</f>
        <v>174.270258958091</v>
      </c>
    </row>
    <row r="50" customFormat="false" ht="13" hidden="false" customHeight="false" outlineLevel="0" collapsed="false">
      <c r="A50" s="2" t="n">
        <f aca="false">A49+0.1</f>
        <v>4.7</v>
      </c>
      <c r="B50" s="2" t="n">
        <v>0</v>
      </c>
      <c r="C50" s="2" t="n">
        <v>10</v>
      </c>
      <c r="D50" s="2" t="n">
        <v>0</v>
      </c>
      <c r="E50" s="2" t="n">
        <f aca="false">Size-a</f>
        <v>10</v>
      </c>
      <c r="F50" s="10" t="n">
        <f aca="false">(EXP(alpha*(Tau+OldTau+zeta-2*a*psi))*((EXP(alpha*a*psi)-EXP(alpha*b*psi))^2))/((EXP(alpha*a*psi)-EXP(alpha*(2*OldTau+b*psi)))*(alpha^2)*(psi^2))</f>
        <v>0.0917908656386214</v>
      </c>
      <c r="G50" s="10" t="n">
        <f aca="false">(EXP(alpha*(zeta+(2*b-a)*psi))*(-1+EXP(alpha*(-1)*Size*psi))*(EXP(alpha*(2*(Tau+OldTau)+a*psi))-EXP(alpha*(2*(Tau+OldTau)+b*psi))))/(((EXP(alpha*a*psi)-EXP(alpha*(2*OldTau+b*psi)))^2)*(alpha^2)*(psi^2))</f>
        <v>0.000239786879736141</v>
      </c>
      <c r="H50" s="7" t="n">
        <f aca="false">-Beta/alpha</f>
        <v>180</v>
      </c>
      <c r="I50" s="7" t="n">
        <f aca="false">(-EXP(alpha*zeta)*Beta*(-1+EXP(alpha*Size*psi)-Size*alpha*psi))/((alpha^3)*(psi^2))</f>
        <v>1690.92462806846</v>
      </c>
      <c r="J50" s="7" t="n">
        <f aca="false">Beta*Theta</f>
        <v>14.4</v>
      </c>
      <c r="K50" s="7" t="n">
        <f aca="false">Beta*Theta</f>
        <v>14.4</v>
      </c>
      <c r="L50" s="7" t="n">
        <f aca="false">kappa</f>
        <v>90</v>
      </c>
      <c r="M50" s="7" t="n">
        <f aca="false">Gamma*Size</f>
        <v>0</v>
      </c>
      <c r="N50" s="7" t="n">
        <f aca="false">Size*Beta*Phi</f>
        <v>32.4</v>
      </c>
      <c r="O50" s="7" t="n">
        <f aca="false">-(EXP(alpha*a*psi)+EXP(alpha*b*psi)*(-1+Size*psi*alpha))*(Beta*Phi)/((alpha*psi)*(EXP(alpha*a*psi)-EXP(alpha*b*psi)))</f>
        <v>12.2941718960407</v>
      </c>
      <c r="P50" s="7" t="n">
        <f aca="false">(EXP(alpha*(zeta-a*psi))*Beta*Phi*(-EXP(alpha*a*psi)*(-2+(-1)*Size*alpha*psi)+EXP(alpha*b*psi)*(-2+Size*alpha*psi)))/((alpha^3)*(psi^3))</f>
        <v>78.836375998096</v>
      </c>
      <c r="Q50" s="7" t="n">
        <f aca="false">Tau*Beta</f>
        <v>846</v>
      </c>
      <c r="R50" s="7" t="n">
        <f aca="false">Tau*Beta</f>
        <v>846</v>
      </c>
      <c r="S50" s="11" t="n">
        <f aca="false">Tau</f>
        <v>4.7</v>
      </c>
      <c r="T50" s="7" t="n">
        <f aca="false">Profit+Utility</f>
        <v>1689.41123469765</v>
      </c>
      <c r="U50" s="7" t="n">
        <f aca="false">ij*BUTIJ+BUTII</f>
        <v>1707.44698388341</v>
      </c>
      <c r="V50" s="7" t="n">
        <f aca="false">Revenue-Cost</f>
        <v>-18.0357491857624</v>
      </c>
      <c r="W50" s="7" t="n">
        <f aca="false">(2*ij*BRIJ)+(2)*jj*BRJJ</f>
        <v>155.715864061061</v>
      </c>
      <c r="X50" s="9" t="n">
        <f aca="false">2*(ij*BCCIJ)+(2*jj*BCCJJ)+BCS+jj*BCPTJJ+2*(ij*BCPTIJ)+BCPTII+BCk</f>
        <v>173.751613246823</v>
      </c>
    </row>
    <row r="51" customFormat="false" ht="13" hidden="false" customHeight="false" outlineLevel="0" collapsed="false">
      <c r="A51" s="2" t="n">
        <f aca="false">A50+0.1</f>
        <v>4.8</v>
      </c>
      <c r="B51" s="2" t="n">
        <v>0</v>
      </c>
      <c r="C51" s="2" t="n">
        <v>10</v>
      </c>
      <c r="D51" s="2" t="n">
        <v>0</v>
      </c>
      <c r="E51" s="2" t="n">
        <f aca="false">Size-a</f>
        <v>10</v>
      </c>
      <c r="F51" s="10" t="n">
        <f aca="false">(EXP(alpha*(Tau+OldTau+zeta-2*a*psi))*((EXP(alpha*a*psi)-EXP(alpha*b*psi))^2))/((EXP(alpha*a*psi)-EXP(alpha*(2*OldTau+b*psi)))*(alpha^2)*(psi^2))</f>
        <v>0.0830558098637358</v>
      </c>
      <c r="G51" s="10" t="n">
        <f aca="false">(EXP(alpha*(zeta+(2*b-a)*psi))*(-1+EXP(alpha*(-1)*Size*psi))*(EXP(alpha*(2*(Tau+OldTau)+a*psi))-EXP(alpha*(2*(Tau+OldTau)+b*psi))))/(((EXP(alpha*a*psi)-EXP(alpha*(2*OldTau+b*psi)))^2)*(alpha^2)*(psi^2))</f>
        <v>0.00019632089262459</v>
      </c>
      <c r="H51" s="7" t="n">
        <f aca="false">-Beta/alpha</f>
        <v>180</v>
      </c>
      <c r="I51" s="7" t="n">
        <f aca="false">(-EXP(alpha*zeta)*Beta*(-1+EXP(alpha*Size*psi)-Size*alpha*psi))/((alpha^3)*(psi^2))</f>
        <v>1690.92462806846</v>
      </c>
      <c r="J51" s="7" t="n">
        <f aca="false">Beta*Theta</f>
        <v>14.4</v>
      </c>
      <c r="K51" s="7" t="n">
        <f aca="false">Beta*Theta</f>
        <v>14.4</v>
      </c>
      <c r="L51" s="7" t="n">
        <f aca="false">kappa</f>
        <v>90</v>
      </c>
      <c r="M51" s="7" t="n">
        <f aca="false">Gamma*Size</f>
        <v>0</v>
      </c>
      <c r="N51" s="7" t="n">
        <f aca="false">Size*Beta*Phi</f>
        <v>32.4</v>
      </c>
      <c r="O51" s="7" t="n">
        <f aca="false">-(EXP(alpha*a*psi)+EXP(alpha*b*psi)*(-1+Size*psi*alpha))*(Beta*Phi)/((alpha*psi)*(EXP(alpha*a*psi)-EXP(alpha*b*psi)))</f>
        <v>12.2941718960407</v>
      </c>
      <c r="P51" s="7" t="n">
        <f aca="false">(EXP(alpha*(zeta-a*psi))*Beta*Phi*(-EXP(alpha*a*psi)*(-2+(-1)*Size*alpha*psi)+EXP(alpha*b*psi)*(-2+Size*alpha*psi)))/((alpha^3)*(psi^3))</f>
        <v>78.836375998096</v>
      </c>
      <c r="Q51" s="7" t="n">
        <f aca="false">Tau*Beta</f>
        <v>864</v>
      </c>
      <c r="R51" s="7" t="n">
        <f aca="false">Tau*Beta</f>
        <v>864</v>
      </c>
      <c r="S51" s="11" t="n">
        <f aca="false">Tau</f>
        <v>4.8</v>
      </c>
      <c r="T51" s="7" t="n">
        <f aca="false">Profit+Utility</f>
        <v>1676.45175282326</v>
      </c>
      <c r="U51" s="7" t="n">
        <f aca="false">ij*BUTIJ+BUTII</f>
        <v>1705.87467384393</v>
      </c>
      <c r="V51" s="7" t="n">
        <f aca="false">Revenue-Cost</f>
        <v>-29.4229210206686</v>
      </c>
      <c r="W51" s="7" t="n">
        <f aca="false">(2*ij*BRIJ)+(2)*jj*BRJJ</f>
        <v>143.859681946991</v>
      </c>
      <c r="X51" s="9" t="n">
        <f aca="false">2*(ij*BCCIJ)+(2*jj*BCCJJ)+BCS+jj*BCPTJJ+2*(ij*BCPTIJ)+BCPTII+BCk</f>
        <v>173.282602967659</v>
      </c>
    </row>
    <row r="52" customFormat="false" ht="13" hidden="false" customHeight="false" outlineLevel="0" collapsed="false">
      <c r="F52" s="2"/>
    </row>
    <row r="53" customFormat="false" ht="13" hidden="false" customHeight="false" outlineLevel="0" collapsed="false">
      <c r="F53" s="2"/>
    </row>
    <row r="54" customFormat="false" ht="13" hidden="false" customHeight="false" outlineLevel="0" collapsed="false">
      <c r="F5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4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Y4" activeCellId="0" sqref="Y4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4.71"/>
    <col collapsed="false" customWidth="true" hidden="false" outlineLevel="0" max="2" min="2" style="2" width="5.56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3.99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257" min="10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</row>
    <row r="2" customFormat="false" ht="13" hidden="false" customHeight="false" outlineLevel="0" collapsed="false">
      <c r="A2" s="4" t="n">
        <v>0</v>
      </c>
      <c r="B2" s="2" t="n">
        <v>0.6</v>
      </c>
      <c r="C2" s="4" t="n">
        <v>10</v>
      </c>
      <c r="D2" s="4" t="n">
        <v>0</v>
      </c>
      <c r="E2" s="4" t="n">
        <f aca="false">Size-a</f>
        <v>10</v>
      </c>
      <c r="F2" s="5" t="n">
        <f aca="false">(EXP(alpha*(Tau+OldTau+zeta-2*a*psi))*((EXP(alpha*a*psi)-EXP(alpha*b*psi))^2))/((EXP(alpha*a*psi)-EXP(alpha*(2*OldTau+b*psi)))*(alpha^2)*(psi^2))</f>
        <v>4.61284786868631</v>
      </c>
      <c r="G2" s="5" t="n">
        <f aca="false">(EXP(alpha*(zeta+(2*b-a)*psi))*(-1+EXP(alpha*(-1)*Size*psi))*(EXP(alpha*(2*(Tau+OldTau)+a*psi))-EXP(alpha*(2*(Tau+OldTau)+b*psi))))/(((EXP(alpha*a*psi)-EXP(alpha*(2*OldTau+b*psi)))^2)*(alpha^2)*(psi^2))</f>
        <v>0.60557055363054</v>
      </c>
      <c r="H2" s="6" t="n">
        <f aca="false">-Beta/alpha</f>
        <v>180</v>
      </c>
      <c r="I2" s="6" t="n">
        <f aca="false">(-EXP(alpha*zeta)*Beta*(-1+EXP(alpha*Size*psi)-Size*alpha*psi))/((alpha^3)*(psi^2))</f>
        <v>1690.92462806846</v>
      </c>
      <c r="J2" s="6" t="n">
        <f aca="false">Beta*Theta</f>
        <v>14.4</v>
      </c>
      <c r="K2" s="6" t="n">
        <f aca="false">Beta*Theta</f>
        <v>14.4</v>
      </c>
      <c r="L2" s="6" t="n">
        <f aca="false">kappa</f>
        <v>90</v>
      </c>
      <c r="M2" s="6" t="n">
        <f aca="false">Gamma*Size</f>
        <v>0</v>
      </c>
      <c r="N2" s="6" t="n">
        <f aca="false">Size*Beta*Phi</f>
        <v>32.4</v>
      </c>
      <c r="O2" s="7" t="n">
        <f aca="false">-(EXP(alpha*a*psi)+EXP(alpha*b*psi)*(-1+Size*psi*alpha))*(Beta*Phi)/((alpha*psi)*(EXP(alpha*a*psi)-EXP(alpha*b*psi)))</f>
        <v>12.2941718960407</v>
      </c>
      <c r="P2" s="6" t="n">
        <f aca="false">(EXP(alpha*(zeta-a*psi))*Beta*Phi*(-EXP(alpha*a*psi)*(-2+(-1)*Size*alpha*psi)+EXP(alpha*b*psi)*(-2+Size*alpha*psi)))/((alpha^3)*(psi^3))</f>
        <v>78.836375998096</v>
      </c>
      <c r="Q2" s="6" t="n">
        <f aca="false">Tau*Beta</f>
        <v>0</v>
      </c>
      <c r="R2" s="6" t="n">
        <f aca="false">Tau*Beta</f>
        <v>0</v>
      </c>
      <c r="S2" s="8" t="n">
        <f aca="false">Tau</f>
        <v>0</v>
      </c>
      <c r="T2" s="6" t="n">
        <f aca="false">Profit+Utility</f>
        <v>2309.35809324044</v>
      </c>
      <c r="U2" s="6" t="n">
        <f aca="false">ij*BUTIJ+BUTII</f>
        <v>2521.23724443199</v>
      </c>
      <c r="V2" s="6" t="n">
        <f aca="false">Revenue-Cost</f>
        <v>-211.879151191554</v>
      </c>
      <c r="W2" s="6" t="n">
        <f aca="false">(2*ij*BRIJ)+(2)*jj*BRJJ</f>
        <v>0</v>
      </c>
      <c r="X2" s="6" t="n">
        <f aca="false">BCS+jj*BCPTJJ+2*(ij*BCPTIJ)+BCPTII</f>
        <v>211.879151191554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3" hidden="false" customHeight="false" outlineLevel="0" collapsed="false">
      <c r="A3" s="4" t="n">
        <v>0</v>
      </c>
      <c r="B3" s="2" t="n">
        <v>0.6</v>
      </c>
      <c r="C3" s="4" t="n">
        <v>10</v>
      </c>
      <c r="D3" s="4" t="n">
        <v>0</v>
      </c>
      <c r="E3" s="4" t="n">
        <f aca="false">Size-a</f>
        <v>10</v>
      </c>
      <c r="F3" s="5" t="n">
        <f aca="false">(EXP(alpha*(Tau+OldTau+zeta-2*a*psi))*((EXP(alpha*a*psi)-EXP(alpha*b*psi))^2))/((EXP(alpha*a*psi)-EXP(alpha*(2*OldTau+b*psi)))*(alpha^2)*(psi^2))</f>
        <v>4.61284786868631</v>
      </c>
      <c r="G3" s="5" t="n">
        <f aca="false">(EXP(alpha*(zeta+(2*b-a)*psi))*(-1+EXP(alpha*(-1)*Size*psi))*(EXP(alpha*(2*(Tau+OldTau)+a*psi))-EXP(alpha*(2*(Tau+OldTau)+b*psi))))/(((EXP(alpha*a*psi)-EXP(alpha*(2*OldTau+b*psi)))^2)*(alpha^2)*(psi^2))</f>
        <v>0.60557055363054</v>
      </c>
      <c r="H3" s="6" t="n">
        <f aca="false">-Beta/alpha</f>
        <v>180</v>
      </c>
      <c r="I3" s="6" t="n">
        <f aca="false">(-EXP(alpha*zeta)*Beta*(-1+EXP(alpha*Size*psi)-Size*alpha*psi))/((alpha^3)*(psi^2))</f>
        <v>1690.92462806846</v>
      </c>
      <c r="J3" s="6" t="n">
        <f aca="false">Beta*Theta</f>
        <v>14.4</v>
      </c>
      <c r="K3" s="6" t="n">
        <f aca="false">Beta*Theta</f>
        <v>14.4</v>
      </c>
      <c r="L3" s="6" t="n">
        <f aca="false">kappa</f>
        <v>90</v>
      </c>
      <c r="M3" s="6" t="n">
        <f aca="false">Gamma*Size</f>
        <v>0</v>
      </c>
      <c r="N3" s="6" t="n">
        <f aca="false">Size*Beta*Phi</f>
        <v>32.4</v>
      </c>
      <c r="O3" s="7" t="n">
        <f aca="false">-(EXP(alpha*a*psi)+EXP(alpha*b*psi)*(-1+Size*psi*alpha))*(Beta*Phi)/((alpha*psi)*(EXP(alpha*a*psi)-EXP(alpha*b*psi)))</f>
        <v>12.2941718960407</v>
      </c>
      <c r="P3" s="6" t="n">
        <f aca="false">(EXP(alpha*(zeta-a*psi))*Beta*Phi*(-EXP(alpha*a*psi)*(-2+(-1)*Size*alpha*psi)+EXP(alpha*b*psi)*(-2+Size*alpha*psi)))/((alpha^3)*(psi^3))</f>
        <v>78.836375998096</v>
      </c>
      <c r="Q3" s="6" t="n">
        <f aca="false">Tau*Beta</f>
        <v>0</v>
      </c>
      <c r="R3" s="6" t="n">
        <f aca="false">Tau*Beta</f>
        <v>0</v>
      </c>
      <c r="S3" s="8" t="n">
        <f aca="false">Tau</f>
        <v>0</v>
      </c>
      <c r="T3" s="6" t="n">
        <f aca="false">Profit+Utility</f>
        <v>2069.06764267771</v>
      </c>
      <c r="U3" s="6" t="n">
        <f aca="false">ij*BUTIJ+BUTII</f>
        <v>2521.23724443199</v>
      </c>
      <c r="V3" s="6" t="n">
        <f aca="false">Revenue-Cost</f>
        <v>-452.169601754279</v>
      </c>
      <c r="W3" s="6" t="n">
        <f aca="false">(2*ij*BRIJ)+(2)*jj*BRJJ</f>
        <v>0</v>
      </c>
      <c r="X3" s="9" t="n">
        <f aca="false">2*(ij*BCCIJ)+(2*jj*BCCJJ)+BCS+jj*BCPTJJ+2*(ij*BCPTIJ)+BCPTII+BCk</f>
        <v>452.169601754279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customFormat="false" ht="13" hidden="false" customHeight="false" outlineLevel="0" collapsed="false">
      <c r="A4" s="2" t="n">
        <f aca="false">A2+0.1</f>
        <v>0.1</v>
      </c>
      <c r="B4" s="2" t="n">
        <v>0.6</v>
      </c>
      <c r="C4" s="2" t="n">
        <v>10</v>
      </c>
      <c r="D4" s="2" t="n">
        <v>0</v>
      </c>
      <c r="E4" s="2" t="n">
        <f aca="false">Size-a</f>
        <v>10</v>
      </c>
      <c r="F4" s="10" t="n">
        <f aca="false">(EXP(alpha*(Tau+OldTau+zeta-2*a*psi))*((EXP(alpha*a*psi)-EXP(alpha*b*psi))^2))/((EXP(alpha*a*psi)-EXP(alpha*(2*OldTau+b*psi)))*(alpha^2)*(psi^2))</f>
        <v>4.1738773552948</v>
      </c>
      <c r="G4" s="10" t="n">
        <f aca="false">(EXP(alpha*(zeta+(2*b-a)*psi))*(-1+EXP(alpha*(-1)*Size*psi))*(EXP(alpha*(2*(Tau+OldTau)+a*psi))-EXP(alpha*(2*(Tau+OldTau)+b*psi))))/(((EXP(alpha*a*psi)-EXP(alpha*(2*OldTau+b*psi)))^2)*(alpha^2)*(psi^2))</f>
        <v>0.495799235415782</v>
      </c>
      <c r="H4" s="7" t="n">
        <f aca="false">-Beta/alpha</f>
        <v>180</v>
      </c>
      <c r="I4" s="7" t="n">
        <f aca="false">(-EXP(alpha*zeta)*Beta*(-1+EXP(alpha*Size*psi)-Size*alpha*psi))/((alpha^3)*(psi^2))</f>
        <v>1690.92462806846</v>
      </c>
      <c r="J4" s="7" t="n">
        <f aca="false">Beta*Theta</f>
        <v>14.4</v>
      </c>
      <c r="K4" s="7" t="n">
        <f aca="false">Beta*Theta</f>
        <v>14.4</v>
      </c>
      <c r="L4" s="7" t="n">
        <f aca="false">kappa</f>
        <v>90</v>
      </c>
      <c r="M4" s="7" t="n">
        <f aca="false">Gamma*Size</f>
        <v>0</v>
      </c>
      <c r="N4" s="7" t="n">
        <f aca="false">Size*Beta*Phi</f>
        <v>32.4</v>
      </c>
      <c r="O4" s="7" t="n">
        <f aca="false">-(EXP(alpha*a*psi)+EXP(alpha*b*psi)*(-1+Size*psi*alpha))*(Beta*Phi)/((alpha*psi)*(EXP(alpha*a*psi)-EXP(alpha*b*psi)))</f>
        <v>12.2941718960407</v>
      </c>
      <c r="P4" s="7" t="n">
        <f aca="false">(EXP(alpha*(zeta-a*psi))*Beta*Phi*(-EXP(alpha*a*psi)*(-2+(-1)*Size*alpha*psi)+EXP(alpha*b*psi)*(-2+Size*alpha*psi)))/((alpha^3)*(psi^3))</f>
        <v>78.836375998096</v>
      </c>
      <c r="Q4" s="7" t="n">
        <f aca="false">Tau*Beta</f>
        <v>18</v>
      </c>
      <c r="R4" s="7" t="n">
        <f aca="false">Tau*Beta</f>
        <v>18</v>
      </c>
      <c r="S4" s="11" t="n">
        <f aca="false">Tau</f>
        <v>0.1</v>
      </c>
      <c r="T4" s="7" t="n">
        <f aca="false">Profit+Utility</f>
        <v>2188.3152208911</v>
      </c>
      <c r="U4" s="7" t="n">
        <f aca="false">ij*BUTIJ+BUTII</f>
        <v>2442.22255202152</v>
      </c>
      <c r="V4" s="7" t="n">
        <f aca="false">Revenue-Cost</f>
        <v>-253.907331130423</v>
      </c>
      <c r="W4" s="7" t="n">
        <f aca="false">(2*ij*BRIJ)+(2)*jj*BRJJ</f>
        <v>168.108357265581</v>
      </c>
      <c r="X4" s="9" t="n">
        <f aca="false">2*(ij*BCCIJ)+(2*jj*BCCJJ)+BCS+jj*BCPTJJ+2*(ij*BCPTIJ)+BCPTII+BCk</f>
        <v>422.015688396004</v>
      </c>
    </row>
    <row r="5" customFormat="false" ht="13" hidden="false" customHeight="false" outlineLevel="0" collapsed="false">
      <c r="A5" s="2" t="n">
        <f aca="false">A4+0.1</f>
        <v>0.2</v>
      </c>
      <c r="B5" s="2" t="n">
        <v>0.6</v>
      </c>
      <c r="C5" s="2" t="n">
        <v>10</v>
      </c>
      <c r="D5" s="2" t="n">
        <v>0</v>
      </c>
      <c r="E5" s="2" t="n">
        <f aca="false">Size-a</f>
        <v>10</v>
      </c>
      <c r="F5" s="10" t="n">
        <f aca="false">(EXP(alpha*(Tau+OldTau+zeta-2*a*psi))*((EXP(alpha*a*psi)-EXP(alpha*b*psi))^2))/((EXP(alpha*a*psi)-EXP(alpha*(2*OldTau+b*psi)))*(alpha^2)*(psi^2))</f>
        <v>3.77668040936371</v>
      </c>
      <c r="G5" s="10" t="n">
        <f aca="false">(EXP(alpha*(zeta+(2*b-a)*psi))*(-1+EXP(alpha*(-1)*Size*psi))*(EXP(alpha*(2*(Tau+OldTau)+a*psi))-EXP(alpha*(2*(Tau+OldTau)+b*psi))))/(((EXP(alpha*a*psi)-EXP(alpha*(2*OldTau+b*psi)))^2)*(alpha^2)*(psi^2))</f>
        <v>0.405926081387451</v>
      </c>
      <c r="H5" s="7" t="n">
        <f aca="false">-Beta/alpha</f>
        <v>180</v>
      </c>
      <c r="I5" s="7" t="n">
        <f aca="false">(-EXP(alpha*zeta)*Beta*(-1+EXP(alpha*Size*psi)-Size*alpha*psi))/((alpha^3)*(psi^2))</f>
        <v>1690.92462806846</v>
      </c>
      <c r="J5" s="7" t="n">
        <f aca="false">Beta*Theta</f>
        <v>14.4</v>
      </c>
      <c r="K5" s="7" t="n">
        <f aca="false">Beta*Theta</f>
        <v>14.4</v>
      </c>
      <c r="L5" s="7" t="n">
        <f aca="false">kappa</f>
        <v>90</v>
      </c>
      <c r="M5" s="7" t="n">
        <f aca="false">Gamma*Size</f>
        <v>0</v>
      </c>
      <c r="N5" s="7" t="n">
        <f aca="false">Size*Beta*Phi</f>
        <v>32.4</v>
      </c>
      <c r="O5" s="7" t="n">
        <f aca="false">-(EXP(alpha*a*psi)+EXP(alpha*b*psi)*(-1+Size*psi*alpha))*(Beta*Phi)/((alpha*psi)*(EXP(alpha*a*psi)-EXP(alpha*b*psi)))</f>
        <v>12.2941718960407</v>
      </c>
      <c r="P5" s="7" t="n">
        <f aca="false">(EXP(alpha*(zeta-a*psi))*Beta*Phi*(-EXP(alpha*a*psi)*(-2+(-1)*Size*alpha*psi)+EXP(alpha*b*psi)*(-2+Size*alpha*psi)))/((alpha^3)*(psi^3))</f>
        <v>78.836375998096</v>
      </c>
      <c r="Q5" s="7" t="n">
        <f aca="false">Tau*Beta</f>
        <v>36</v>
      </c>
      <c r="R5" s="7" t="n">
        <f aca="false">Tau*Beta</f>
        <v>36</v>
      </c>
      <c r="S5" s="11" t="n">
        <f aca="false">Tau</f>
        <v>0.2</v>
      </c>
      <c r="T5" s="7" t="n">
        <f aca="false">Profit+Utility</f>
        <v>2276.56500482107</v>
      </c>
      <c r="U5" s="7" t="n">
        <f aca="false">ij*BUTIJ+BUTII</f>
        <v>2370.72710175393</v>
      </c>
      <c r="V5" s="7" t="n">
        <f aca="false">Revenue-Cost</f>
        <v>-94.1620969328527</v>
      </c>
      <c r="W5" s="7" t="n">
        <f aca="false">(2*ij*BRIJ)+(2)*jj*BRJJ</f>
        <v>301.147667334083</v>
      </c>
      <c r="X5" s="9" t="n">
        <f aca="false">2*(ij*BCCIJ)+(2*jj*BCCJJ)+BCS+jj*BCPTJJ+2*(ij*BCPTIJ)+BCPTII+BCk</f>
        <v>395.309764266936</v>
      </c>
    </row>
    <row r="6" customFormat="false" ht="13" hidden="false" customHeight="false" outlineLevel="0" collapsed="false">
      <c r="A6" s="2" t="n">
        <f aca="false">A5+0.1</f>
        <v>0.3</v>
      </c>
      <c r="B6" s="2" t="n">
        <v>0.6</v>
      </c>
      <c r="C6" s="2" t="n">
        <v>10</v>
      </c>
      <c r="D6" s="2" t="n">
        <v>0</v>
      </c>
      <c r="E6" s="2" t="n">
        <f aca="false">Size-a</f>
        <v>10</v>
      </c>
      <c r="F6" s="10" t="n">
        <f aca="false">(EXP(alpha*(Tau+OldTau+zeta-2*a*psi))*((EXP(alpha*a*psi)-EXP(alpha*b*psi))^2))/((EXP(alpha*a*psi)-EXP(alpha*(2*OldTau+b*psi)))*(alpha^2)*(psi^2))</f>
        <v>3.41728175035565</v>
      </c>
      <c r="G6" s="10" t="n">
        <f aca="false">(EXP(alpha*(zeta+(2*b-a)*psi))*(-1+EXP(alpha*(-1)*Size*psi))*(EXP(alpha*(2*(Tau+OldTau)+a*psi))-EXP(alpha*(2*(Tau+OldTau)+b*psi))))/(((EXP(alpha*a*psi)-EXP(alpha*(2*OldTau+b*psi)))^2)*(alpha^2)*(psi^2))</f>
        <v>0.332344166308342</v>
      </c>
      <c r="H6" s="7" t="n">
        <f aca="false">-Beta/alpha</f>
        <v>180</v>
      </c>
      <c r="I6" s="7" t="n">
        <f aca="false">(-EXP(alpha*zeta)*Beta*(-1+EXP(alpha*Size*psi)-Size*alpha*psi))/((alpha^3)*(psi^2))</f>
        <v>1690.92462806846</v>
      </c>
      <c r="J6" s="7" t="n">
        <f aca="false">Beta*Theta</f>
        <v>14.4</v>
      </c>
      <c r="K6" s="7" t="n">
        <f aca="false">Beta*Theta</f>
        <v>14.4</v>
      </c>
      <c r="L6" s="7" t="n">
        <f aca="false">kappa</f>
        <v>90</v>
      </c>
      <c r="M6" s="7" t="n">
        <f aca="false">Gamma*Size</f>
        <v>0</v>
      </c>
      <c r="N6" s="7" t="n">
        <f aca="false">Size*Beta*Phi</f>
        <v>32.4</v>
      </c>
      <c r="O6" s="7" t="n">
        <f aca="false">-(EXP(alpha*a*psi)+EXP(alpha*b*psi)*(-1+Size*psi*alpha))*(Beta*Phi)/((alpha*psi)*(EXP(alpha*a*psi)-EXP(alpha*b*psi)))</f>
        <v>12.2941718960407</v>
      </c>
      <c r="P6" s="7" t="n">
        <f aca="false">(EXP(alpha*(zeta-a*psi))*Beta*Phi*(-EXP(alpha*a*psi)*(-2+(-1)*Size*alpha*psi)+EXP(alpha*b*psi)*(-2+Size*alpha*psi)))/((alpha^3)*(psi^3))</f>
        <v>78.836375998096</v>
      </c>
      <c r="Q6" s="7" t="n">
        <f aca="false">Tau*Beta</f>
        <v>54</v>
      </c>
      <c r="R6" s="7" t="n">
        <f aca="false">Tau*Beta</f>
        <v>54</v>
      </c>
      <c r="S6" s="11" t="n">
        <f aca="false">Tau</f>
        <v>0.3</v>
      </c>
      <c r="T6" s="7" t="n">
        <f aca="false">Profit+Utility</f>
        <v>2339.37609023363</v>
      </c>
      <c r="U6" s="7" t="n">
        <f aca="false">ij*BUTIJ+BUTII</f>
        <v>2306.03534313247</v>
      </c>
      <c r="V6" s="7" t="n">
        <f aca="false">Revenue-Cost</f>
        <v>33.3407471011517</v>
      </c>
      <c r="W6" s="7" t="n">
        <f aca="false">(2*ij*BRIJ)+(2)*jj*BRJJ</f>
        <v>404.959598999711</v>
      </c>
      <c r="X6" s="9" t="n">
        <f aca="false">2*(ij*BCCIJ)+(2*jj*BCCJJ)+BCS+jj*BCPTJJ+2*(ij*BCPTIJ)+BCPTII+BCk</f>
        <v>371.618851898559</v>
      </c>
    </row>
    <row r="7" customFormat="false" ht="13" hidden="false" customHeight="false" outlineLevel="0" collapsed="false">
      <c r="A7" s="2" t="n">
        <f aca="false">A6+0.1</f>
        <v>0.4</v>
      </c>
      <c r="B7" s="2" t="n">
        <v>0.6</v>
      </c>
      <c r="C7" s="2" t="n">
        <v>10</v>
      </c>
      <c r="D7" s="2" t="n">
        <v>0</v>
      </c>
      <c r="E7" s="2" t="n">
        <f aca="false">Size-a</f>
        <v>10</v>
      </c>
      <c r="F7" s="10" t="n">
        <f aca="false">(EXP(alpha*(Tau+OldTau+zeta-2*a*psi))*((EXP(alpha*a*psi)-EXP(alpha*b*psi))^2))/((EXP(alpha*a*psi)-EXP(alpha*(2*OldTau+b*psi)))*(alpha^2)*(psi^2))</f>
        <v>3.09208439569321</v>
      </c>
      <c r="G7" s="10" t="n">
        <f aca="false">(EXP(alpha*(zeta+(2*b-a)*psi))*(-1+EXP(alpha*(-1)*Size*psi))*(EXP(alpha*(2*(Tau+OldTau)+a*psi))-EXP(alpha*(2*(Tau+OldTau)+b*psi))))/(((EXP(alpha*a*psi)-EXP(alpha*(2*OldTau+b*psi)))^2)*(alpha^2)*(psi^2))</f>
        <v>0.272100389562703</v>
      </c>
      <c r="H7" s="7" t="n">
        <f aca="false">-Beta/alpha</f>
        <v>180</v>
      </c>
      <c r="I7" s="7" t="n">
        <f aca="false">(-EXP(alpha*zeta)*Beta*(-1+EXP(alpha*Size*psi)-Size*alpha*psi))/((alpha^3)*(psi^2))</f>
        <v>1690.92462806846</v>
      </c>
      <c r="J7" s="7" t="n">
        <f aca="false">Beta*Theta</f>
        <v>14.4</v>
      </c>
      <c r="K7" s="7" t="n">
        <f aca="false">Beta*Theta</f>
        <v>14.4</v>
      </c>
      <c r="L7" s="7" t="n">
        <f aca="false">kappa</f>
        <v>90</v>
      </c>
      <c r="M7" s="7" t="n">
        <f aca="false">Gamma*Size</f>
        <v>0</v>
      </c>
      <c r="N7" s="7" t="n">
        <f aca="false">Size*Beta*Phi</f>
        <v>32.4</v>
      </c>
      <c r="O7" s="7" t="n">
        <f aca="false">-(EXP(alpha*a*psi)+EXP(alpha*b*psi)*(-1+Size*psi*alpha))*(Beta*Phi)/((alpha*psi)*(EXP(alpha*a*psi)-EXP(alpha*b*psi)))</f>
        <v>12.2941718960407</v>
      </c>
      <c r="P7" s="7" t="n">
        <f aca="false">(EXP(alpha*(zeta-a*psi))*Beta*Phi*(-EXP(alpha*a*psi)*(-2+(-1)*Size*alpha*psi)+EXP(alpha*b*psi)*(-2+Size*alpha*psi)))/((alpha^3)*(psi^3))</f>
        <v>78.836375998096</v>
      </c>
      <c r="Q7" s="7" t="n">
        <f aca="false">Tau*Beta</f>
        <v>72</v>
      </c>
      <c r="R7" s="7" t="n">
        <f aca="false">Tau*Beta</f>
        <v>72</v>
      </c>
      <c r="S7" s="11" t="n">
        <f aca="false">Tau</f>
        <v>0.4</v>
      </c>
      <c r="T7" s="7" t="n">
        <f aca="false">Profit+Utility</f>
        <v>2381.37224377935</v>
      </c>
      <c r="U7" s="7" t="n">
        <f aca="false">ij*BUTIJ+BUTII</f>
        <v>2247.49981929324</v>
      </c>
      <c r="V7" s="7" t="n">
        <f aca="false">Revenue-Cost</f>
        <v>133.872424486119</v>
      </c>
      <c r="W7" s="7" t="n">
        <f aca="false">(2*ij*BRIJ)+(2)*jj*BRJJ</f>
        <v>484.442609076851</v>
      </c>
      <c r="X7" s="9" t="n">
        <f aca="false">2*(ij*BCCIJ)+(2*jj*BCCJJ)+BCS+jj*BCPTJJ+2*(ij*BCPTIJ)+BCPTII+BCk</f>
        <v>350.570184590733</v>
      </c>
    </row>
    <row r="8" customFormat="false" ht="13" hidden="false" customHeight="false" outlineLevel="0" collapsed="false">
      <c r="A8" s="2" t="n">
        <f aca="false">A7+0.1</f>
        <v>0.5</v>
      </c>
      <c r="B8" s="2" t="n">
        <v>0.6</v>
      </c>
      <c r="C8" s="2" t="n">
        <v>10</v>
      </c>
      <c r="D8" s="2" t="n">
        <v>0</v>
      </c>
      <c r="E8" s="2" t="n">
        <f aca="false">Size-a</f>
        <v>10</v>
      </c>
      <c r="F8" s="10" t="n">
        <f aca="false">(EXP(alpha*(Tau+OldTau+zeta-2*a*psi))*((EXP(alpha*a*psi)-EXP(alpha*b*psi))^2))/((EXP(alpha*a*psi)-EXP(alpha*(2*OldTau+b*psi)))*(alpha^2)*(psi^2))</f>
        <v>2.79783366094832</v>
      </c>
      <c r="G8" s="10" t="n">
        <f aca="false">(EXP(alpha*(zeta+(2*b-a)*psi))*(-1+EXP(alpha*(-1)*Size*psi))*(EXP(alpha*(2*(Tau+OldTau)+a*psi))-EXP(alpha*(2*(Tau+OldTau)+b*psi))))/(((EXP(alpha*a*psi)-EXP(alpha*(2*OldTau+b*psi)))^2)*(alpha^2)*(psi^2))</f>
        <v>0.222776956859484</v>
      </c>
      <c r="H8" s="7" t="n">
        <f aca="false">-Beta/alpha</f>
        <v>180</v>
      </c>
      <c r="I8" s="7" t="n">
        <f aca="false">(-EXP(alpha*zeta)*Beta*(-1+EXP(alpha*Size*psi)-Size*alpha*psi))/((alpha^3)*(psi^2))</f>
        <v>1690.92462806846</v>
      </c>
      <c r="J8" s="7" t="n">
        <f aca="false">Beta*Theta</f>
        <v>14.4</v>
      </c>
      <c r="K8" s="7" t="n">
        <f aca="false">Beta*Theta</f>
        <v>14.4</v>
      </c>
      <c r="L8" s="7" t="n">
        <f aca="false">kappa</f>
        <v>90</v>
      </c>
      <c r="M8" s="7" t="n">
        <f aca="false">Gamma*Size</f>
        <v>0</v>
      </c>
      <c r="N8" s="7" t="n">
        <f aca="false">Size*Beta*Phi</f>
        <v>32.4</v>
      </c>
      <c r="O8" s="7" t="n">
        <f aca="false">-(EXP(alpha*a*psi)+EXP(alpha*b*psi)*(-1+Size*psi*alpha))*(Beta*Phi)/((alpha*psi)*(EXP(alpha*a*psi)-EXP(alpha*b*psi)))</f>
        <v>12.2941718960407</v>
      </c>
      <c r="P8" s="7" t="n">
        <f aca="false">(EXP(alpha*(zeta-a*psi))*Beta*Phi*(-EXP(alpha*a*psi)*(-2+(-1)*Size*alpha*psi)+EXP(alpha*b*psi)*(-2+Size*alpha*psi)))/((alpha^3)*(psi^3))</f>
        <v>78.836375998096</v>
      </c>
      <c r="Q8" s="7" t="n">
        <f aca="false">Tau*Beta</f>
        <v>90</v>
      </c>
      <c r="R8" s="7" t="n">
        <f aca="false">Tau*Beta</f>
        <v>90</v>
      </c>
      <c r="S8" s="11" t="n">
        <f aca="false">Tau</f>
        <v>0.5</v>
      </c>
      <c r="T8" s="7" t="n">
        <f aca="false">Profit+Utility</f>
        <v>2406.4025671229</v>
      </c>
      <c r="U8" s="7" t="n">
        <f aca="false">ij*BUTIJ+BUTII</f>
        <v>2194.53468703916</v>
      </c>
      <c r="V8" s="7" t="n">
        <f aca="false">Revenue-Cost</f>
        <v>211.867880083742</v>
      </c>
      <c r="W8" s="7" t="n">
        <f aca="false">(2*ij*BRIJ)+(2)*jj*BRJJ</f>
        <v>543.709911205405</v>
      </c>
      <c r="X8" s="9" t="n">
        <f aca="false">2*(ij*BCCIJ)+(2*jj*BCCJJ)+BCS+jj*BCPTJJ+2*(ij*BCPTIJ)+BCPTII+BCk</f>
        <v>331.842031121663</v>
      </c>
    </row>
    <row r="9" customFormat="false" ht="13" hidden="false" customHeight="false" outlineLevel="0" collapsed="false">
      <c r="A9" s="4" t="n">
        <f aca="false">A8+0.1</f>
        <v>0.6</v>
      </c>
      <c r="B9" s="2" t="n">
        <v>0.6</v>
      </c>
      <c r="C9" s="4" t="n">
        <v>10</v>
      </c>
      <c r="D9" s="4" t="n">
        <v>0</v>
      </c>
      <c r="E9" s="4" t="n">
        <f aca="false">Size-a</f>
        <v>10</v>
      </c>
      <c r="F9" s="5" t="n">
        <f aca="false">(EXP(alpha*(Tau+OldTau+zeta-2*a*psi))*((EXP(alpha*a*psi)-EXP(alpha*b*psi))^2))/((EXP(alpha*a*psi)-EXP(alpha*(2*OldTau+b*psi)))*(alpha^2)*(psi^2))</f>
        <v>2.53158458586658</v>
      </c>
      <c r="G9" s="5" t="n">
        <f aca="false">(EXP(alpha*(zeta+(2*b-a)*psi))*(-1+EXP(alpha*(-1)*Size*psi))*(EXP(alpha*(2*(Tau+OldTau)+a*psi))-EXP(alpha*(2*(Tau+OldTau)+b*psi))))/(((EXP(alpha*a*psi)-EXP(alpha*(2*OldTau+b*psi)))^2)*(alpha^2)*(psi^2))</f>
        <v>0.182394345657986</v>
      </c>
      <c r="H9" s="6" t="n">
        <f aca="false">-Beta/alpha</f>
        <v>180</v>
      </c>
      <c r="I9" s="6" t="n">
        <f aca="false">(-EXP(alpha*zeta)*Beta*(-1+EXP(alpha*Size*psi)-Size*alpha*psi))/((alpha^3)*(psi^2))</f>
        <v>1690.92462806846</v>
      </c>
      <c r="J9" s="6" t="n">
        <f aca="false">Beta*Theta</f>
        <v>14.4</v>
      </c>
      <c r="K9" s="6" t="n">
        <f aca="false">Beta*Theta</f>
        <v>14.4</v>
      </c>
      <c r="L9" s="6" t="n">
        <f aca="false">kappa</f>
        <v>90</v>
      </c>
      <c r="M9" s="6" t="n">
        <f aca="false">Gamma*Size</f>
        <v>0</v>
      </c>
      <c r="N9" s="6" t="n">
        <f aca="false">Size*Beta*Phi</f>
        <v>32.4</v>
      </c>
      <c r="O9" s="6" t="n">
        <f aca="false">-(EXP(alpha*a*psi)+EXP(alpha*b*psi)*(-1+Size*psi*alpha))*(Beta*Phi)/((alpha*psi)*(EXP(alpha*a*psi)-EXP(alpha*b*psi)))</f>
        <v>12.2941718960407</v>
      </c>
      <c r="P9" s="6" t="n">
        <f aca="false">(EXP(alpha*(zeta-a*psi))*Beta*Phi*(-EXP(alpha*a*psi)*(-2+(-1)*Size*alpha*psi)+EXP(alpha*b*psi)*(-2+Size*alpha*psi)))/((alpha^3)*(psi^3))</f>
        <v>78.836375998096</v>
      </c>
      <c r="Q9" s="6" t="n">
        <f aca="false">Tau*Beta</f>
        <v>108</v>
      </c>
      <c r="R9" s="6" t="n">
        <f aca="false">Tau*Beta</f>
        <v>108</v>
      </c>
      <c r="S9" s="8" t="n">
        <f aca="false">Tau</f>
        <v>0.6</v>
      </c>
      <c r="T9" s="6" t="n">
        <f aca="false">Profit+Utility</f>
        <v>2417.6732845724</v>
      </c>
      <c r="U9" s="6" t="n">
        <f aca="false">ij*BUTIJ+BUTII</f>
        <v>2146.60985352444</v>
      </c>
      <c r="V9" s="6" t="n">
        <f aca="false">Revenue-Cost</f>
        <v>271.063431047962</v>
      </c>
      <c r="W9" s="6" t="n">
        <f aca="false">(2*ij*BRIJ)+(2)*jj*BRJJ</f>
        <v>586.219449209306</v>
      </c>
      <c r="X9" s="6" t="n">
        <f aca="false">2*(ij*BCCIJ)+(2*jj*BCCJJ)+BCS+jj*BCPTJJ+2*(ij*BCPTIJ)+BCPTII+BCk</f>
        <v>315.156018161343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customFormat="false" ht="13" hidden="false" customHeight="false" outlineLevel="0" collapsed="false">
      <c r="A10" s="2" t="n">
        <f aca="false">A9+0.1</f>
        <v>0.7</v>
      </c>
      <c r="B10" s="2" t="n">
        <v>0.6</v>
      </c>
      <c r="C10" s="2" t="n">
        <v>10</v>
      </c>
      <c r="D10" s="2" t="n">
        <v>0</v>
      </c>
      <c r="E10" s="2" t="n">
        <f aca="false">Size-a</f>
        <v>10</v>
      </c>
      <c r="F10" s="12" t="n">
        <f aca="false">(EXP(alpha*(Tau+OldTau+zeta-2*a*psi))*((EXP(alpha*a*psi)-EXP(alpha*b*psi))^2))/((EXP(alpha*a*psi)-EXP(alpha*(2*OldTau+b*psi)))*(alpha^2)*(psi^2))</f>
        <v>2.29067246021515</v>
      </c>
      <c r="G10" s="12" t="n">
        <f aca="false">(EXP(alpha*(zeta+(2*b-a)*psi))*(-1+EXP(alpha*(-1)*Size*psi))*(EXP(alpha*(2*(Tau+OldTau)+a*psi))-EXP(alpha*(2*(Tau+OldTau)+b*psi))))/(((EXP(alpha*a*psi)-EXP(alpha*(2*OldTau+b*psi)))^2)*(alpha^2)*(psi^2))</f>
        <v>0.149331859977729</v>
      </c>
      <c r="H10" s="9" t="n">
        <f aca="false">-Beta/alpha</f>
        <v>180</v>
      </c>
      <c r="I10" s="9" t="n">
        <f aca="false">(-EXP(alpha*zeta)*Beta*(-1+EXP(alpha*Size*psi)-Size*alpha*psi))/((alpha^3)*(psi^2))</f>
        <v>1690.92462806846</v>
      </c>
      <c r="J10" s="9" t="n">
        <f aca="false">Beta*Theta</f>
        <v>14.4</v>
      </c>
      <c r="K10" s="9" t="n">
        <f aca="false">Beta*Theta</f>
        <v>14.4</v>
      </c>
      <c r="L10" s="9" t="n">
        <f aca="false">kappa</f>
        <v>90</v>
      </c>
      <c r="M10" s="9" t="n">
        <f aca="false">Gamma*Size</f>
        <v>0</v>
      </c>
      <c r="N10" s="9" t="n">
        <f aca="false">Size*Beta*Phi</f>
        <v>32.4</v>
      </c>
      <c r="O10" s="9" t="n">
        <f aca="false">-(EXP(alpha*a*psi)+EXP(alpha*b*psi)*(-1+Size*psi*alpha))*(Beta*Phi)/((alpha*psi)*(EXP(alpha*a*psi)-EXP(alpha*b*psi)))</f>
        <v>12.2941718960407</v>
      </c>
      <c r="P10" s="9" t="n">
        <f aca="false">(EXP(alpha*(zeta-a*psi))*Beta*Phi*(-EXP(alpha*a*psi)*(-2+(-1)*Size*alpha*psi)+EXP(alpha*b*psi)*(-2+Size*alpha*psi)))/((alpha^3)*(psi^3))</f>
        <v>78.836375998096</v>
      </c>
      <c r="Q10" s="9" t="n">
        <f aca="false">Tau*Beta</f>
        <v>126</v>
      </c>
      <c r="R10" s="9" t="n">
        <f aca="false">Tau*Beta</f>
        <v>126</v>
      </c>
      <c r="S10" s="13" t="n">
        <f aca="false">Tau</f>
        <v>0.7</v>
      </c>
      <c r="T10" s="9" t="n">
        <f aca="false">Profit+Utility</f>
        <v>2417.85606494604</v>
      </c>
      <c r="U10" s="9" t="n">
        <f aca="false">ij*BUTIJ+BUTII</f>
        <v>2103.24567090718</v>
      </c>
      <c r="V10" s="9" t="n">
        <f aca="false">Revenue-Cost</f>
        <v>314.610394038853</v>
      </c>
      <c r="W10" s="9" t="n">
        <f aca="false">(2*ij*BRIJ)+(2)*jj*BRJJ</f>
        <v>614.881088688605</v>
      </c>
      <c r="X10" s="9" t="n">
        <f aca="false">2*(ij*BCCIJ)+(2*jj*BCCJJ)+BCS+jj*BCPTJJ+2*(ij*BCPTIJ)+BCPTII+BCk</f>
        <v>300.270694649752</v>
      </c>
    </row>
    <row r="11" customFormat="false" ht="13" hidden="false" customHeight="false" outlineLevel="0" collapsed="false">
      <c r="A11" s="2" t="n">
        <f aca="false">A10+0.1</f>
        <v>0.8</v>
      </c>
      <c r="B11" s="2" t="n">
        <v>0.6</v>
      </c>
      <c r="C11" s="2" t="n">
        <v>10</v>
      </c>
      <c r="D11" s="2" t="n">
        <v>0</v>
      </c>
      <c r="E11" s="2" t="n">
        <f aca="false">Size-a</f>
        <v>10</v>
      </c>
      <c r="F11" s="10" t="n">
        <f aca="false">(EXP(alpha*(Tau+OldTau+zeta-2*a*psi))*((EXP(alpha*a*psi)-EXP(alpha*b*psi))^2))/((EXP(alpha*a*psi)-EXP(alpha*(2*OldTau+b*psi)))*(alpha^2)*(psi^2))</f>
        <v>2.07268615446715</v>
      </c>
      <c r="G11" s="10" t="n">
        <f aca="false">(EXP(alpha*(zeta+(2*b-a)*psi))*(-1+EXP(alpha*(-1)*Size*psi))*(EXP(alpha*(2*(Tau+OldTau)+a*psi))-EXP(alpha*(2*(Tau+OldTau)+b*psi))))/(((EXP(alpha*a*psi)-EXP(alpha*(2*OldTau+b*psi)))^2)*(alpha^2)*(psi^2))</f>
        <v>0.122262586178102</v>
      </c>
      <c r="H11" s="7" t="n">
        <f aca="false">-Beta/alpha</f>
        <v>180</v>
      </c>
      <c r="I11" s="7" t="n">
        <f aca="false">(-EXP(alpha*zeta)*Beta*(-1+EXP(alpha*Size*psi)-Size*alpha*psi))/((alpha^3)*(psi^2))</f>
        <v>1690.92462806846</v>
      </c>
      <c r="J11" s="7" t="n">
        <f aca="false">Beta*Theta</f>
        <v>14.4</v>
      </c>
      <c r="K11" s="7" t="n">
        <f aca="false">Beta*Theta</f>
        <v>14.4</v>
      </c>
      <c r="L11" s="7" t="n">
        <f aca="false">kappa</f>
        <v>90</v>
      </c>
      <c r="M11" s="7" t="n">
        <f aca="false">Gamma*Size</f>
        <v>0</v>
      </c>
      <c r="N11" s="7" t="n">
        <f aca="false">Size*Beta*Phi</f>
        <v>32.4</v>
      </c>
      <c r="O11" s="7" t="n">
        <f aca="false">-(EXP(alpha*a*psi)+EXP(alpha*b*psi)*(-1+Size*psi*alpha))*(Beta*Phi)/((alpha*psi)*(EXP(alpha*a*psi)-EXP(alpha*b*psi)))</f>
        <v>12.2941718960407</v>
      </c>
      <c r="P11" s="7" t="n">
        <f aca="false">(EXP(alpha*(zeta-a*psi))*Beta*Phi*(-EXP(alpha*a*psi)*(-2+(-1)*Size*alpha*psi)+EXP(alpha*b*psi)*(-2+Size*alpha*psi)))/((alpha^3)*(psi^3))</f>
        <v>78.836375998096</v>
      </c>
      <c r="Q11" s="7" t="n">
        <f aca="false">Tau*Beta</f>
        <v>144</v>
      </c>
      <c r="R11" s="7" t="n">
        <f aca="false">Tau*Beta</f>
        <v>144</v>
      </c>
      <c r="S11" s="11" t="n">
        <f aca="false">Tau</f>
        <v>0.8</v>
      </c>
      <c r="T11" s="7" t="n">
        <f aca="false">Profit+Utility</f>
        <v>2409.1772459184</v>
      </c>
      <c r="U11" s="7" t="n">
        <f aca="false">ij*BUTIJ+BUTII</f>
        <v>2064.00813587255</v>
      </c>
      <c r="V11" s="7" t="n">
        <f aca="false">Revenue-Cost</f>
        <v>345.169110045858</v>
      </c>
      <c r="W11" s="7" t="n">
        <f aca="false">(2*ij*BRIJ)+(2)*jj*BRJJ</f>
        <v>632.145237305834</v>
      </c>
      <c r="X11" s="9" t="n">
        <f aca="false">2*(ij*BCCIJ)+(2*jj*BCCJJ)+BCS+jj*BCPTJJ+2*(ij*BCPTIJ)+BCPTII+BCk</f>
        <v>286.976127259975</v>
      </c>
    </row>
    <row r="12" customFormat="false" ht="13" hidden="false" customHeight="false" outlineLevel="0" collapsed="false">
      <c r="A12" s="2" t="n">
        <f aca="false">A11+0.1</f>
        <v>0.9</v>
      </c>
      <c r="B12" s="2" t="n">
        <v>0.6</v>
      </c>
      <c r="C12" s="2" t="n">
        <v>10</v>
      </c>
      <c r="D12" s="2" t="n">
        <v>0</v>
      </c>
      <c r="E12" s="2" t="n">
        <f aca="false">Size-a</f>
        <v>10</v>
      </c>
      <c r="F12" s="10" t="n">
        <f aca="false">(EXP(alpha*(Tau+OldTau+zeta-2*a*psi))*((EXP(alpha*a*psi)-EXP(alpha*b*psi))^2))/((EXP(alpha*a*psi)-EXP(alpha*(2*OldTau+b*psi)))*(alpha^2)*(psi^2))</f>
        <v>1.87544398840694</v>
      </c>
      <c r="G12" s="10" t="n">
        <f aca="false">(EXP(alpha*(zeta+(2*b-a)*psi))*(-1+EXP(alpha*(-1)*Size*psi))*(EXP(alpha*(2*(Tau+OldTau)+a*psi))-EXP(alpha*(2*(Tau+OldTau)+b*psi))))/(((EXP(alpha*a*psi)-EXP(alpha*(2*OldTau+b*psi)))^2)*(alpha^2)*(psi^2))</f>
        <v>0.100100139254859</v>
      </c>
      <c r="H12" s="7" t="n">
        <f aca="false">-Beta/alpha</f>
        <v>180</v>
      </c>
      <c r="I12" s="7" t="n">
        <f aca="false">(-EXP(alpha*zeta)*Beta*(-1+EXP(alpha*Size*psi)-Size*alpha*psi))/((alpha^3)*(psi^2))</f>
        <v>1690.92462806846</v>
      </c>
      <c r="J12" s="7" t="n">
        <f aca="false">Beta*Theta</f>
        <v>14.4</v>
      </c>
      <c r="K12" s="7" t="n">
        <f aca="false">Beta*Theta</f>
        <v>14.4</v>
      </c>
      <c r="L12" s="7" t="n">
        <f aca="false">kappa</f>
        <v>90</v>
      </c>
      <c r="M12" s="7" t="n">
        <f aca="false">Gamma*Size</f>
        <v>0</v>
      </c>
      <c r="N12" s="7" t="n">
        <f aca="false">Size*Beta*Phi</f>
        <v>32.4</v>
      </c>
      <c r="O12" s="7" t="n">
        <f aca="false">-(EXP(alpha*a*psi)+EXP(alpha*b*psi)*(-1+Size*psi*alpha))*(Beta*Phi)/((alpha*psi)*(EXP(alpha*a*psi)-EXP(alpha*b*psi)))</f>
        <v>12.2941718960407</v>
      </c>
      <c r="P12" s="7" t="n">
        <f aca="false">(EXP(alpha*(zeta-a*psi))*Beta*Phi*(-EXP(alpha*a*psi)*(-2+(-1)*Size*alpha*psi)+EXP(alpha*b*psi)*(-2+Size*alpha*psi)))/((alpha^3)*(psi^3))</f>
        <v>78.836375998096</v>
      </c>
      <c r="Q12" s="7" t="n">
        <f aca="false">Tau*Beta</f>
        <v>162</v>
      </c>
      <c r="R12" s="7" t="n">
        <f aca="false">Tau*Beta</f>
        <v>162</v>
      </c>
      <c r="S12" s="11" t="n">
        <f aca="false">Tau</f>
        <v>0.9</v>
      </c>
      <c r="T12" s="7" t="n">
        <f aca="false">Profit+Utility</f>
        <v>2393.49149040778</v>
      </c>
      <c r="U12" s="7" t="n">
        <f aca="false">ij*BUTIJ+BUTII</f>
        <v>2028.50454598171</v>
      </c>
      <c r="V12" s="7" t="n">
        <f aca="false">Revenue-Cost</f>
        <v>364.986944426068</v>
      </c>
      <c r="W12" s="11" t="n">
        <f aca="false">(2*ij*BRIJ)+(2)*jj*BRJJ</f>
        <v>640.076297362423</v>
      </c>
      <c r="X12" s="9" t="n">
        <f aca="false">2*(ij*BCCIJ)+(2*jj*BCCJJ)+BCS+jj*BCPTJJ+2*(ij*BCPTIJ)+BCPTII+BCk</f>
        <v>275.089352936355</v>
      </c>
    </row>
    <row r="13" customFormat="false" ht="13" hidden="false" customHeight="false" outlineLevel="0" collapsed="false">
      <c r="A13" s="2" t="n">
        <f aca="false">A12+0.1</f>
        <v>1</v>
      </c>
      <c r="B13" s="2" t="n">
        <v>0.6</v>
      </c>
      <c r="C13" s="2" t="n">
        <v>10</v>
      </c>
      <c r="D13" s="2" t="n">
        <v>0</v>
      </c>
      <c r="E13" s="2" t="n">
        <f aca="false">Size-a</f>
        <v>10</v>
      </c>
      <c r="F13" s="12" t="n">
        <f aca="false">(EXP(alpha*(Tau+OldTau+zeta-2*a*psi))*((EXP(alpha*a*psi)-EXP(alpha*b*psi))^2))/((EXP(alpha*a*psi)-EXP(alpha*(2*OldTau+b*psi)))*(alpha^2)*(psi^2))</f>
        <v>1.6969718961412</v>
      </c>
      <c r="G13" s="12" t="n">
        <f aca="false">(EXP(alpha*(zeta+(2*b-a)*psi))*(-1+EXP(alpha*(-1)*Size*psi))*(EXP(alpha*(2*(Tau+OldTau)+a*psi))-EXP(alpha*(2*(Tau+OldTau)+b*psi))))/(((EXP(alpha*a*psi)-EXP(alpha*(2*OldTau+b*psi)))^2)*(alpha^2)*(psi^2))</f>
        <v>0.0819550623953415</v>
      </c>
      <c r="H13" s="9" t="n">
        <f aca="false">-Beta/alpha</f>
        <v>180</v>
      </c>
      <c r="I13" s="9" t="n">
        <f aca="false">(-EXP(alpha*zeta)*Beta*(-1+EXP(alpha*Size*psi)-Size*alpha*psi))/((alpha^3)*(psi^2))</f>
        <v>1690.92462806846</v>
      </c>
      <c r="J13" s="9" t="n">
        <f aca="false">Beta*Theta</f>
        <v>14.4</v>
      </c>
      <c r="K13" s="9" t="n">
        <f aca="false">Beta*Theta</f>
        <v>14.4</v>
      </c>
      <c r="L13" s="9" t="n">
        <f aca="false">kappa</f>
        <v>90</v>
      </c>
      <c r="M13" s="9" t="n">
        <f aca="false">Gamma*Size</f>
        <v>0</v>
      </c>
      <c r="N13" s="9" t="n">
        <f aca="false">Size*Beta*Phi</f>
        <v>32.4</v>
      </c>
      <c r="O13" s="9" t="n">
        <f aca="false">-(EXP(alpha*a*psi)+EXP(alpha*b*psi)*(-1+Size*psi*alpha))*(Beta*Phi)/((alpha*psi)*(EXP(alpha*a*psi)-EXP(alpha*b*psi)))</f>
        <v>12.2941718960407</v>
      </c>
      <c r="P13" s="9" t="n">
        <f aca="false">(EXP(alpha*(zeta-a*psi))*Beta*Phi*(-EXP(alpha*a*psi)*(-2+(-1)*Size*alpha*psi)+EXP(alpha*b*psi)*(-2+Size*alpha*psi)))/((alpha^3)*(psi^3))</f>
        <v>78.836375998096</v>
      </c>
      <c r="Q13" s="9" t="n">
        <f aca="false">Tau*Beta</f>
        <v>180</v>
      </c>
      <c r="R13" s="9" t="n">
        <f aca="false">Tau*Beta</f>
        <v>180</v>
      </c>
      <c r="S13" s="13" t="n">
        <f aca="false">Tau</f>
        <v>1</v>
      </c>
      <c r="T13" s="9" t="n">
        <f aca="false">Profit+Utility</f>
        <v>2372.34272963365</v>
      </c>
      <c r="U13" s="9" t="n">
        <f aca="false">ij*BUTIJ+BUTII</f>
        <v>1996.37956937387</v>
      </c>
      <c r="V13" s="9" t="n">
        <f aca="false">Revenue-Cost</f>
        <v>375.963160259777</v>
      </c>
      <c r="W13" s="13" t="n">
        <f aca="false">(2*ij*BRIJ)+(2)*jj*BRJJ</f>
        <v>640.413705073154</v>
      </c>
      <c r="X13" s="9" t="n">
        <f aca="false">2*(ij*BCCIJ)+(2*jj*BCCJJ)+BCS+jj*BCPTJJ+2*(ij*BCPTIJ)+BCPTII+BCk</f>
        <v>264.450544813377</v>
      </c>
    </row>
    <row r="14" customFormat="false" ht="13" hidden="false" customHeight="false" outlineLevel="0" collapsed="false">
      <c r="A14" s="2" t="n">
        <f aca="false">A13+0.1</f>
        <v>1.1</v>
      </c>
      <c r="B14" s="2" t="n">
        <v>0.6</v>
      </c>
      <c r="C14" s="2" t="n">
        <v>10</v>
      </c>
      <c r="D14" s="2" t="n">
        <v>0</v>
      </c>
      <c r="E14" s="2" t="n">
        <f aca="false">Size-a</f>
        <v>10</v>
      </c>
      <c r="F14" s="10" t="n">
        <f aca="false">(EXP(alpha*(Tau+OldTau+zeta-2*a*psi))*((EXP(alpha*a*psi)-EXP(alpha*b*psi))^2))/((EXP(alpha*a*psi)-EXP(alpha*(2*OldTau+b*psi)))*(alpha^2)*(psi^2))</f>
        <v>1.53548366898399</v>
      </c>
      <c r="G14" s="10" t="n">
        <f aca="false">(EXP(alpha*(zeta+(2*b-a)*psi))*(-1+EXP(alpha*(-1)*Size*psi))*(EXP(alpha*(2*(Tau+OldTau)+a*psi))-EXP(alpha*(2*(Tau+OldTau)+b*psi))))/(((EXP(alpha*a*psi)-EXP(alpha*(2*OldTau+b*psi)))^2)*(alpha^2)*(psi^2))</f>
        <v>0.067099129953491</v>
      </c>
      <c r="H14" s="7" t="n">
        <f aca="false">-Beta/alpha</f>
        <v>180</v>
      </c>
      <c r="I14" s="7" t="n">
        <f aca="false">(-EXP(alpha*zeta)*Beta*(-1+EXP(alpha*Size*psi)-Size*alpha*psi))/((alpha^3)*(psi^2))</f>
        <v>1690.92462806846</v>
      </c>
      <c r="J14" s="7" t="n">
        <f aca="false">Beta*Theta</f>
        <v>14.4</v>
      </c>
      <c r="K14" s="7" t="n">
        <f aca="false">Beta*Theta</f>
        <v>14.4</v>
      </c>
      <c r="L14" s="7" t="n">
        <f aca="false">kappa</f>
        <v>90</v>
      </c>
      <c r="M14" s="7" t="n">
        <f aca="false">Gamma*Size</f>
        <v>0</v>
      </c>
      <c r="N14" s="7" t="n">
        <f aca="false">Size*Beta*Phi</f>
        <v>32.4</v>
      </c>
      <c r="O14" s="7" t="n">
        <f aca="false">-(EXP(alpha*a*psi)+EXP(alpha*b*psi)*(-1+Size*psi*alpha))*(Beta*Phi)/((alpha*psi)*(EXP(alpha*a*psi)-EXP(alpha*b*psi)))</f>
        <v>12.2941718960407</v>
      </c>
      <c r="P14" s="7" t="n">
        <f aca="false">(EXP(alpha*(zeta-a*psi))*Beta*Phi*(-EXP(alpha*a*psi)*(-2+(-1)*Size*alpha*psi)+EXP(alpha*b*psi)*(-2+Size*alpha*psi)))/((alpha^3)*(psi^3))</f>
        <v>78.836375998096</v>
      </c>
      <c r="Q14" s="7" t="n">
        <f aca="false">Tau*Beta</f>
        <v>198</v>
      </c>
      <c r="R14" s="7" t="n">
        <f aca="false">Tau*Beta</f>
        <v>198</v>
      </c>
      <c r="S14" s="11" t="n">
        <f aca="false">Tau</f>
        <v>1.1</v>
      </c>
      <c r="T14" s="7" t="n">
        <f aca="false">Profit+Utility</f>
        <v>2347.01470410673</v>
      </c>
      <c r="U14" s="7" t="n">
        <f aca="false">ij*BUTIJ+BUTII</f>
        <v>1967.31168848558</v>
      </c>
      <c r="V14" s="7" t="n">
        <f aca="false">Revenue-Cost</f>
        <v>379.703015621149</v>
      </c>
      <c r="W14" s="7" t="n">
        <f aca="false">(2*ij*BRIJ)+(2)*jj*BRJJ</f>
        <v>634.622788379242</v>
      </c>
      <c r="X14" s="9" t="n">
        <f aca="false">2*(ij*BCCIJ)+(2*jj*BCCJJ)+BCS+jj*BCPTJJ+2*(ij*BCPTIJ)+BCPTII+BCk</f>
        <v>254.919772758093</v>
      </c>
    </row>
    <row r="15" customFormat="false" ht="13" hidden="false" customHeight="false" outlineLevel="0" collapsed="false">
      <c r="A15" s="2" t="n">
        <f aca="false">A14+0.1</f>
        <v>1.2</v>
      </c>
      <c r="B15" s="2" t="n">
        <v>0.6</v>
      </c>
      <c r="C15" s="2" t="n">
        <v>10</v>
      </c>
      <c r="D15" s="2" t="n">
        <v>0</v>
      </c>
      <c r="E15" s="2" t="n">
        <f aca="false">Size-a</f>
        <v>10</v>
      </c>
      <c r="F15" s="10" t="n">
        <f aca="false">(EXP(alpha*(Tau+OldTau+zeta-2*a*psi))*((EXP(alpha*a*psi)-EXP(alpha*b*psi))^2))/((EXP(alpha*a*psi)-EXP(alpha*(2*OldTau+b*psi)))*(alpha^2)*(psi^2))</f>
        <v>1.38936307847985</v>
      </c>
      <c r="G15" s="10" t="n">
        <f aca="false">(EXP(alpha*(zeta+(2*b-a)*psi))*(-1+EXP(alpha*(-1)*Size*psi))*(EXP(alpha*(2*(Tau+OldTau)+a*psi))-EXP(alpha*(2*(Tau+OldTau)+b*psi))))/(((EXP(alpha*a*psi)-EXP(alpha*(2*OldTau+b*psi)))^2)*(alpha^2)*(psi^2))</f>
        <v>0.054936121197699</v>
      </c>
      <c r="H15" s="7" t="n">
        <f aca="false">-Beta/alpha</f>
        <v>180</v>
      </c>
      <c r="I15" s="7" t="n">
        <f aca="false">(-EXP(alpha*zeta)*Beta*(-1+EXP(alpha*Size*psi)-Size*alpha*psi))/((alpha^3)*(psi^2))</f>
        <v>1690.92462806846</v>
      </c>
      <c r="J15" s="7" t="n">
        <f aca="false">Beta*Theta</f>
        <v>14.4</v>
      </c>
      <c r="K15" s="7" t="n">
        <f aca="false">Beta*Theta</f>
        <v>14.4</v>
      </c>
      <c r="L15" s="7" t="n">
        <f aca="false">kappa</f>
        <v>90</v>
      </c>
      <c r="M15" s="7" t="n">
        <f aca="false">Gamma*Size</f>
        <v>0</v>
      </c>
      <c r="N15" s="7" t="n">
        <f aca="false">Size*Beta*Phi</f>
        <v>32.4</v>
      </c>
      <c r="O15" s="7" t="n">
        <f aca="false">-(EXP(alpha*a*psi)+EXP(alpha*b*psi)*(-1+Size*psi*alpha))*(Beta*Phi)/((alpha*psi)*(EXP(alpha*a*psi)-EXP(alpha*b*psi)))</f>
        <v>12.2941718960407</v>
      </c>
      <c r="P15" s="7" t="n">
        <f aca="false">(EXP(alpha*(zeta-a*psi))*Beta*Phi*(-EXP(alpha*a*psi)*(-2+(-1)*Size*alpha*psi)+EXP(alpha*b*psi)*(-2+Size*alpha*psi)))/((alpha^3)*(psi^3))</f>
        <v>78.836375998096</v>
      </c>
      <c r="Q15" s="7" t="n">
        <f aca="false">Tau*Beta</f>
        <v>216</v>
      </c>
      <c r="R15" s="7" t="n">
        <f aca="false">Tau*Beta</f>
        <v>216</v>
      </c>
      <c r="S15" s="11" t="n">
        <f aca="false">Tau</f>
        <v>1.2</v>
      </c>
      <c r="T15" s="7" t="n">
        <f aca="false">Profit+Utility</f>
        <v>2318.57297615423</v>
      </c>
      <c r="U15" s="7" t="n">
        <f aca="false">ij*BUTIJ+BUTII</f>
        <v>1941.00998219483</v>
      </c>
      <c r="V15" s="7" t="n">
        <f aca="false">Revenue-Cost</f>
        <v>377.562993959401</v>
      </c>
      <c r="W15" s="7" t="n">
        <f aca="false">(2*ij*BRIJ)+(2)*jj*BRJJ</f>
        <v>623.937254260703</v>
      </c>
      <c r="X15" s="9" t="n">
        <f aca="false">2*(ij*BCCIJ)+(2*jj*BCCJJ)+BCS+jj*BCPTJJ+2*(ij*BCPTIJ)+BCPTII+BCk</f>
        <v>246.374260301302</v>
      </c>
    </row>
    <row r="16" customFormat="false" ht="13" hidden="false" customHeight="false" outlineLevel="0" collapsed="false">
      <c r="A16" s="2" t="n">
        <f aca="false">A15+0.1</f>
        <v>1.3</v>
      </c>
      <c r="B16" s="2" t="n">
        <v>0.6</v>
      </c>
      <c r="C16" s="2" t="n">
        <v>10</v>
      </c>
      <c r="D16" s="2" t="n">
        <v>0</v>
      </c>
      <c r="E16" s="2" t="n">
        <f aca="false">Size-a</f>
        <v>10</v>
      </c>
      <c r="F16" s="10" t="n">
        <f aca="false">(EXP(alpha*(Tau+OldTau+zeta-2*a*psi))*((EXP(alpha*a*psi)-EXP(alpha*b*psi))^2))/((EXP(alpha*a*psi)-EXP(alpha*(2*OldTau+b*psi)))*(alpha^2)*(psi^2))</f>
        <v>1.2571477006462</v>
      </c>
      <c r="G16" s="10" t="n">
        <f aca="false">(EXP(alpha*(zeta+(2*b-a)*psi))*(-1+EXP(alpha*(-1)*Size*psi))*(EXP(alpha*(2*(Tau+OldTau)+a*psi))-EXP(alpha*(2*(Tau+OldTau)+b*psi))))/(((EXP(alpha*a*psi)-EXP(alpha*(2*OldTau+b*psi)))^2)*(alpha^2)*(psi^2))</f>
        <v>0.0449778918793754</v>
      </c>
      <c r="H16" s="7" t="n">
        <f aca="false">-Beta/alpha</f>
        <v>180</v>
      </c>
      <c r="I16" s="7" t="n">
        <f aca="false">(-EXP(alpha*zeta)*Beta*(-1+EXP(alpha*Size*psi)-Size*alpha*psi))/((alpha^3)*(psi^2))</f>
        <v>1690.92462806846</v>
      </c>
      <c r="J16" s="7" t="n">
        <f aca="false">Beta*Theta</f>
        <v>14.4</v>
      </c>
      <c r="K16" s="7" t="n">
        <f aca="false">Beta*Theta</f>
        <v>14.4</v>
      </c>
      <c r="L16" s="7" t="n">
        <f aca="false">kappa</f>
        <v>90</v>
      </c>
      <c r="M16" s="7" t="n">
        <f aca="false">Gamma*Size</f>
        <v>0</v>
      </c>
      <c r="N16" s="7" t="n">
        <f aca="false">Size*Beta*Phi</f>
        <v>32.4</v>
      </c>
      <c r="O16" s="7" t="n">
        <f aca="false">-(EXP(alpha*a*psi)+EXP(alpha*b*psi)*(-1+Size*psi*alpha))*(Beta*Phi)/((alpha*psi)*(EXP(alpha*a*psi)-EXP(alpha*b*psi)))</f>
        <v>12.2941718960407</v>
      </c>
      <c r="P16" s="7" t="n">
        <f aca="false">(EXP(alpha*(zeta-a*psi))*Beta*Phi*(-EXP(alpha*a*psi)*(-2+(-1)*Size*alpha*psi)+EXP(alpha*b*psi)*(-2+Size*alpha*psi)))/((alpha^3)*(psi^3))</f>
        <v>78.836375998096</v>
      </c>
      <c r="Q16" s="7" t="n">
        <f aca="false">Tau*Beta</f>
        <v>234</v>
      </c>
      <c r="R16" s="7" t="n">
        <f aca="false">Tau*Beta</f>
        <v>234</v>
      </c>
      <c r="S16" s="11" t="n">
        <f aca="false">Tau</f>
        <v>1.3</v>
      </c>
      <c r="T16" s="7" t="n">
        <f aca="false">Profit+Utility</f>
        <v>2287.89993486611</v>
      </c>
      <c r="U16" s="7" t="n">
        <f aca="false">ij*BUTIJ+BUTII</f>
        <v>1917.21121418477</v>
      </c>
      <c r="V16" s="7" t="n">
        <f aca="false">Revenue-Cost</f>
        <v>370.688720681333</v>
      </c>
      <c r="W16" s="7" t="n">
        <f aca="false">(2*ij*BRIJ)+(2)*jj*BRJJ</f>
        <v>609.394777301971</v>
      </c>
      <c r="X16" s="9" t="n">
        <f aca="false">2*(ij*BCCIJ)+(2*jj*BCCJJ)+BCS+jj*BCPTJJ+2*(ij*BCPTIJ)+BCPTII+BCk</f>
        <v>238.706056620638</v>
      </c>
    </row>
    <row r="17" customFormat="false" ht="13" hidden="false" customHeight="false" outlineLevel="0" collapsed="false">
      <c r="A17" s="2" t="n">
        <f aca="false">A16+0.1</f>
        <v>1.4</v>
      </c>
      <c r="B17" s="2" t="n">
        <v>0.6</v>
      </c>
      <c r="C17" s="2" t="n">
        <v>10</v>
      </c>
      <c r="D17" s="2" t="n">
        <v>0</v>
      </c>
      <c r="E17" s="2" t="n">
        <f aca="false">Size-a</f>
        <v>10</v>
      </c>
      <c r="F17" s="10" t="n">
        <f aca="false">(EXP(alpha*(Tau+OldTau+zeta-2*a*psi))*((EXP(alpha*a*psi)-EXP(alpha*b*psi))^2))/((EXP(alpha*a*psi)-EXP(alpha*(2*OldTau+b*psi)))*(alpha^2)*(psi^2))</f>
        <v>1.13751427954255</v>
      </c>
      <c r="G17" s="10" t="n">
        <f aca="false">(EXP(alpha*(zeta+(2*b-a)*psi))*(-1+EXP(alpha*(-1)*Size*psi))*(EXP(alpha*(2*(Tau+OldTau)+a*psi))-EXP(alpha*(2*(Tau+OldTau)+b*psi))))/(((EXP(alpha*a*psi)-EXP(alpha*(2*OldTau+b*psi)))^2)*(alpha^2)*(psi^2))</f>
        <v>0.036824783290261</v>
      </c>
      <c r="H17" s="7" t="n">
        <f aca="false">-Beta/alpha</f>
        <v>180</v>
      </c>
      <c r="I17" s="7" t="n">
        <f aca="false">(-EXP(alpha*zeta)*Beta*(-1+EXP(alpha*Size*psi)-Size*alpha*psi))/((alpha^3)*(psi^2))</f>
        <v>1690.92462806846</v>
      </c>
      <c r="J17" s="7" t="n">
        <f aca="false">Beta*Theta</f>
        <v>14.4</v>
      </c>
      <c r="K17" s="7" t="n">
        <f aca="false">Beta*Theta</f>
        <v>14.4</v>
      </c>
      <c r="L17" s="7" t="n">
        <f aca="false">kappa</f>
        <v>90</v>
      </c>
      <c r="M17" s="7" t="n">
        <f aca="false">Gamma*Size</f>
        <v>0</v>
      </c>
      <c r="N17" s="7" t="n">
        <f aca="false">Size*Beta*Phi</f>
        <v>32.4</v>
      </c>
      <c r="O17" s="7" t="n">
        <f aca="false">-(EXP(alpha*a*psi)+EXP(alpha*b*psi)*(-1+Size*psi*alpha))*(Beta*Phi)/((alpha*psi)*(EXP(alpha*a*psi)-EXP(alpha*b*psi)))</f>
        <v>12.2941718960407</v>
      </c>
      <c r="P17" s="7" t="n">
        <f aca="false">(EXP(alpha*(zeta-a*psi))*Beta*Phi*(-EXP(alpha*a*psi)*(-2+(-1)*Size*alpha*psi)+EXP(alpha*b*psi)*(-2+Size*alpha*psi)))/((alpha^3)*(psi^3))</f>
        <v>78.836375998096</v>
      </c>
      <c r="Q17" s="7" t="n">
        <f aca="false">Tau*Beta</f>
        <v>252</v>
      </c>
      <c r="R17" s="7" t="n">
        <f aca="false">Tau*Beta</f>
        <v>252</v>
      </c>
      <c r="S17" s="11" t="n">
        <f aca="false">Tau</f>
        <v>1.4</v>
      </c>
      <c r="T17" s="7" t="n">
        <f aca="false">Profit+Utility</f>
        <v>2255.72402989378</v>
      </c>
      <c r="U17" s="7" t="n">
        <f aca="false">ij*BUTIJ+BUTII</f>
        <v>1895.67719838612</v>
      </c>
      <c r="V17" s="7" t="n">
        <f aca="false">Revenue-Cost</f>
        <v>360.04683150766</v>
      </c>
      <c r="W17" s="7" t="n">
        <f aca="false">(2*ij*BRIJ)+(2)*jj*BRJJ</f>
        <v>591.866887667739</v>
      </c>
      <c r="X17" s="9" t="n">
        <f aca="false">2*(ij*BCCIJ)+(2*jj*BCCJJ)+BCS+jj*BCPTJJ+2*(ij*BCPTIJ)+BCPTII+BCk</f>
        <v>231.82005616008</v>
      </c>
    </row>
    <row r="18" customFormat="false" ht="13" hidden="false" customHeight="false" outlineLevel="0" collapsed="false">
      <c r="A18" s="2" t="n">
        <f aca="false">A17+0.1</f>
        <v>1.5</v>
      </c>
      <c r="B18" s="2" t="n">
        <v>0.6</v>
      </c>
      <c r="C18" s="2" t="n">
        <v>10</v>
      </c>
      <c r="D18" s="2" t="n">
        <v>0</v>
      </c>
      <c r="E18" s="2" t="n">
        <f aca="false">Size-a</f>
        <v>10</v>
      </c>
      <c r="F18" s="10" t="n">
        <f aca="false">(EXP(alpha*(Tau+OldTau+zeta-2*a*psi))*((EXP(alpha*a*psi)-EXP(alpha*b*psi))^2))/((EXP(alpha*a*psi)-EXP(alpha*(2*OldTau+b*psi)))*(alpha^2)*(psi^2))</f>
        <v>1.02926548368032</v>
      </c>
      <c r="G18" s="10" t="n">
        <f aca="false">(EXP(alpha*(zeta+(2*b-a)*psi))*(-1+EXP(alpha*(-1)*Size*psi))*(EXP(alpha*(2*(Tau+OldTau)+a*psi))-EXP(alpha*(2*(Tau+OldTau)+b*psi))))/(((EXP(alpha*a*psi)-EXP(alpha*(2*OldTau+b*psi)))^2)*(alpha^2)*(psi^2))</f>
        <v>0.0301495825551689</v>
      </c>
      <c r="H18" s="7" t="n">
        <f aca="false">-Beta/alpha</f>
        <v>180</v>
      </c>
      <c r="I18" s="7" t="n">
        <f aca="false">(-EXP(alpha*zeta)*Beta*(-1+EXP(alpha*Size*psi)-Size*alpha*psi))/((alpha^3)*(psi^2))</f>
        <v>1690.92462806846</v>
      </c>
      <c r="J18" s="7" t="n">
        <f aca="false">Beta*Theta</f>
        <v>14.4</v>
      </c>
      <c r="K18" s="7" t="n">
        <f aca="false">Beta*Theta</f>
        <v>14.4</v>
      </c>
      <c r="L18" s="7" t="n">
        <f aca="false">kappa</f>
        <v>90</v>
      </c>
      <c r="M18" s="7" t="n">
        <f aca="false">Gamma*Size</f>
        <v>0</v>
      </c>
      <c r="N18" s="7" t="n">
        <f aca="false">Size*Beta*Phi</f>
        <v>32.4</v>
      </c>
      <c r="O18" s="7" t="n">
        <f aca="false">-(EXP(alpha*a*psi)+EXP(alpha*b*psi)*(-1+Size*psi*alpha))*(Beta*Phi)/((alpha*psi)*(EXP(alpha*a*psi)-EXP(alpha*b*psi)))</f>
        <v>12.2941718960407</v>
      </c>
      <c r="P18" s="7" t="n">
        <f aca="false">(EXP(alpha*(zeta-a*psi))*Beta*Phi*(-EXP(alpha*a*psi)*(-2+(-1)*Size*alpha*psi)+EXP(alpha*b*psi)*(-2+Size*alpha*psi)))/((alpha^3)*(psi^3))</f>
        <v>78.836375998096</v>
      </c>
      <c r="Q18" s="7" t="n">
        <f aca="false">Tau*Beta</f>
        <v>270</v>
      </c>
      <c r="R18" s="7" t="n">
        <f aca="false">Tau*Beta</f>
        <v>270</v>
      </c>
      <c r="S18" s="11" t="n">
        <f aca="false">Tau</f>
        <v>1.5</v>
      </c>
      <c r="T18" s="7" t="n">
        <f aca="false">Profit+Utility</f>
        <v>2222.64424095156</v>
      </c>
      <c r="U18" s="7" t="n">
        <f aca="false">ij*BUTIJ+BUTII</f>
        <v>1876.19241513092</v>
      </c>
      <c r="V18" s="7" t="n">
        <f aca="false">Revenue-Cost</f>
        <v>346.451825820644</v>
      </c>
      <c r="W18" s="7" t="n">
        <f aca="false">(2*ij*BRIJ)+(2)*jj*BRJJ</f>
        <v>572.084135767164</v>
      </c>
      <c r="X18" s="9" t="n">
        <f aca="false">2*(ij*BCCIJ)+(2*jj*BCCJJ)+BCS+jj*BCPTJJ+2*(ij*BCPTIJ)+BCPTII+BCk</f>
        <v>225.63230994652</v>
      </c>
    </row>
    <row r="19" customFormat="false" ht="13" hidden="false" customHeight="false" outlineLevel="0" collapsed="false">
      <c r="A19" s="2" t="n">
        <f aca="false">A18+0.1</f>
        <v>1.6</v>
      </c>
      <c r="B19" s="2" t="n">
        <v>0.6</v>
      </c>
      <c r="C19" s="2" t="n">
        <v>10</v>
      </c>
      <c r="D19" s="2" t="n">
        <v>0</v>
      </c>
      <c r="E19" s="2" t="n">
        <f aca="false">Size-a</f>
        <v>10</v>
      </c>
      <c r="F19" s="10" t="n">
        <f aca="false">(EXP(alpha*(Tau+OldTau+zeta-2*a*psi))*((EXP(alpha*a*psi)-EXP(alpha*b*psi))^2))/((EXP(alpha*a*psi)-EXP(alpha*(2*OldTau+b*psi)))*(alpha^2)*(psi^2))</f>
        <v>0.931317922726834</v>
      </c>
      <c r="G19" s="10" t="n">
        <f aca="false">(EXP(alpha*(zeta+(2*b-a)*psi))*(-1+EXP(alpha*(-1)*Size*psi))*(EXP(alpha*(2*(Tau+OldTau)+a*psi))-EXP(alpha*(2*(Tau+OldTau)+b*psi))))/(((EXP(alpha*a*psi)-EXP(alpha*(2*OldTau+b*psi)))^2)*(alpha^2)*(psi^2))</f>
        <v>0.0246843904303802</v>
      </c>
      <c r="H19" s="7" t="n">
        <f aca="false">-Beta/alpha</f>
        <v>180</v>
      </c>
      <c r="I19" s="7" t="n">
        <f aca="false">(-EXP(alpha*zeta)*Beta*(-1+EXP(alpha*Size*psi)-Size*alpha*psi))/((alpha^3)*(psi^2))</f>
        <v>1690.92462806846</v>
      </c>
      <c r="J19" s="7" t="n">
        <f aca="false">Beta*Theta</f>
        <v>14.4</v>
      </c>
      <c r="K19" s="7" t="n">
        <f aca="false">Beta*Theta</f>
        <v>14.4</v>
      </c>
      <c r="L19" s="7" t="n">
        <f aca="false">kappa</f>
        <v>90</v>
      </c>
      <c r="M19" s="7" t="n">
        <f aca="false">Gamma*Size</f>
        <v>0</v>
      </c>
      <c r="N19" s="7" t="n">
        <f aca="false">Size*Beta*Phi</f>
        <v>32.4</v>
      </c>
      <c r="O19" s="7" t="n">
        <f aca="false">-(EXP(alpha*a*psi)+EXP(alpha*b*psi)*(-1+Size*psi*alpha))*(Beta*Phi)/((alpha*psi)*(EXP(alpha*a*psi)-EXP(alpha*b*psi)))</f>
        <v>12.2941718960407</v>
      </c>
      <c r="P19" s="7" t="n">
        <f aca="false">(EXP(alpha*(zeta-a*psi))*Beta*Phi*(-EXP(alpha*a*psi)*(-2+(-1)*Size*alpha*psi)+EXP(alpha*b*psi)*(-2+Size*alpha*psi)))/((alpha^3)*(psi^3))</f>
        <v>78.836375998096</v>
      </c>
      <c r="Q19" s="7" t="n">
        <f aca="false">Tau*Beta</f>
        <v>288</v>
      </c>
      <c r="R19" s="7" t="n">
        <f aca="false">Tau*Beta</f>
        <v>288</v>
      </c>
      <c r="S19" s="11" t="n">
        <f aca="false">Tau</f>
        <v>1.6</v>
      </c>
      <c r="T19" s="7" t="n">
        <f aca="false">Profit+Utility</f>
        <v>2189.15060440714</v>
      </c>
      <c r="U19" s="7" t="n">
        <f aca="false">ij*BUTIJ+BUTII</f>
        <v>1858.56185415929</v>
      </c>
      <c r="V19" s="7" t="n">
        <f aca="false">Revenue-Cost</f>
        <v>330.588750247853</v>
      </c>
      <c r="W19" s="7" t="n">
        <f aca="false">(2*ij*BRIJ)+(2)*jj*BRJJ</f>
        <v>550.657332378555</v>
      </c>
      <c r="X19" s="9" t="n">
        <f aca="false">2*(ij*BCCIJ)+(2*jj*BCCJJ)+BCS+jj*BCPTJJ+2*(ij*BCPTIJ)+BCPTII+BCk</f>
        <v>220.068582130702</v>
      </c>
    </row>
    <row r="20" customFormat="false" ht="13" hidden="false" customHeight="false" outlineLevel="0" collapsed="false">
      <c r="A20" s="2" t="n">
        <f aca="false">A19+0.1</f>
        <v>1.7</v>
      </c>
      <c r="B20" s="2" t="n">
        <v>0.6</v>
      </c>
      <c r="C20" s="2" t="n">
        <v>10</v>
      </c>
      <c r="D20" s="2" t="n">
        <v>0</v>
      </c>
      <c r="E20" s="2" t="n">
        <f aca="false">Size-a</f>
        <v>10</v>
      </c>
      <c r="F20" s="10" t="n">
        <f aca="false">(EXP(alpha*(Tau+OldTau+zeta-2*a*psi))*((EXP(alpha*a*psi)-EXP(alpha*b*psi))^2))/((EXP(alpha*a*psi)-EXP(alpha*(2*OldTau+b*psi)))*(alpha^2)*(psi^2))</f>
        <v>0.842691304570761</v>
      </c>
      <c r="G20" s="10" t="n">
        <f aca="false">(EXP(alpha*(zeta+(2*b-a)*psi))*(-1+EXP(alpha*(-1)*Size*psi))*(EXP(alpha*(2*(Tau+OldTau)+a*psi))-EXP(alpha*(2*(Tau+OldTau)+b*psi))))/(((EXP(alpha*a*psi)-EXP(alpha*(2*OldTau+b*psi)))^2)*(alpha^2)*(psi^2))</f>
        <v>0.0202098695663361</v>
      </c>
      <c r="H20" s="7" t="n">
        <f aca="false">-Beta/alpha</f>
        <v>180</v>
      </c>
      <c r="I20" s="7" t="n">
        <f aca="false">(-EXP(alpha*zeta)*Beta*(-1+EXP(alpha*Size*psi)-Size*alpha*psi))/((alpha^3)*(psi^2))</f>
        <v>1690.92462806846</v>
      </c>
      <c r="J20" s="7" t="n">
        <f aca="false">Beta*Theta</f>
        <v>14.4</v>
      </c>
      <c r="K20" s="7" t="n">
        <f aca="false">Beta*Theta</f>
        <v>14.4</v>
      </c>
      <c r="L20" s="7" t="n">
        <f aca="false">kappa</f>
        <v>90</v>
      </c>
      <c r="M20" s="7" t="n">
        <f aca="false">Gamma*Size</f>
        <v>0</v>
      </c>
      <c r="N20" s="7" t="n">
        <f aca="false">Size*Beta*Phi</f>
        <v>32.4</v>
      </c>
      <c r="O20" s="7" t="n">
        <f aca="false">-(EXP(alpha*a*psi)+EXP(alpha*b*psi)*(-1+Size*psi*alpha))*(Beta*Phi)/((alpha*psi)*(EXP(alpha*a*psi)-EXP(alpha*b*psi)))</f>
        <v>12.2941718960407</v>
      </c>
      <c r="P20" s="7" t="n">
        <f aca="false">(EXP(alpha*(zeta-a*psi))*Beta*Phi*(-EXP(alpha*a*psi)*(-2+(-1)*Size*alpha*psi)+EXP(alpha*b*psi)*(-2+Size*alpha*psi)))/((alpha^3)*(psi^3))</f>
        <v>78.836375998096</v>
      </c>
      <c r="Q20" s="7" t="n">
        <f aca="false">Tau*Beta</f>
        <v>306</v>
      </c>
      <c r="R20" s="7" t="n">
        <f aca="false">Tau*Beta</f>
        <v>306</v>
      </c>
      <c r="S20" s="11" t="n">
        <f aca="false">Tau</f>
        <v>1.7</v>
      </c>
      <c r="T20" s="7" t="n">
        <f aca="false">Profit+Utility</f>
        <v>2155.64146836852</v>
      </c>
      <c r="U20" s="7" t="n">
        <f aca="false">ij*BUTIJ+BUTII</f>
        <v>1842.6090628912</v>
      </c>
      <c r="V20" s="7" t="n">
        <f aca="false">Revenue-Cost</f>
        <v>313.032405477327</v>
      </c>
      <c r="W20" s="7" t="n">
        <f aca="false">(2*ij*BRIJ)+(2)*jj*BRJJ</f>
        <v>528.095518571904</v>
      </c>
      <c r="X20" s="9" t="n">
        <f aca="false">2*(ij*BCCIJ)+(2*jj*BCCJJ)+BCS+jj*BCPTJJ+2*(ij*BCPTIJ)+BCPTII+BCk</f>
        <v>215.063113094577</v>
      </c>
    </row>
    <row r="21" customFormat="false" ht="13" hidden="false" customHeight="false" outlineLevel="0" collapsed="false">
      <c r="A21" s="2" t="n">
        <f aca="false">A20+0.1</f>
        <v>1.8</v>
      </c>
      <c r="B21" s="2" t="n">
        <v>0.6</v>
      </c>
      <c r="C21" s="2" t="n">
        <v>10</v>
      </c>
      <c r="D21" s="2" t="n">
        <v>0</v>
      </c>
      <c r="E21" s="2" t="n">
        <f aca="false">Size-a</f>
        <v>10</v>
      </c>
      <c r="F21" s="10" t="n">
        <f aca="false">(EXP(alpha*(Tau+OldTau+zeta-2*a*psi))*((EXP(alpha*a*psi)-EXP(alpha*b*psi))^2))/((EXP(alpha*a*psi)-EXP(alpha*(2*OldTau+b*psi)))*(alpha^2)*(psi^2))</f>
        <v>0.762498624229162</v>
      </c>
      <c r="G21" s="10" t="n">
        <f aca="false">(EXP(alpha*(zeta+(2*b-a)*psi))*(-1+EXP(alpha*(-1)*Size*psi))*(EXP(alpha*(2*(Tau+OldTau)+a*psi))-EXP(alpha*(2*(Tau+OldTau)+b*psi))))/(((EXP(alpha*a*psi)-EXP(alpha*(2*OldTau+b*psi)))^2)*(alpha^2)*(psi^2))</f>
        <v>0.0165464417296542</v>
      </c>
      <c r="H21" s="7" t="n">
        <f aca="false">-Beta/alpha</f>
        <v>180</v>
      </c>
      <c r="I21" s="7" t="n">
        <f aca="false">(-EXP(alpha*zeta)*Beta*(-1+EXP(alpha*Size*psi)-Size*alpha*psi))/((alpha^3)*(psi^2))</f>
        <v>1690.92462806846</v>
      </c>
      <c r="J21" s="7" t="n">
        <f aca="false">Beta*Theta</f>
        <v>14.4</v>
      </c>
      <c r="K21" s="7" t="n">
        <f aca="false">Beta*Theta</f>
        <v>14.4</v>
      </c>
      <c r="L21" s="7" t="n">
        <f aca="false">kappa</f>
        <v>90</v>
      </c>
      <c r="M21" s="7" t="n">
        <f aca="false">Gamma*Size</f>
        <v>0</v>
      </c>
      <c r="N21" s="7" t="n">
        <f aca="false">Size*Beta*Phi</f>
        <v>32.4</v>
      </c>
      <c r="O21" s="7" t="n">
        <f aca="false">-(EXP(alpha*a*psi)+EXP(alpha*b*psi)*(-1+Size*psi*alpha))*(Beta*Phi)/((alpha*psi)*(EXP(alpha*a*psi)-EXP(alpha*b*psi)))</f>
        <v>12.2941718960407</v>
      </c>
      <c r="P21" s="7" t="n">
        <f aca="false">(EXP(alpha*(zeta-a*psi))*Beta*Phi*(-EXP(alpha*a*psi)*(-2+(-1)*Size*alpha*psi)+EXP(alpha*b*psi)*(-2+Size*alpha*psi)))/((alpha^3)*(psi^3))</f>
        <v>78.836375998096</v>
      </c>
      <c r="Q21" s="7" t="n">
        <f aca="false">Tau*Beta</f>
        <v>324</v>
      </c>
      <c r="R21" s="7" t="n">
        <f aca="false">Tau*Beta</f>
        <v>324</v>
      </c>
      <c r="S21" s="11" t="n">
        <f aca="false">Tau</f>
        <v>1.8</v>
      </c>
      <c r="T21" s="7" t="n">
        <f aca="false">Profit+Utility</f>
        <v>2122.43802624773</v>
      </c>
      <c r="U21" s="7" t="n">
        <f aca="false">ij*BUTIJ+BUTII</f>
        <v>1828.17438042971</v>
      </c>
      <c r="V21" s="7" t="n">
        <f aca="false">Revenue-Cost</f>
        <v>294.263645818027</v>
      </c>
      <c r="W21" s="7" t="n">
        <f aca="false">(2*ij*BRIJ)+(2)*jj*BRJJ</f>
        <v>504.821202741313</v>
      </c>
      <c r="X21" s="9" t="n">
        <f aca="false">2*(ij*BCCIJ)+(2*jj*BCCJJ)+BCS+jj*BCPTJJ+2*(ij*BCPTIJ)+BCPTII+BCk</f>
        <v>210.557556923286</v>
      </c>
    </row>
    <row r="22" customFormat="false" ht="13" hidden="false" customHeight="false" outlineLevel="0" collapsed="false">
      <c r="A22" s="2" t="n">
        <f aca="false">A21+0.1</f>
        <v>1.9</v>
      </c>
      <c r="B22" s="2" t="n">
        <v>0.6</v>
      </c>
      <c r="C22" s="2" t="n">
        <v>10</v>
      </c>
      <c r="D22" s="2" t="n">
        <v>0</v>
      </c>
      <c r="E22" s="2" t="n">
        <f aca="false">Size-a</f>
        <v>10</v>
      </c>
      <c r="F22" s="10" t="n">
        <f aca="false">(EXP(alpha*(Tau+OldTau+zeta-2*a*psi))*((EXP(alpha*a*psi)-EXP(alpha*b*psi))^2))/((EXP(alpha*a*psi)-EXP(alpha*(2*OldTau+b*psi)))*(alpha^2)*(psi^2))</f>
        <v>0.689937286403486</v>
      </c>
      <c r="G22" s="10" t="n">
        <f aca="false">(EXP(alpha*(zeta+(2*b-a)*psi))*(-1+EXP(alpha*(-1)*Size*psi))*(EXP(alpha*(2*(Tau+OldTau)+a*psi))-EXP(alpha*(2*(Tau+OldTau)+b*psi))))/(((EXP(alpha*a*psi)-EXP(alpha*(2*OldTau+b*psi)))^2)*(alpha^2)*(psi^2))</f>
        <v>0.0135470806980807</v>
      </c>
      <c r="H22" s="7" t="n">
        <f aca="false">-Beta/alpha</f>
        <v>180</v>
      </c>
      <c r="I22" s="7" t="n">
        <f aca="false">(-EXP(alpha*zeta)*Beta*(-1+EXP(alpha*Size*psi)-Size*alpha*psi))/((alpha^3)*(psi^2))</f>
        <v>1690.92462806846</v>
      </c>
      <c r="J22" s="7" t="n">
        <f aca="false">Beta*Theta</f>
        <v>14.4</v>
      </c>
      <c r="K22" s="7" t="n">
        <f aca="false">Beta*Theta</f>
        <v>14.4</v>
      </c>
      <c r="L22" s="7" t="n">
        <f aca="false">kappa</f>
        <v>90</v>
      </c>
      <c r="M22" s="7" t="n">
        <f aca="false">Gamma*Size</f>
        <v>0</v>
      </c>
      <c r="N22" s="7" t="n">
        <f aca="false">Size*Beta*Phi</f>
        <v>32.4</v>
      </c>
      <c r="O22" s="7" t="n">
        <f aca="false">-(EXP(alpha*a*psi)+EXP(alpha*b*psi)*(-1+Size*psi*alpha))*(Beta*Phi)/((alpha*psi)*(EXP(alpha*a*psi)-EXP(alpha*b*psi)))</f>
        <v>12.2941718960407</v>
      </c>
      <c r="P22" s="7" t="n">
        <f aca="false">(EXP(alpha*(zeta-a*psi))*Beta*Phi*(-EXP(alpha*a*psi)*(-2+(-1)*Size*alpha*psi)+EXP(alpha*b*psi)*(-2+Size*alpha*psi)))/((alpha^3)*(psi^3))</f>
        <v>78.836375998096</v>
      </c>
      <c r="Q22" s="7" t="n">
        <f aca="false">Tau*Beta</f>
        <v>342</v>
      </c>
      <c r="R22" s="7" t="n">
        <f aca="false">Tau*Beta</f>
        <v>342</v>
      </c>
      <c r="S22" s="11" t="n">
        <f aca="false">Tau</f>
        <v>1.9</v>
      </c>
      <c r="T22" s="7" t="n">
        <f aca="false">Profit+Utility</f>
        <v>2089.79658034025</v>
      </c>
      <c r="U22" s="7" t="n">
        <f aca="false">ij*BUTIJ+BUTII</f>
        <v>1815.11333962109</v>
      </c>
      <c r="V22" s="7" t="n">
        <f aca="false">Revenue-Cost</f>
        <v>274.683240719168</v>
      </c>
      <c r="W22" s="7" t="n">
        <f aca="false">(2*ij*BRIJ)+(2)*jj*BRJJ</f>
        <v>481.183307097472</v>
      </c>
      <c r="X22" s="9" t="n">
        <f aca="false">2*(ij*BCCIJ)+(2*jj*BCCJJ)+BCS+jj*BCPTJJ+2*(ij*BCPTIJ)+BCPTII+BCk</f>
        <v>206.500066378303</v>
      </c>
    </row>
    <row r="23" customFormat="false" ht="13" hidden="false" customHeight="false" outlineLevel="0" collapsed="false">
      <c r="A23" s="2" t="n">
        <f aca="false">A22+0.1</f>
        <v>2</v>
      </c>
      <c r="B23" s="2" t="n">
        <v>0.6</v>
      </c>
      <c r="C23" s="2" t="n">
        <v>10</v>
      </c>
      <c r="D23" s="2" t="n">
        <v>0</v>
      </c>
      <c r="E23" s="2" t="n">
        <f aca="false">Size-a</f>
        <v>10</v>
      </c>
      <c r="F23" s="10" t="n">
        <f aca="false">(EXP(alpha*(Tau+OldTau+zeta-2*a*psi))*((EXP(alpha*a*psi)-EXP(alpha*b*psi))^2))/((EXP(alpha*a*psi)-EXP(alpha*(2*OldTau+b*psi)))*(alpha^2)*(psi^2))</f>
        <v>0.624281072836067</v>
      </c>
      <c r="G23" s="10" t="n">
        <f aca="false">(EXP(alpha*(zeta+(2*b-a)*psi))*(-1+EXP(alpha*(-1)*Size*psi))*(EXP(alpha*(2*(Tau+OldTau)+a*psi))-EXP(alpha*(2*(Tau+OldTau)+b*psi))))/(((EXP(alpha*a*psi)-EXP(alpha*(2*OldTau+b*psi)))^2)*(alpha^2)*(psi^2))</f>
        <v>0.0110914115819478</v>
      </c>
      <c r="H23" s="7" t="n">
        <f aca="false">-Beta/alpha</f>
        <v>180</v>
      </c>
      <c r="I23" s="7" t="n">
        <f aca="false">(-EXP(alpha*zeta)*Beta*(-1+EXP(alpha*Size*psi)-Size*alpha*psi))/((alpha^3)*(psi^2))</f>
        <v>1690.92462806846</v>
      </c>
      <c r="J23" s="7" t="n">
        <f aca="false">Beta*Theta</f>
        <v>14.4</v>
      </c>
      <c r="K23" s="7" t="n">
        <f aca="false">Beta*Theta</f>
        <v>14.4</v>
      </c>
      <c r="L23" s="7" t="n">
        <f aca="false">kappa</f>
        <v>90</v>
      </c>
      <c r="M23" s="7" t="n">
        <f aca="false">Gamma*Size</f>
        <v>0</v>
      </c>
      <c r="N23" s="7" t="n">
        <f aca="false">Size*Beta*Phi</f>
        <v>32.4</v>
      </c>
      <c r="O23" s="7" t="n">
        <f aca="false">-(EXP(alpha*a*psi)+EXP(alpha*b*psi)*(-1+Size*psi*alpha))*(Beta*Phi)/((alpha*psi)*(EXP(alpha*a*psi)-EXP(alpha*b*psi)))</f>
        <v>12.2941718960407</v>
      </c>
      <c r="P23" s="7" t="n">
        <f aca="false">(EXP(alpha*(zeta-a*psi))*Beta*Phi*(-EXP(alpha*a*psi)*(-2+(-1)*Size*alpha*psi)+EXP(alpha*b*psi)*(-2+Size*alpha*psi)))/((alpha^3)*(psi^3))</f>
        <v>78.836375998096</v>
      </c>
      <c r="Q23" s="7" t="n">
        <f aca="false">Tau*Beta</f>
        <v>360</v>
      </c>
      <c r="R23" s="7" t="n">
        <f aca="false">Tau*Beta</f>
        <v>360</v>
      </c>
      <c r="S23" s="11" t="n">
        <f aca="false">Tau</f>
        <v>2</v>
      </c>
      <c r="T23" s="7" t="n">
        <f aca="false">Profit+Utility</f>
        <v>2057.91890703355</v>
      </c>
      <c r="U23" s="7" t="n">
        <f aca="false">ij*BUTIJ+BUTII</f>
        <v>1803.29522117895</v>
      </c>
      <c r="V23" s="7" t="n">
        <f aca="false">Revenue-Cost</f>
        <v>254.623685854598</v>
      </c>
      <c r="W23" s="7" t="n">
        <f aca="false">(2*ij*BRIJ)+(2)*jj*BRJJ</f>
        <v>457.468188780971</v>
      </c>
      <c r="X23" s="9" t="n">
        <f aca="false">2*(ij*BCCIJ)+(2*jj*BCCJJ)+BCS+jj*BCPTJJ+2*(ij*BCPTIJ)+BCPTII+BCk</f>
        <v>202.844502926372</v>
      </c>
    </row>
    <row r="24" customFormat="false" ht="13" hidden="false" customHeight="false" outlineLevel="0" collapsed="false">
      <c r="A24" s="2" t="n">
        <f aca="false">A23+0.1</f>
        <v>2.1</v>
      </c>
      <c r="B24" s="2" t="n">
        <v>0.6</v>
      </c>
      <c r="C24" s="2" t="n">
        <v>10</v>
      </c>
      <c r="D24" s="2" t="n">
        <v>0</v>
      </c>
      <c r="E24" s="2" t="n">
        <f aca="false">Size-a</f>
        <v>10</v>
      </c>
      <c r="F24" s="10" t="n">
        <f aca="false">(EXP(alpha*(Tau+OldTau+zeta-2*a*psi))*((EXP(alpha*a*psi)-EXP(alpha*b*psi))^2))/((EXP(alpha*a*psi)-EXP(alpha*(2*OldTau+b*psi)))*(alpha^2)*(psi^2))</f>
        <v>0.564872874073705</v>
      </c>
      <c r="G24" s="10" t="n">
        <f aca="false">(EXP(alpha*(zeta+(2*b-a)*psi))*(-1+EXP(alpha*(-1)*Size*psi))*(EXP(alpha*(2*(Tau+OldTau)+a*psi))-EXP(alpha*(2*(Tau+OldTau)+b*psi))))/(((EXP(alpha*a*psi)-EXP(alpha*(2*OldTau+b*psi)))^2)*(alpha^2)*(psi^2))</f>
        <v>0.00908087975718597</v>
      </c>
      <c r="H24" s="7" t="n">
        <f aca="false">-Beta/alpha</f>
        <v>180</v>
      </c>
      <c r="I24" s="7" t="n">
        <f aca="false">(-EXP(alpha*zeta)*Beta*(-1+EXP(alpha*Size*psi)-Size*alpha*psi))/((alpha^3)*(psi^2))</f>
        <v>1690.92462806846</v>
      </c>
      <c r="J24" s="7" t="n">
        <f aca="false">Beta*Theta</f>
        <v>14.4</v>
      </c>
      <c r="K24" s="7" t="n">
        <f aca="false">Beta*Theta</f>
        <v>14.4</v>
      </c>
      <c r="L24" s="7" t="n">
        <f aca="false">kappa</f>
        <v>90</v>
      </c>
      <c r="M24" s="7" t="n">
        <f aca="false">Gamma*Size</f>
        <v>0</v>
      </c>
      <c r="N24" s="7" t="n">
        <f aca="false">Size*Beta*Phi</f>
        <v>32.4</v>
      </c>
      <c r="O24" s="7" t="n">
        <f aca="false">-(EXP(alpha*a*psi)+EXP(alpha*b*psi)*(-1+Size*psi*alpha))*(Beta*Phi)/((alpha*psi)*(EXP(alpha*a*psi)-EXP(alpha*b*psi)))</f>
        <v>12.2941718960407</v>
      </c>
      <c r="P24" s="7" t="n">
        <f aca="false">(EXP(alpha*(zeta-a*psi))*Beta*Phi*(-EXP(alpha*a*psi)*(-2+(-1)*Size*alpha*psi)+EXP(alpha*b*psi)*(-2+Size*alpha*psi)))/((alpha^3)*(psi^3))</f>
        <v>78.836375998096</v>
      </c>
      <c r="Q24" s="7" t="n">
        <f aca="false">Tau*Beta</f>
        <v>378</v>
      </c>
      <c r="R24" s="7" t="n">
        <f aca="false">Tau*Beta</f>
        <v>378</v>
      </c>
      <c r="S24" s="11" t="n">
        <f aca="false">Tau</f>
        <v>2.1</v>
      </c>
      <c r="T24" s="7" t="n">
        <f aca="false">Profit+Utility</f>
        <v>2026.96103025878</v>
      </c>
      <c r="U24" s="7" t="n">
        <f aca="false">ij*BUTIJ+BUTII</f>
        <v>1792.60174540172</v>
      </c>
      <c r="V24" s="7" t="n">
        <f aca="false">Revenue-Cost</f>
        <v>234.35928485705</v>
      </c>
      <c r="W24" s="7" t="n">
        <f aca="false">(2*ij*BRIJ)+(2)*jj*BRJJ</f>
        <v>433.909037896154</v>
      </c>
      <c r="X24" s="9" t="n">
        <f aca="false">2*(ij*BCCIJ)+(2*jj*BCCJJ)+BCS+jj*BCPTJJ+2*(ij*BCPTIJ)+BCPTII+BCk</f>
        <v>199.549753039104</v>
      </c>
    </row>
    <row r="25" customFormat="false" ht="13" hidden="false" customHeight="false" outlineLevel="0" collapsed="false">
      <c r="A25" s="2" t="n">
        <f aca="false">A24+0.1</f>
        <v>2.2</v>
      </c>
      <c r="B25" s="2" t="n">
        <v>0.6</v>
      </c>
      <c r="C25" s="2" t="n">
        <v>10</v>
      </c>
      <c r="D25" s="2" t="n">
        <v>0</v>
      </c>
      <c r="E25" s="2" t="n">
        <f aca="false">Size-a</f>
        <v>10</v>
      </c>
      <c r="F25" s="10" t="n">
        <f aca="false">(EXP(alpha*(Tau+OldTau+zeta-2*a*psi))*((EXP(alpha*a*psi)-EXP(alpha*b*psi))^2))/((EXP(alpha*a*psi)-EXP(alpha*(2*OldTau+b*psi)))*(alpha^2)*(psi^2))</f>
        <v>0.511118112895403</v>
      </c>
      <c r="G25" s="10" t="n">
        <f aca="false">(EXP(alpha*(zeta+(2*b-a)*psi))*(-1+EXP(alpha*(-1)*Size*psi))*(EXP(alpha*(2*(Tau+OldTau)+a*psi))-EXP(alpha*(2*(Tau+OldTau)+b*psi))))/(((EXP(alpha*a*psi)-EXP(alpha*(2*OldTau+b*psi)))^2)*(alpha^2)*(psi^2))</f>
        <v>0.00743479552221146</v>
      </c>
      <c r="H25" s="7" t="n">
        <f aca="false">-Beta/alpha</f>
        <v>180</v>
      </c>
      <c r="I25" s="7" t="n">
        <f aca="false">(-EXP(alpha*zeta)*Beta*(-1+EXP(alpha*Size*psi)-Size*alpha*psi))/((alpha^3)*(psi^2))</f>
        <v>1690.92462806846</v>
      </c>
      <c r="J25" s="7" t="n">
        <f aca="false">Beta*Theta</f>
        <v>14.4</v>
      </c>
      <c r="K25" s="7" t="n">
        <f aca="false">Beta*Theta</f>
        <v>14.4</v>
      </c>
      <c r="L25" s="7" t="n">
        <f aca="false">kappa</f>
        <v>90</v>
      </c>
      <c r="M25" s="7" t="n">
        <f aca="false">Gamma*Size</f>
        <v>0</v>
      </c>
      <c r="N25" s="7" t="n">
        <f aca="false">Size*Beta*Phi</f>
        <v>32.4</v>
      </c>
      <c r="O25" s="7" t="n">
        <f aca="false">-(EXP(alpha*a*psi)+EXP(alpha*b*psi)*(-1+Size*psi*alpha))*(Beta*Phi)/((alpha*psi)*(EXP(alpha*a*psi)-EXP(alpha*b*psi)))</f>
        <v>12.2941718960407</v>
      </c>
      <c r="P25" s="7" t="n">
        <f aca="false">(EXP(alpha*(zeta-a*psi))*Beta*Phi*(-EXP(alpha*a*psi)*(-2+(-1)*Size*alpha*psi)+EXP(alpha*b*psi)*(-2+Size*alpha*psi)))/((alpha^3)*(psi^3))</f>
        <v>78.836375998096</v>
      </c>
      <c r="Q25" s="7" t="n">
        <f aca="false">Tau*Beta</f>
        <v>396</v>
      </c>
      <c r="R25" s="7" t="n">
        <f aca="false">Tau*Beta</f>
        <v>396</v>
      </c>
      <c r="S25" s="11" t="n">
        <f aca="false">Tau</f>
        <v>2.2</v>
      </c>
      <c r="T25" s="7" t="n">
        <f aca="false">Profit+Utility</f>
        <v>1997.04065684271</v>
      </c>
      <c r="U25" s="7" t="n">
        <f aca="false">ij*BUTIJ+BUTII</f>
        <v>1782.92588838963</v>
      </c>
      <c r="V25" s="7" t="n">
        <f aca="false">Revenue-Cost</f>
        <v>214.114768453076</v>
      </c>
      <c r="W25" s="7" t="n">
        <f aca="false">(2*ij*BRIJ)+(2)*jj*BRJJ</f>
        <v>410.693903466751</v>
      </c>
      <c r="X25" s="9" t="n">
        <f aca="false">2*(ij*BCCIJ)+(2*jj*BCCJJ)+BCS+jj*BCPTJJ+2*(ij*BCPTIJ)+BCPTII+BCk</f>
        <v>196.579135013675</v>
      </c>
    </row>
    <row r="26" customFormat="false" ht="13" hidden="false" customHeight="false" outlineLevel="0" collapsed="false">
      <c r="A26" s="2" t="n">
        <f aca="false">A25+0.1</f>
        <v>2.3</v>
      </c>
      <c r="B26" s="2" t="n">
        <v>0.6</v>
      </c>
      <c r="C26" s="2" t="n">
        <v>10</v>
      </c>
      <c r="D26" s="2" t="n">
        <v>0</v>
      </c>
      <c r="E26" s="2" t="n">
        <f aca="false">Size-a</f>
        <v>10</v>
      </c>
      <c r="F26" s="10" t="n">
        <f aca="false">(EXP(alpha*(Tau+OldTau+zeta-2*a*psi))*((EXP(alpha*a*psi)-EXP(alpha*b*psi))^2))/((EXP(alpha*a*psi)-EXP(alpha*(2*OldTau+b*psi)))*(alpha^2)*(psi^2))</f>
        <v>0.462478793583689</v>
      </c>
      <c r="G26" s="10" t="n">
        <f aca="false">(EXP(alpha*(zeta+(2*b-a)*psi))*(-1+EXP(alpha*(-1)*Size*psi))*(EXP(alpha*(2*(Tau+OldTau)+a*psi))-EXP(alpha*(2*(Tau+OldTau)+b*psi))))/(((EXP(alpha*a*psi)-EXP(alpha*(2*OldTau+b*psi)))^2)*(alpha^2)*(psi^2))</f>
        <v>0.006087095736881</v>
      </c>
      <c r="H26" s="7" t="n">
        <f aca="false">-Beta/alpha</f>
        <v>180</v>
      </c>
      <c r="I26" s="7" t="n">
        <f aca="false">(-EXP(alpha*zeta)*Beta*(-1+EXP(alpha*Size*psi)-Size*alpha*psi))/((alpha^3)*(psi^2))</f>
        <v>1690.92462806846</v>
      </c>
      <c r="J26" s="7" t="n">
        <f aca="false">Beta*Theta</f>
        <v>14.4</v>
      </c>
      <c r="K26" s="7" t="n">
        <f aca="false">Beta*Theta</f>
        <v>14.4</v>
      </c>
      <c r="L26" s="7" t="n">
        <f aca="false">kappa</f>
        <v>90</v>
      </c>
      <c r="M26" s="7" t="n">
        <f aca="false">Gamma*Size</f>
        <v>0</v>
      </c>
      <c r="N26" s="7" t="n">
        <f aca="false">Size*Beta*Phi</f>
        <v>32.4</v>
      </c>
      <c r="O26" s="7" t="n">
        <f aca="false">-(EXP(alpha*a*psi)+EXP(alpha*b*psi)*(-1+Size*psi*alpha))*(Beta*Phi)/((alpha*psi)*(EXP(alpha*a*psi)-EXP(alpha*b*psi)))</f>
        <v>12.2941718960407</v>
      </c>
      <c r="P26" s="7" t="n">
        <f aca="false">(EXP(alpha*(zeta-a*psi))*Beta*Phi*(-EXP(alpha*a*psi)*(-2+(-1)*Size*alpha*psi)+EXP(alpha*b*psi)*(-2+Size*alpha*psi)))/((alpha^3)*(psi^3))</f>
        <v>78.836375998096</v>
      </c>
      <c r="Q26" s="7" t="n">
        <f aca="false">Tau*Beta</f>
        <v>414</v>
      </c>
      <c r="R26" s="7" t="n">
        <f aca="false">Tau*Beta</f>
        <v>414</v>
      </c>
      <c r="S26" s="11" t="n">
        <f aca="false">Tau</f>
        <v>2.3</v>
      </c>
      <c r="T26" s="7" t="n">
        <f aca="false">Profit+Utility</f>
        <v>1968.24348418537</v>
      </c>
      <c r="U26" s="7" t="n">
        <f aca="false">ij*BUTIJ+BUTII</f>
        <v>1774.17081091352</v>
      </c>
      <c r="V26" s="7" t="n">
        <f aca="false">Revenue-Cost</f>
        <v>194.072673271846</v>
      </c>
      <c r="W26" s="7" t="n">
        <f aca="false">(2*ij*BRIJ)+(2)*jj*BRJJ</f>
        <v>387.972556357432</v>
      </c>
      <c r="X26" s="9" t="n">
        <f aca="false">2*(ij*BCCIJ)+(2*jj*BCCJJ)+BCS+jj*BCPTJJ+2*(ij*BCPTIJ)+BCPTII+BCk</f>
        <v>193.899883085586</v>
      </c>
    </row>
    <row r="27" customFormat="false" ht="13" hidden="false" customHeight="false" outlineLevel="0" collapsed="false">
      <c r="A27" s="2" t="n">
        <f aca="false">A26+0.1</f>
        <v>2.4</v>
      </c>
      <c r="B27" s="2" t="n">
        <v>0.6</v>
      </c>
      <c r="C27" s="2" t="n">
        <v>10</v>
      </c>
      <c r="D27" s="2" t="n">
        <v>0</v>
      </c>
      <c r="E27" s="2" t="n">
        <f aca="false">Size-a</f>
        <v>10</v>
      </c>
      <c r="F27" s="10" t="n">
        <f aca="false">(EXP(alpha*(Tau+OldTau+zeta-2*a*psi))*((EXP(alpha*a*psi)-EXP(alpha*b*psi))^2))/((EXP(alpha*a*psi)-EXP(alpha*(2*OldTau+b*psi)))*(alpha^2)*(psi^2))</f>
        <v>0.418468117482651</v>
      </c>
      <c r="G27" s="10" t="n">
        <f aca="false">(EXP(alpha*(zeta+(2*b-a)*psi))*(-1+EXP(alpha*(-1)*Size*psi))*(EXP(alpha*(2*(Tau+OldTau)+a*psi))-EXP(alpha*(2*(Tau+OldTau)+b*psi))))/(((EXP(alpha*a*psi)-EXP(alpha*(2*OldTau+b*psi)))^2)*(alpha^2)*(psi^2))</f>
        <v>0.00498369247671435</v>
      </c>
      <c r="H27" s="7" t="n">
        <f aca="false">-Beta/alpha</f>
        <v>180</v>
      </c>
      <c r="I27" s="7" t="n">
        <f aca="false">(-EXP(alpha*zeta)*Beta*(-1+EXP(alpha*Size*psi)-Size*alpha*psi))/((alpha^3)*(psi^2))</f>
        <v>1690.92462806846</v>
      </c>
      <c r="J27" s="7" t="n">
        <f aca="false">Beta*Theta</f>
        <v>14.4</v>
      </c>
      <c r="K27" s="7" t="n">
        <f aca="false">Beta*Theta</f>
        <v>14.4</v>
      </c>
      <c r="L27" s="7" t="n">
        <f aca="false">kappa</f>
        <v>90</v>
      </c>
      <c r="M27" s="7" t="n">
        <f aca="false">Gamma*Size</f>
        <v>0</v>
      </c>
      <c r="N27" s="7" t="n">
        <f aca="false">Size*Beta*Phi</f>
        <v>32.4</v>
      </c>
      <c r="O27" s="7" t="n">
        <f aca="false">-(EXP(alpha*a*psi)+EXP(alpha*b*psi)*(-1+Size*psi*alpha))*(Beta*Phi)/((alpha*psi)*(EXP(alpha*a*psi)-EXP(alpha*b*psi)))</f>
        <v>12.2941718960407</v>
      </c>
      <c r="P27" s="7" t="n">
        <f aca="false">(EXP(alpha*(zeta-a*psi))*Beta*Phi*(-EXP(alpha*a*psi)*(-2+(-1)*Size*alpha*psi)+EXP(alpha*b*psi)*(-2+Size*alpha*psi)))/((alpha^3)*(psi^3))</f>
        <v>78.836375998096</v>
      </c>
      <c r="Q27" s="7" t="n">
        <f aca="false">Tau*Beta</f>
        <v>432</v>
      </c>
      <c r="R27" s="7" t="n">
        <f aca="false">Tau*Beta</f>
        <v>432</v>
      </c>
      <c r="S27" s="11" t="n">
        <f aca="false">Tau</f>
        <v>2.4</v>
      </c>
      <c r="T27" s="7" t="n">
        <f aca="false">Profit+Utility</f>
        <v>1940.62855532037</v>
      </c>
      <c r="U27" s="7" t="n">
        <f aca="false">ij*BUTIJ+BUTII</f>
        <v>1766.24888921533</v>
      </c>
      <c r="V27" s="7" t="n">
        <f aca="false">Revenue-Cost</f>
        <v>174.379666105032</v>
      </c>
      <c r="W27" s="7" t="n">
        <f aca="false">(2*ij*BRIJ)+(2)*jj*BRJJ</f>
        <v>365.862363804891</v>
      </c>
      <c r="X27" s="9" t="n">
        <f aca="false">2*(ij*BCCIJ)+(2*jj*BCCJJ)+BCS+jj*BCPTJJ+2*(ij*BCPTIJ)+BCPTII+BCk</f>
        <v>191.48269769986</v>
      </c>
    </row>
    <row r="28" customFormat="false" ht="13" hidden="false" customHeight="false" outlineLevel="0" collapsed="false">
      <c r="A28" s="2" t="n">
        <f aca="false">A27+0.1</f>
        <v>2.5</v>
      </c>
      <c r="B28" s="2" t="n">
        <v>0.6</v>
      </c>
      <c r="C28" s="2" t="n">
        <v>10</v>
      </c>
      <c r="D28" s="2" t="n">
        <v>0</v>
      </c>
      <c r="E28" s="2" t="n">
        <f aca="false">Size-a</f>
        <v>10</v>
      </c>
      <c r="F28" s="10" t="n">
        <f aca="false">(EXP(alpha*(Tau+OldTau+zeta-2*a*psi))*((EXP(alpha*a*psi)-EXP(alpha*b*psi))^2))/((EXP(alpha*a*psi)-EXP(alpha*(2*OldTau+b*psi)))*(alpha^2)*(psi^2))</f>
        <v>0.37864561095337</v>
      </c>
      <c r="G28" s="10" t="n">
        <f aca="false">(EXP(alpha*(zeta+(2*b-a)*psi))*(-1+EXP(alpha*(-1)*Size*psi))*(EXP(alpha*(2*(Tau+OldTau)+a*psi))-EXP(alpha*(2*(Tau+OldTau)+b*psi))))/(((EXP(alpha*a*psi)-EXP(alpha*(2*OldTau+b*psi)))^2)*(alpha^2)*(psi^2))</f>
        <v>0.00408030229456941</v>
      </c>
      <c r="H28" s="7" t="n">
        <f aca="false">-Beta/alpha</f>
        <v>180</v>
      </c>
      <c r="I28" s="7" t="n">
        <f aca="false">(-EXP(alpha*zeta)*Beta*(-1+EXP(alpha*Size*psi)-Size*alpha*psi))/((alpha^3)*(psi^2))</f>
        <v>1690.92462806846</v>
      </c>
      <c r="J28" s="7" t="n">
        <f aca="false">Beta*Theta</f>
        <v>14.4</v>
      </c>
      <c r="K28" s="7" t="n">
        <f aca="false">Beta*Theta</f>
        <v>14.4</v>
      </c>
      <c r="L28" s="7" t="n">
        <f aca="false">kappa</f>
        <v>90</v>
      </c>
      <c r="M28" s="7" t="n">
        <f aca="false">Gamma*Size</f>
        <v>0</v>
      </c>
      <c r="N28" s="7" t="n">
        <f aca="false">Size*Beta*Phi</f>
        <v>32.4</v>
      </c>
      <c r="O28" s="7" t="n">
        <f aca="false">-(EXP(alpha*a*psi)+EXP(alpha*b*psi)*(-1+Size*psi*alpha))*(Beta*Phi)/((alpha*psi)*(EXP(alpha*a*psi)-EXP(alpha*b*psi)))</f>
        <v>12.2941718960407</v>
      </c>
      <c r="P28" s="7" t="n">
        <f aca="false">(EXP(alpha*(zeta-a*psi))*Beta*Phi*(-EXP(alpha*a*psi)*(-2+(-1)*Size*alpha*psi)+EXP(alpha*b*psi)*(-2+Size*alpha*psi)))/((alpha^3)*(psi^3))</f>
        <v>78.836375998096</v>
      </c>
      <c r="Q28" s="7" t="n">
        <f aca="false">Tau*Beta</f>
        <v>450</v>
      </c>
      <c r="R28" s="7" t="n">
        <f aca="false">Tau*Beta</f>
        <v>450</v>
      </c>
      <c r="S28" s="11" t="n">
        <f aca="false">Tau</f>
        <v>2.5</v>
      </c>
      <c r="T28" s="7" t="n">
        <f aca="false">Profit+Utility</f>
        <v>1914.23280741175</v>
      </c>
      <c r="U28" s="7" t="n">
        <f aca="false">ij*BUTIJ+BUTII</f>
        <v>1759.08083804006</v>
      </c>
      <c r="V28" s="7" t="n">
        <f aca="false">Revenue-Cost</f>
        <v>155.151969371681</v>
      </c>
      <c r="W28" s="7" t="n">
        <f aca="false">(2*ij*BRIJ)+(2)*jj*BRJJ</f>
        <v>344.453321923146</v>
      </c>
      <c r="X28" s="9" t="n">
        <f aca="false">2*(ij*BCCIJ)+(2*jj*BCCJJ)+BCS+jj*BCPTJJ+2*(ij*BCPTIJ)+BCPTII+BCk</f>
        <v>189.301352551465</v>
      </c>
    </row>
    <row r="29" customFormat="false" ht="13" hidden="false" customHeight="false" outlineLevel="0" collapsed="false">
      <c r="A29" s="2" t="n">
        <f aca="false">A28+0.1</f>
        <v>2.6</v>
      </c>
      <c r="B29" s="2" t="n">
        <v>0.6</v>
      </c>
      <c r="C29" s="2" t="n">
        <v>10</v>
      </c>
      <c r="D29" s="2" t="n">
        <v>0</v>
      </c>
      <c r="E29" s="2" t="n">
        <f aca="false">Size-a</f>
        <v>10</v>
      </c>
      <c r="F29" s="10" t="n">
        <f aca="false">(EXP(alpha*(Tau+OldTau+zeta-2*a*psi))*((EXP(alpha*a*psi)-EXP(alpha*b*psi))^2))/((EXP(alpha*a*psi)-EXP(alpha*(2*OldTau+b*psi)))*(alpha^2)*(psi^2))</f>
        <v>0.342612716965696</v>
      </c>
      <c r="G29" s="10" t="n">
        <f aca="false">(EXP(alpha*(zeta+(2*b-a)*psi))*(-1+EXP(alpha*(-1)*Size*psi))*(EXP(alpha*(2*(Tau+OldTau)+a*psi))-EXP(alpha*(2*(Tau+OldTau)+b*psi))))/(((EXP(alpha*a*psi)-EXP(alpha*(2*OldTau+b*psi)))^2)*(alpha^2)*(psi^2))</f>
        <v>0.00334066897041863</v>
      </c>
      <c r="H29" s="7" t="n">
        <f aca="false">-Beta/alpha</f>
        <v>180</v>
      </c>
      <c r="I29" s="7" t="n">
        <f aca="false">(-EXP(alpha*zeta)*Beta*(-1+EXP(alpha*Size*psi)-Size*alpha*psi))/((alpha^3)*(psi^2))</f>
        <v>1690.92462806846</v>
      </c>
      <c r="J29" s="7" t="n">
        <f aca="false">Beta*Theta</f>
        <v>14.4</v>
      </c>
      <c r="K29" s="7" t="n">
        <f aca="false">Beta*Theta</f>
        <v>14.4</v>
      </c>
      <c r="L29" s="7" t="n">
        <f aca="false">kappa</f>
        <v>90</v>
      </c>
      <c r="M29" s="7" t="n">
        <f aca="false">Gamma*Size</f>
        <v>0</v>
      </c>
      <c r="N29" s="7" t="n">
        <f aca="false">Size*Beta*Phi</f>
        <v>32.4</v>
      </c>
      <c r="O29" s="7" t="n">
        <f aca="false">-(EXP(alpha*a*psi)+EXP(alpha*b*psi)*(-1+Size*psi*alpha))*(Beta*Phi)/((alpha*psi)*(EXP(alpha*a*psi)-EXP(alpha*b*psi)))</f>
        <v>12.2941718960407</v>
      </c>
      <c r="P29" s="7" t="n">
        <f aca="false">(EXP(alpha*(zeta-a*psi))*Beta*Phi*(-EXP(alpha*a*psi)*(-2+(-1)*Size*alpha*psi)+EXP(alpha*b*psi)*(-2+Size*alpha*psi)))/((alpha^3)*(psi^3))</f>
        <v>78.836375998096</v>
      </c>
      <c r="Q29" s="7" t="n">
        <f aca="false">Tau*Beta</f>
        <v>468</v>
      </c>
      <c r="R29" s="7" t="n">
        <f aca="false">Tau*Beta</f>
        <v>468</v>
      </c>
      <c r="S29" s="11" t="n">
        <f aca="false">Tau</f>
        <v>2.6</v>
      </c>
      <c r="T29" s="7" t="n">
        <f aca="false">Profit+Utility</f>
        <v>1889.0749358985</v>
      </c>
      <c r="U29" s="7" t="n">
        <f aca="false">ij*BUTIJ+BUTII</f>
        <v>1752.59491712228</v>
      </c>
      <c r="V29" s="7" t="n">
        <f aca="false">Revenue-Cost</f>
        <v>136.480018776214</v>
      </c>
      <c r="W29" s="7" t="n">
        <f aca="false">(2*ij*BRIJ)+(2)*jj*BRJJ</f>
        <v>323.812369236203</v>
      </c>
      <c r="X29" s="9" t="n">
        <f aca="false">2*(ij*BCCIJ)+(2*jj*BCCJJ)+BCS+jj*BCPTJJ+2*(ij*BCPTIJ)+BCPTII+BCk</f>
        <v>187.332350459989</v>
      </c>
    </row>
    <row r="30" customFormat="false" ht="13" hidden="false" customHeight="false" outlineLevel="0" collapsed="false">
      <c r="A30" s="2" t="n">
        <f aca="false">A29+0.1</f>
        <v>2.7</v>
      </c>
      <c r="B30" s="2" t="n">
        <v>0.6</v>
      </c>
      <c r="C30" s="2" t="n">
        <v>10</v>
      </c>
      <c r="D30" s="2" t="n">
        <v>0</v>
      </c>
      <c r="E30" s="2" t="n">
        <f aca="false">Size-a</f>
        <v>10</v>
      </c>
      <c r="F30" s="10" t="n">
        <f aca="false">(EXP(alpha*(Tau+OldTau+zeta-2*a*psi))*((EXP(alpha*a*psi)-EXP(alpha*b*psi))^2))/((EXP(alpha*a*psi)-EXP(alpha*(2*OldTau+b*psi)))*(alpha^2)*(psi^2))</f>
        <v>0.310008806205525</v>
      </c>
      <c r="G30" s="10" t="n">
        <f aca="false">(EXP(alpha*(zeta+(2*b-a)*psi))*(-1+EXP(alpha*(-1)*Size*psi))*(EXP(alpha*(2*(Tau+OldTau)+a*psi))-EXP(alpha*(2*(Tau+OldTau)+b*psi))))/(((EXP(alpha*a*psi)-EXP(alpha*(2*OldTau+b*psi)))^2)*(alpha^2)*(psi^2))</f>
        <v>0.00273510842193509</v>
      </c>
      <c r="H30" s="7" t="n">
        <f aca="false">-Beta/alpha</f>
        <v>180</v>
      </c>
      <c r="I30" s="7" t="n">
        <f aca="false">(-EXP(alpha*zeta)*Beta*(-1+EXP(alpha*Size*psi)-Size*alpha*psi))/((alpha^3)*(psi^2))</f>
        <v>1690.92462806846</v>
      </c>
      <c r="J30" s="7" t="n">
        <f aca="false">Beta*Theta</f>
        <v>14.4</v>
      </c>
      <c r="K30" s="7" t="n">
        <f aca="false">Beta*Theta</f>
        <v>14.4</v>
      </c>
      <c r="L30" s="7" t="n">
        <f aca="false">kappa</f>
        <v>90</v>
      </c>
      <c r="M30" s="7" t="n">
        <f aca="false">Gamma*Size</f>
        <v>0</v>
      </c>
      <c r="N30" s="7" t="n">
        <f aca="false">Size*Beta*Phi</f>
        <v>32.4</v>
      </c>
      <c r="O30" s="7" t="n">
        <f aca="false">-(EXP(alpha*a*psi)+EXP(alpha*b*psi)*(-1+Size*psi*alpha))*(Beta*Phi)/((alpha*psi)*(EXP(alpha*a*psi)-EXP(alpha*b*psi)))</f>
        <v>12.2941718960407</v>
      </c>
      <c r="P30" s="7" t="n">
        <f aca="false">(EXP(alpha*(zeta-a*psi))*Beta*Phi*(-EXP(alpha*a*psi)*(-2+(-1)*Size*alpha*psi)+EXP(alpha*b*psi)*(-2+Size*alpha*psi)))/((alpha^3)*(psi^3))</f>
        <v>78.836375998096</v>
      </c>
      <c r="Q30" s="7" t="n">
        <f aca="false">Tau*Beta</f>
        <v>486</v>
      </c>
      <c r="R30" s="7" t="n">
        <f aca="false">Tau*Beta</f>
        <v>486</v>
      </c>
      <c r="S30" s="11" t="n">
        <f aca="false">Tau</f>
        <v>2.7</v>
      </c>
      <c r="T30" s="7" t="n">
        <f aca="false">Profit+Utility</f>
        <v>1865.15867684555</v>
      </c>
      <c r="U30" s="7" t="n">
        <f aca="false">ij*BUTIJ+BUTII</f>
        <v>1746.72621318545</v>
      </c>
      <c r="V30" s="7" t="n">
        <f aca="false">Revenue-Cost</f>
        <v>118.4324636601</v>
      </c>
      <c r="W30" s="7" t="n">
        <f aca="false">(2*ij*BRIJ)+(2)*jj*BRJJ</f>
        <v>303.987085017891</v>
      </c>
      <c r="X30" s="9" t="n">
        <f aca="false">2*(ij*BCCIJ)+(2*jj*BCCJJ)+BCS+jj*BCPTJJ+2*(ij*BCPTIJ)+BCPTII+BCk</f>
        <v>185.554621357792</v>
      </c>
    </row>
    <row r="31" customFormat="false" ht="13" hidden="false" customHeight="false" outlineLevel="0" collapsed="false">
      <c r="A31" s="2" t="n">
        <f aca="false">A30+0.1</f>
        <v>2.8</v>
      </c>
      <c r="B31" s="2" t="n">
        <v>0.6</v>
      </c>
      <c r="C31" s="2" t="n">
        <v>10</v>
      </c>
      <c r="D31" s="2" t="n">
        <v>0</v>
      </c>
      <c r="E31" s="2" t="n">
        <f aca="false">Size-a</f>
        <v>10</v>
      </c>
      <c r="F31" s="10" t="n">
        <f aca="false">(EXP(alpha*(Tau+OldTau+zeta-2*a*psi))*((EXP(alpha*a*psi)-EXP(alpha*b*psi))^2))/((EXP(alpha*a*psi)-EXP(alpha*(2*OldTau+b*psi)))*(alpha^2)*(psi^2))</f>
        <v>0.280507567775418</v>
      </c>
      <c r="G31" s="10" t="n">
        <f aca="false">(EXP(alpha*(zeta+(2*b-a)*psi))*(-1+EXP(alpha*(-1)*Size*psi))*(EXP(alpha*(2*(Tau+OldTau)+a*psi))-EXP(alpha*(2*(Tau+OldTau)+b*psi))))/(((EXP(alpha*a*psi)-EXP(alpha*(2*OldTau+b*psi)))^2)*(alpha^2)*(psi^2))</f>
        <v>0.00223931737804085</v>
      </c>
      <c r="H31" s="7" t="n">
        <f aca="false">-Beta/alpha</f>
        <v>180</v>
      </c>
      <c r="I31" s="7" t="n">
        <f aca="false">(-EXP(alpha*zeta)*Beta*(-1+EXP(alpha*Size*psi)-Size*alpha*psi))/((alpha^3)*(psi^2))</f>
        <v>1690.92462806846</v>
      </c>
      <c r="J31" s="7" t="n">
        <f aca="false">Beta*Theta</f>
        <v>14.4</v>
      </c>
      <c r="K31" s="7" t="n">
        <f aca="false">Beta*Theta</f>
        <v>14.4</v>
      </c>
      <c r="L31" s="7" t="n">
        <f aca="false">kappa</f>
        <v>90</v>
      </c>
      <c r="M31" s="7" t="n">
        <f aca="false">Gamma*Size</f>
        <v>0</v>
      </c>
      <c r="N31" s="7" t="n">
        <f aca="false">Size*Beta*Phi</f>
        <v>32.4</v>
      </c>
      <c r="O31" s="7" t="n">
        <f aca="false">-(EXP(alpha*a*psi)+EXP(alpha*b*psi)*(-1+Size*psi*alpha))*(Beta*Phi)/((alpha*psi)*(EXP(alpha*a*psi)-EXP(alpha*b*psi)))</f>
        <v>12.2941718960407</v>
      </c>
      <c r="P31" s="7" t="n">
        <f aca="false">(EXP(alpha*(zeta-a*psi))*Beta*Phi*(-EXP(alpha*a*psi)*(-2+(-1)*Size*alpha*psi)+EXP(alpha*b*psi)*(-2+Size*alpha*psi)))/((alpha^3)*(psi^3))</f>
        <v>78.836375998096</v>
      </c>
      <c r="Q31" s="7" t="n">
        <f aca="false">Tau*Beta</f>
        <v>504</v>
      </c>
      <c r="R31" s="7" t="n">
        <f aca="false">Tau*Beta</f>
        <v>504</v>
      </c>
      <c r="S31" s="11" t="n">
        <f aca="false">Tau</f>
        <v>2.8</v>
      </c>
      <c r="T31" s="7" t="n">
        <f aca="false">Profit+Utility</f>
        <v>1842.47559381641</v>
      </c>
      <c r="U31" s="7" t="n">
        <f aca="false">ij*BUTIJ+BUTII</f>
        <v>1741.41599026803</v>
      </c>
      <c r="V31" s="7" t="n">
        <f aca="false">Revenue-Cost</f>
        <v>101.05960354838</v>
      </c>
      <c r="W31" s="7" t="n">
        <f aca="false">(2*ij*BRIJ)+(2)*jj*BRJJ</f>
        <v>285.008860234686</v>
      </c>
      <c r="X31" s="9" t="n">
        <f aca="false">2*(ij*BCCIJ)+(2*jj*BCCJJ)+BCS+jj*BCPTJJ+2*(ij*BCPTIJ)+BCPTII+BCk</f>
        <v>183.949256686307</v>
      </c>
    </row>
    <row r="32" customFormat="false" ht="13" hidden="false" customHeight="false" outlineLevel="0" collapsed="false">
      <c r="A32" s="2" t="n">
        <f aca="false">A31+0.1</f>
        <v>2.9</v>
      </c>
      <c r="B32" s="2" t="n">
        <v>0.6</v>
      </c>
      <c r="C32" s="2" t="n">
        <v>10</v>
      </c>
      <c r="D32" s="2" t="n">
        <v>0</v>
      </c>
      <c r="E32" s="2" t="n">
        <f aca="false">Size-a</f>
        <v>10</v>
      </c>
      <c r="F32" s="10" t="n">
        <f aca="false">(EXP(alpha*(Tau+OldTau+zeta-2*a*psi))*((EXP(alpha*a*psi)-EXP(alpha*b*psi))^2))/((EXP(alpha*a*psi)-EXP(alpha*(2*OldTau+b*psi)))*(alpha^2)*(psi^2))</f>
        <v>0.253813743365456</v>
      </c>
      <c r="G32" s="10" t="n">
        <f aca="false">(EXP(alpha*(zeta+(2*b-a)*psi))*(-1+EXP(alpha*(-1)*Size*psi))*(EXP(alpha*(2*(Tau+OldTau)+a*psi))-EXP(alpha*(2*(Tau+OldTau)+b*psi))))/(((EXP(alpha*a*psi)-EXP(alpha*(2*OldTau+b*psi)))^2)*(alpha^2)*(psi^2))</f>
        <v>0.001833398003304</v>
      </c>
      <c r="H32" s="7" t="n">
        <f aca="false">-Beta/alpha</f>
        <v>180</v>
      </c>
      <c r="I32" s="7" t="n">
        <f aca="false">(-EXP(alpha*zeta)*Beta*(-1+EXP(alpha*Size*psi)-Size*alpha*psi))/((alpha^3)*(psi^2))</f>
        <v>1690.92462806846</v>
      </c>
      <c r="J32" s="7" t="n">
        <f aca="false">Beta*Theta</f>
        <v>14.4</v>
      </c>
      <c r="K32" s="7" t="n">
        <f aca="false">Beta*Theta</f>
        <v>14.4</v>
      </c>
      <c r="L32" s="7" t="n">
        <f aca="false">kappa</f>
        <v>90</v>
      </c>
      <c r="M32" s="7" t="n">
        <f aca="false">Gamma*Size</f>
        <v>0</v>
      </c>
      <c r="N32" s="7" t="n">
        <f aca="false">Size*Beta*Phi</f>
        <v>32.4</v>
      </c>
      <c r="O32" s="7" t="n">
        <f aca="false">-(EXP(alpha*a*psi)+EXP(alpha*b*psi)*(-1+Size*psi*alpha))*(Beta*Phi)/((alpha*psi)*(EXP(alpha*a*psi)-EXP(alpha*b*psi)))</f>
        <v>12.2941718960407</v>
      </c>
      <c r="P32" s="7" t="n">
        <f aca="false">(EXP(alpha*(zeta-a*psi))*Beta*Phi*(-EXP(alpha*a*psi)*(-2+(-1)*Size*alpha*psi)+EXP(alpha*b*psi)*(-2+Size*alpha*psi)))/((alpha^3)*(psi^3))</f>
        <v>78.836375998096</v>
      </c>
      <c r="Q32" s="7" t="n">
        <f aca="false">Tau*Beta</f>
        <v>522</v>
      </c>
      <c r="R32" s="7" t="n">
        <f aca="false">Tau*Beta</f>
        <v>522</v>
      </c>
      <c r="S32" s="11" t="n">
        <f aca="false">Tau</f>
        <v>2.9</v>
      </c>
      <c r="T32" s="7" t="n">
        <f aca="false">Profit+Utility</f>
        <v>1821.00744211738</v>
      </c>
      <c r="U32" s="7" t="n">
        <f aca="false">ij*BUTIJ+BUTII</f>
        <v>1736.61110187424</v>
      </c>
      <c r="V32" s="7" t="n">
        <f aca="false">Revenue-Cost</f>
        <v>84.3963402431369</v>
      </c>
      <c r="W32" s="7" t="n">
        <f aca="false">(2*ij*BRIJ)+(2)*jj*BRJJ</f>
        <v>266.895615588985</v>
      </c>
      <c r="X32" s="9" t="n">
        <f aca="false">2*(ij*BCCIJ)+(2*jj*BCCJJ)+BCS+jj*BCPTJJ+2*(ij*BCPTIJ)+BCPTII+BCk</f>
        <v>182.499275345848</v>
      </c>
    </row>
    <row r="33" customFormat="false" ht="13" hidden="false" customHeight="false" outlineLevel="0" collapsed="false">
      <c r="A33" s="2" t="n">
        <f aca="false">A32+0.1</f>
        <v>3</v>
      </c>
      <c r="B33" s="2" t="n">
        <v>0.6</v>
      </c>
      <c r="C33" s="2" t="n">
        <v>10</v>
      </c>
      <c r="D33" s="2" t="n">
        <v>0</v>
      </c>
      <c r="E33" s="2" t="n">
        <f aca="false">Size-a</f>
        <v>10</v>
      </c>
      <c r="F33" s="10" t="n">
        <f aca="false">(EXP(alpha*(Tau+OldTau+zeta-2*a*psi))*((EXP(alpha*a*psi)-EXP(alpha*b*psi))^2))/((EXP(alpha*a*psi)-EXP(alpha*(2*OldTau+b*psi)))*(alpha^2)*(psi^2))</f>
        <v>0.22966017220884</v>
      </c>
      <c r="G33" s="10" t="n">
        <f aca="false">(EXP(alpha*(zeta+(2*b-a)*psi))*(-1+EXP(alpha*(-1)*Size*psi))*(EXP(alpha*(2*(Tau+OldTau)+a*psi))-EXP(alpha*(2*(Tau+OldTau)+b*psi))))/(((EXP(alpha*a*psi)-EXP(alpha*(2*OldTau+b*psi)))^2)*(alpha^2)*(psi^2))</f>
        <v>0.00150105932793675</v>
      </c>
      <c r="H33" s="7" t="n">
        <f aca="false">-Beta/alpha</f>
        <v>180</v>
      </c>
      <c r="I33" s="7" t="n">
        <f aca="false">(-EXP(alpha*zeta)*Beta*(-1+EXP(alpha*Size*psi)-Size*alpha*psi))/((alpha^3)*(psi^2))</f>
        <v>1690.92462806846</v>
      </c>
      <c r="J33" s="7" t="n">
        <f aca="false">Beta*Theta</f>
        <v>14.4</v>
      </c>
      <c r="K33" s="7" t="n">
        <f aca="false">Beta*Theta</f>
        <v>14.4</v>
      </c>
      <c r="L33" s="7" t="n">
        <f aca="false">kappa</f>
        <v>90</v>
      </c>
      <c r="M33" s="7" t="n">
        <f aca="false">Gamma*Size</f>
        <v>0</v>
      </c>
      <c r="N33" s="7" t="n">
        <f aca="false">Size*Beta*Phi</f>
        <v>32.4</v>
      </c>
      <c r="O33" s="7" t="n">
        <f aca="false">-(EXP(alpha*a*psi)+EXP(alpha*b*psi)*(-1+Size*psi*alpha))*(Beta*Phi)/((alpha*psi)*(EXP(alpha*a*psi)-EXP(alpha*b*psi)))</f>
        <v>12.2941718960407</v>
      </c>
      <c r="P33" s="7" t="n">
        <f aca="false">(EXP(alpha*(zeta-a*psi))*Beta*Phi*(-EXP(alpha*a*psi)*(-2+(-1)*Size*alpha*psi)+EXP(alpha*b*psi)*(-2+Size*alpha*psi)))/((alpha^3)*(psi^3))</f>
        <v>78.836375998096</v>
      </c>
      <c r="Q33" s="7" t="n">
        <f aca="false">Tau*Beta</f>
        <v>540</v>
      </c>
      <c r="R33" s="7" t="n">
        <f aca="false">Tau*Beta</f>
        <v>540</v>
      </c>
      <c r="S33" s="11" t="n">
        <f aca="false">Tau</f>
        <v>3</v>
      </c>
      <c r="T33" s="7" t="n">
        <f aca="false">Profit+Utility</f>
        <v>1800.72817206757</v>
      </c>
      <c r="U33" s="7" t="n">
        <f aca="false">ij*BUTIJ+BUTII</f>
        <v>1732.26345906605</v>
      </c>
      <c r="V33" s="7" t="n">
        <f aca="false">Revenue-Cost</f>
        <v>68.4647130015196</v>
      </c>
      <c r="W33" s="7" t="n">
        <f aca="false">(2*ij*BRIJ)+(2)*jj*BRJJ</f>
        <v>249.654130059719</v>
      </c>
      <c r="X33" s="9" t="n">
        <f aca="false">2*(ij*BCCIJ)+(2*jj*BCCJJ)+BCS+jj*BCPTJJ+2*(ij*BCPTIJ)+BCPTII+BCk</f>
        <v>181.1894170582</v>
      </c>
    </row>
    <row r="34" customFormat="false" ht="13" hidden="false" customHeight="false" outlineLevel="0" collapsed="false">
      <c r="A34" s="2" t="n">
        <f aca="false">A33+0.1</f>
        <v>3.1</v>
      </c>
      <c r="B34" s="2" t="n">
        <v>0.6</v>
      </c>
      <c r="C34" s="2" t="n">
        <v>10</v>
      </c>
      <c r="D34" s="2" t="n">
        <v>0</v>
      </c>
      <c r="E34" s="2" t="n">
        <f aca="false">Size-a</f>
        <v>10</v>
      </c>
      <c r="F34" s="10" t="n">
        <f aca="false">(EXP(alpha*(Tau+OldTau+zeta-2*a*psi))*((EXP(alpha*a*psi)-EXP(alpha*b*psi))^2))/((EXP(alpha*a*psi)-EXP(alpha*(2*OldTau+b*psi)))*(alpha^2)*(psi^2))</f>
        <v>0.207805117247141</v>
      </c>
      <c r="G34" s="10" t="n">
        <f aca="false">(EXP(alpha*(zeta+(2*b-a)*psi))*(-1+EXP(alpha*(-1)*Size*psi))*(EXP(alpha*(2*(Tau+OldTau)+a*psi))-EXP(alpha*(2*(Tau+OldTau)+b*psi))))/(((EXP(alpha*a*psi)-EXP(alpha*(2*OldTau+b*psi)))^2)*(alpha^2)*(psi^2))</f>
        <v>0.00122896343397638</v>
      </c>
      <c r="H34" s="7" t="n">
        <f aca="false">-Beta/alpha</f>
        <v>180</v>
      </c>
      <c r="I34" s="7" t="n">
        <f aca="false">(-EXP(alpha*zeta)*Beta*(-1+EXP(alpha*Size*psi)-Size*alpha*psi))/((alpha^3)*(psi^2))</f>
        <v>1690.92462806846</v>
      </c>
      <c r="J34" s="7" t="n">
        <f aca="false">Beta*Theta</f>
        <v>14.4</v>
      </c>
      <c r="K34" s="7" t="n">
        <f aca="false">Beta*Theta</f>
        <v>14.4</v>
      </c>
      <c r="L34" s="7" t="n">
        <f aca="false">kappa</f>
        <v>90</v>
      </c>
      <c r="M34" s="7" t="n">
        <f aca="false">Gamma*Size</f>
        <v>0</v>
      </c>
      <c r="N34" s="7" t="n">
        <f aca="false">Size*Beta*Phi</f>
        <v>32.4</v>
      </c>
      <c r="O34" s="7" t="n">
        <f aca="false">-(EXP(alpha*a*psi)+EXP(alpha*b*psi)*(-1+Size*psi*alpha))*(Beta*Phi)/((alpha*psi)*(EXP(alpha*a*psi)-EXP(alpha*b*psi)))</f>
        <v>12.2941718960407</v>
      </c>
      <c r="P34" s="7" t="n">
        <f aca="false">(EXP(alpha*(zeta-a*psi))*Beta*Phi*(-EXP(alpha*a*psi)*(-2+(-1)*Size*alpha*psi)+EXP(alpha*b*psi)*(-2+Size*alpha*psi)))/((alpha^3)*(psi^3))</f>
        <v>78.836375998096</v>
      </c>
      <c r="Q34" s="7" t="n">
        <f aca="false">Tau*Beta</f>
        <v>558</v>
      </c>
      <c r="R34" s="7" t="n">
        <f aca="false">Tau*Beta</f>
        <v>558</v>
      </c>
      <c r="S34" s="11" t="n">
        <f aca="false">Tau</f>
        <v>3.1</v>
      </c>
      <c r="T34" s="7" t="n">
        <f aca="false">Profit+Utility</f>
        <v>1781.60562361147</v>
      </c>
      <c r="U34" s="7" t="n">
        <f aca="false">ij*BUTIJ+BUTII</f>
        <v>1728.32954917294</v>
      </c>
      <c r="V34" s="7" t="n">
        <f aca="false">Revenue-Cost</f>
        <v>53.2760744385278</v>
      </c>
      <c r="W34" s="7" t="n">
        <f aca="false">(2*ij*BRIJ)+(2)*jj*BRJJ</f>
        <v>233.282034040127</v>
      </c>
      <c r="X34" s="9" t="n">
        <f aca="false">2*(ij*BCCIJ)+(2*jj*BCCJJ)+BCS+jj*BCPTJJ+2*(ij*BCPTIJ)+BCPTII+BCk</f>
        <v>180.005959601599</v>
      </c>
    </row>
    <row r="35" customFormat="false" ht="13" hidden="false" customHeight="false" outlineLevel="0" collapsed="false">
      <c r="A35" s="2" t="n">
        <f aca="false">A34+0.1</f>
        <v>3.2</v>
      </c>
      <c r="B35" s="2" t="n">
        <v>0.6</v>
      </c>
      <c r="C35" s="2" t="n">
        <v>10</v>
      </c>
      <c r="D35" s="2" t="n">
        <v>0</v>
      </c>
      <c r="E35" s="2" t="n">
        <f aca="false">Size-a</f>
        <v>10</v>
      </c>
      <c r="F35" s="10" t="n">
        <f aca="false">(EXP(alpha*(Tau+OldTau+zeta-2*a*psi))*((EXP(alpha*a*psi)-EXP(alpha*b*psi))^2))/((EXP(alpha*a*psi)-EXP(alpha*(2*OldTau+b*psi)))*(alpha^2)*(psi^2))</f>
        <v>0.188029845744563</v>
      </c>
      <c r="G35" s="10" t="n">
        <f aca="false">(EXP(alpha*(zeta+(2*b-a)*psi))*(-1+EXP(alpha*(-1)*Size*psi))*(EXP(alpha*(2*(Tau+OldTau)+a*psi))-EXP(alpha*(2*(Tau+OldTau)+b*psi))))/(((EXP(alpha*a*psi)-EXP(alpha*(2*OldTau+b*psi)))^2)*(alpha^2)*(psi^2))</f>
        <v>0.00100619015780479</v>
      </c>
      <c r="H35" s="7" t="n">
        <f aca="false">-Beta/alpha</f>
        <v>180</v>
      </c>
      <c r="I35" s="7" t="n">
        <f aca="false">(-EXP(alpha*zeta)*Beta*(-1+EXP(alpha*Size*psi)-Size*alpha*psi))/((alpha^3)*(psi^2))</f>
        <v>1690.92462806846</v>
      </c>
      <c r="J35" s="7" t="n">
        <f aca="false">Beta*Theta</f>
        <v>14.4</v>
      </c>
      <c r="K35" s="7" t="n">
        <f aca="false">Beta*Theta</f>
        <v>14.4</v>
      </c>
      <c r="L35" s="7" t="n">
        <f aca="false">kappa</f>
        <v>90</v>
      </c>
      <c r="M35" s="7" t="n">
        <f aca="false">Gamma*Size</f>
        <v>0</v>
      </c>
      <c r="N35" s="7" t="n">
        <f aca="false">Size*Beta*Phi</f>
        <v>32.4</v>
      </c>
      <c r="O35" s="7" t="n">
        <f aca="false">-(EXP(alpha*a*psi)+EXP(alpha*b*psi)*(-1+Size*psi*alpha))*(Beta*Phi)/((alpha*psi)*(EXP(alpha*a*psi)-EXP(alpha*b*psi)))</f>
        <v>12.2941718960407</v>
      </c>
      <c r="P35" s="7" t="n">
        <f aca="false">(EXP(alpha*(zeta-a*psi))*Beta*Phi*(-EXP(alpha*a*psi)*(-2+(-1)*Size*alpha*psi)+EXP(alpha*b*psi)*(-2+Size*alpha*psi)))/((alpha^3)*(psi^3))</f>
        <v>78.836375998096</v>
      </c>
      <c r="Q35" s="7" t="n">
        <f aca="false">Tau*Beta</f>
        <v>576</v>
      </c>
      <c r="R35" s="7" t="n">
        <f aca="false">Tau*Beta</f>
        <v>576</v>
      </c>
      <c r="S35" s="11" t="n">
        <f aca="false">Tau</f>
        <v>3.2</v>
      </c>
      <c r="T35" s="7" t="n">
        <f aca="false">Profit+Utility</f>
        <v>1763.60295677847</v>
      </c>
      <c r="U35" s="7" t="n">
        <f aca="false">ij*BUTIJ+BUTII</f>
        <v>1724.77000030248</v>
      </c>
      <c r="V35" s="7" t="n">
        <f aca="false">Revenue-Cost</f>
        <v>38.8329564759915</v>
      </c>
      <c r="W35" s="7" t="n">
        <f aca="false">(2*ij*BRIJ)+(2)*jj*BRJJ</f>
        <v>217.769513359528</v>
      </c>
      <c r="X35" s="9" t="n">
        <f aca="false">2*(ij*BCCIJ)+(2*jj*BCCJJ)+BCS+jj*BCPTJJ+2*(ij*BCPTIJ)+BCPTII+BCk</f>
        <v>178.936556883536</v>
      </c>
    </row>
    <row r="36" customFormat="false" ht="13" hidden="false" customHeight="false" outlineLevel="0" collapsed="false">
      <c r="A36" s="2" t="n">
        <f aca="false">A35+0.1</f>
        <v>3.3</v>
      </c>
      <c r="B36" s="2" t="n">
        <v>0.6</v>
      </c>
      <c r="C36" s="2" t="n">
        <v>10</v>
      </c>
      <c r="D36" s="2" t="n">
        <v>0</v>
      </c>
      <c r="E36" s="2" t="n">
        <f aca="false">Size-a</f>
        <v>10</v>
      </c>
      <c r="F36" s="10" t="n">
        <f aca="false">(EXP(alpha*(Tau+OldTau+zeta-2*a*psi))*((EXP(alpha*a*psi)-EXP(alpha*b*psi))^2))/((EXP(alpha*a*psi)-EXP(alpha*(2*OldTau+b*psi)))*(alpha^2)*(psi^2))</f>
        <v>0.17013644013721</v>
      </c>
      <c r="G36" s="10" t="n">
        <f aca="false">(EXP(alpha*(zeta+(2*b-a)*psi))*(-1+EXP(alpha*(-1)*Size*psi))*(EXP(alpha*(2*(Tau+OldTau)+a*psi))-EXP(alpha*(2*(Tau+OldTau)+b*psi))))/(((EXP(alpha*a*psi)-EXP(alpha*(2*OldTau+b*psi)))^2)*(alpha^2)*(psi^2))</f>
        <v>0.000823798825639166</v>
      </c>
      <c r="H36" s="7" t="n">
        <f aca="false">-Beta/alpha</f>
        <v>180</v>
      </c>
      <c r="I36" s="7" t="n">
        <f aca="false">(-EXP(alpha*zeta)*Beta*(-1+EXP(alpha*Size*psi)-Size*alpha*psi))/((alpha^3)*(psi^2))</f>
        <v>1690.92462806846</v>
      </c>
      <c r="J36" s="7" t="n">
        <f aca="false">Beta*Theta</f>
        <v>14.4</v>
      </c>
      <c r="K36" s="7" t="n">
        <f aca="false">Beta*Theta</f>
        <v>14.4</v>
      </c>
      <c r="L36" s="7" t="n">
        <f aca="false">kappa</f>
        <v>90</v>
      </c>
      <c r="M36" s="7" t="n">
        <f aca="false">Gamma*Size</f>
        <v>0</v>
      </c>
      <c r="N36" s="7" t="n">
        <f aca="false">Size*Beta*Phi</f>
        <v>32.4</v>
      </c>
      <c r="O36" s="7" t="n">
        <f aca="false">-(EXP(alpha*a*psi)+EXP(alpha*b*psi)*(-1+Size*psi*alpha))*(Beta*Phi)/((alpha*psi)*(EXP(alpha*a*psi)-EXP(alpha*b*psi)))</f>
        <v>12.2941718960407</v>
      </c>
      <c r="P36" s="7" t="n">
        <f aca="false">(EXP(alpha*(zeta-a*psi))*Beta*Phi*(-EXP(alpha*a*psi)*(-2+(-1)*Size*alpha*psi)+EXP(alpha*b*psi)*(-2+Size*alpha*psi)))/((alpha^3)*(psi^3))</f>
        <v>78.836375998096</v>
      </c>
      <c r="Q36" s="7" t="n">
        <f aca="false">Tau*Beta</f>
        <v>594</v>
      </c>
      <c r="R36" s="7" t="n">
        <f aca="false">Tau*Beta</f>
        <v>594</v>
      </c>
      <c r="S36" s="11" t="n">
        <f aca="false">Tau</f>
        <v>3.3</v>
      </c>
      <c r="T36" s="7" t="n">
        <f aca="false">Profit+Utility</f>
        <v>1746.67985593719</v>
      </c>
      <c r="U36" s="7" t="n">
        <f aca="false">ij*BUTIJ+BUTII</f>
        <v>1721.54918729316</v>
      </c>
      <c r="V36" s="7" t="n">
        <f aca="false">Revenue-Cost</f>
        <v>25.1306686440337</v>
      </c>
      <c r="W36" s="7" t="n">
        <f aca="false">(2*ij*BRIJ)+(2)*jj*BRJJ</f>
        <v>203.100763887865</v>
      </c>
      <c r="X36" s="9" t="n">
        <f aca="false">2*(ij*BCCIJ)+(2*jj*BCCJJ)+BCS+jj*BCPTJJ+2*(ij*BCPTIJ)+BCPTII+BCk</f>
        <v>177.970095243831</v>
      </c>
    </row>
    <row r="37" customFormat="false" ht="13" hidden="false" customHeight="false" outlineLevel="0" collapsed="false">
      <c r="A37" s="2" t="n">
        <f aca="false">A36+0.1</f>
        <v>3.4</v>
      </c>
      <c r="B37" s="2" t="n">
        <v>0.6</v>
      </c>
      <c r="C37" s="2" t="n">
        <v>10</v>
      </c>
      <c r="D37" s="2" t="n">
        <v>0</v>
      </c>
      <c r="E37" s="2" t="n">
        <f aca="false">Size-a</f>
        <v>10</v>
      </c>
      <c r="F37" s="10" t="n">
        <f aca="false">(EXP(alpha*(Tau+OldTau+zeta-2*a*psi))*((EXP(alpha*a*psi)-EXP(alpha*b*psi))^2))/((EXP(alpha*a*psi)-EXP(alpha*(2*OldTau+b*psi)))*(alpha^2)*(psi^2))</f>
        <v>0.153945817207583</v>
      </c>
      <c r="G37" s="10" t="n">
        <f aca="false">(EXP(alpha*(zeta+(2*b-a)*psi))*(-1+EXP(alpha*(-1)*Size*psi))*(EXP(alpha*(2*(Tau+OldTau)+a*psi))-EXP(alpha*(2*(Tau+OldTau)+b*psi))))/(((EXP(alpha*a*psi)-EXP(alpha*(2*OldTau+b*psi)))^2)*(alpha^2)*(psi^2))</f>
        <v>0.000674469432900312</v>
      </c>
      <c r="H37" s="7" t="n">
        <f aca="false">-Beta/alpha</f>
        <v>180</v>
      </c>
      <c r="I37" s="7" t="n">
        <f aca="false">(-EXP(alpha*zeta)*Beta*(-1+EXP(alpha*Size*psi)-Size*alpha*psi))/((alpha^3)*(psi^2))</f>
        <v>1690.92462806846</v>
      </c>
      <c r="J37" s="7" t="n">
        <f aca="false">Beta*Theta</f>
        <v>14.4</v>
      </c>
      <c r="K37" s="7" t="n">
        <f aca="false">Beta*Theta</f>
        <v>14.4</v>
      </c>
      <c r="L37" s="7" t="n">
        <f aca="false">kappa</f>
        <v>90</v>
      </c>
      <c r="M37" s="7" t="n">
        <f aca="false">Gamma*Size</f>
        <v>0</v>
      </c>
      <c r="N37" s="7" t="n">
        <f aca="false">Size*Beta*Phi</f>
        <v>32.4</v>
      </c>
      <c r="O37" s="7" t="n">
        <f aca="false">-(EXP(alpha*a*psi)+EXP(alpha*b*psi)*(-1+Size*psi*alpha))*(Beta*Phi)/((alpha*psi)*(EXP(alpha*a*psi)-EXP(alpha*b*psi)))</f>
        <v>12.2941718960407</v>
      </c>
      <c r="P37" s="7" t="n">
        <f aca="false">(EXP(alpha*(zeta-a*psi))*Beta*Phi*(-EXP(alpha*a*psi)*(-2+(-1)*Size*alpha*psi)+EXP(alpha*b*psi)*(-2+Size*alpha*psi)))/((alpha^3)*(psi^3))</f>
        <v>78.836375998096</v>
      </c>
      <c r="Q37" s="7" t="n">
        <f aca="false">Tau*Beta</f>
        <v>612</v>
      </c>
      <c r="R37" s="7" t="n">
        <f aca="false">Tau*Beta</f>
        <v>612</v>
      </c>
      <c r="S37" s="11" t="n">
        <f aca="false">Tau</f>
        <v>3.4</v>
      </c>
      <c r="T37" s="7" t="n">
        <f aca="false">Profit+Utility</f>
        <v>1730.79354027195</v>
      </c>
      <c r="U37" s="7" t="n">
        <f aca="false">ij*BUTIJ+BUTII</f>
        <v>1718.63487516582</v>
      </c>
      <c r="V37" s="7" t="n">
        <f aca="false">Revenue-Cost</f>
        <v>12.1586651061306</v>
      </c>
      <c r="W37" s="7" t="n">
        <f aca="false">(2*ij*BRIJ)+(2)*jj*BRJJ</f>
        <v>189.255230847951</v>
      </c>
      <c r="X37" s="9" t="n">
        <f aca="false">2*(ij*BCCIJ)+(2*jj*BCCJJ)+BCS+jj*BCPTJJ+2*(ij*BCPTIJ)+BCPTII+BCk</f>
        <v>177.096565741821</v>
      </c>
    </row>
    <row r="38" customFormat="false" ht="13" hidden="false" customHeight="false" outlineLevel="0" collapsed="false">
      <c r="A38" s="2" t="n">
        <f aca="false">A37+0.1</f>
        <v>3.5</v>
      </c>
      <c r="B38" s="2" t="n">
        <v>0.6</v>
      </c>
      <c r="C38" s="2" t="n">
        <v>10</v>
      </c>
      <c r="D38" s="2" t="n">
        <v>0</v>
      </c>
      <c r="E38" s="2" t="n">
        <f aca="false">Size-a</f>
        <v>10</v>
      </c>
      <c r="F38" s="10" t="n">
        <f aca="false">(EXP(alpha*(Tau+OldTau+zeta-2*a*psi))*((EXP(alpha*a*psi)-EXP(alpha*b*psi))^2))/((EXP(alpha*a*psi)-EXP(alpha*(2*OldTau+b*psi)))*(alpha^2)*(psi^2))</f>
        <v>0.139295935759545</v>
      </c>
      <c r="G38" s="10" t="n">
        <f aca="false">(EXP(alpha*(zeta+(2*b-a)*psi))*(-1+EXP(alpha*(-1)*Size*psi))*(EXP(alpha*(2*(Tau+OldTau)+a*psi))-EXP(alpha*(2*(Tau+OldTau)+b*psi))))/(((EXP(alpha*a*psi)-EXP(alpha*(2*OldTau+b*psi)))^2)*(alpha^2)*(psi^2))</f>
        <v>0.000552208866726552</v>
      </c>
      <c r="H38" s="7" t="n">
        <f aca="false">-Beta/alpha</f>
        <v>180</v>
      </c>
      <c r="I38" s="7" t="n">
        <f aca="false">(-EXP(alpha*zeta)*Beta*(-1+EXP(alpha*Size*psi)-Size*alpha*psi))/((alpha^3)*(psi^2))</f>
        <v>1690.92462806846</v>
      </c>
      <c r="J38" s="7" t="n">
        <f aca="false">Beta*Theta</f>
        <v>14.4</v>
      </c>
      <c r="K38" s="7" t="n">
        <f aca="false">Beta*Theta</f>
        <v>14.4</v>
      </c>
      <c r="L38" s="7" t="n">
        <f aca="false">kappa</f>
        <v>90</v>
      </c>
      <c r="M38" s="7" t="n">
        <f aca="false">Gamma*Size</f>
        <v>0</v>
      </c>
      <c r="N38" s="7" t="n">
        <f aca="false">Size*Beta*Phi</f>
        <v>32.4</v>
      </c>
      <c r="O38" s="7" t="n">
        <f aca="false">-(EXP(alpha*a*psi)+EXP(alpha*b*psi)*(-1+Size*psi*alpha))*(Beta*Phi)/((alpha*psi)*(EXP(alpha*a*psi)-EXP(alpha*b*psi)))</f>
        <v>12.2941718960407</v>
      </c>
      <c r="P38" s="7" t="n">
        <f aca="false">(EXP(alpha*(zeta-a*psi))*Beta*Phi*(-EXP(alpha*a*psi)*(-2+(-1)*Size*alpha*psi)+EXP(alpha*b*psi)*(-2+Size*alpha*psi)))/((alpha^3)*(psi^3))</f>
        <v>78.836375998096</v>
      </c>
      <c r="Q38" s="7" t="n">
        <f aca="false">Tau*Beta</f>
        <v>630</v>
      </c>
      <c r="R38" s="7" t="n">
        <f aca="false">Tau*Beta</f>
        <v>630</v>
      </c>
      <c r="S38" s="11" t="n">
        <f aca="false">Tau</f>
        <v>3.5</v>
      </c>
      <c r="T38" s="7" t="n">
        <f aca="false">Profit+Utility</f>
        <v>1715.89960824637</v>
      </c>
      <c r="U38" s="7" t="n">
        <f aca="false">ij*BUTIJ+BUTII</f>
        <v>1715.99789650518</v>
      </c>
      <c r="V38" s="7" t="n">
        <f aca="false">Revenue-Cost</f>
        <v>-0.0982882588076279</v>
      </c>
      <c r="W38" s="7" t="n">
        <f aca="false">(2*ij*BRIJ)+(2)*jj*BRJJ</f>
        <v>176.208662229102</v>
      </c>
      <c r="X38" s="9" t="n">
        <f aca="false">2*(ij*BCCIJ)+(2*jj*BCCJJ)+BCS+jj*BCPTJJ+2*(ij*BCPTIJ)+BCPTII+BCk</f>
        <v>176.30695048791</v>
      </c>
    </row>
    <row r="39" customFormat="false" ht="13" hidden="false" customHeight="false" outlineLevel="0" collapsed="false">
      <c r="A39" s="2" t="n">
        <f aca="false">A38+0.1</f>
        <v>3.6</v>
      </c>
      <c r="B39" s="2" t="n">
        <v>0.6</v>
      </c>
      <c r="C39" s="2" t="n">
        <v>10</v>
      </c>
      <c r="D39" s="2" t="n">
        <v>0</v>
      </c>
      <c r="E39" s="2" t="n">
        <f aca="false">Size-a</f>
        <v>10</v>
      </c>
      <c r="F39" s="10" t="n">
        <f aca="false">(EXP(alpha*(Tau+OldTau+zeta-2*a*psi))*((EXP(alpha*a*psi)-EXP(alpha*b*psi))^2))/((EXP(alpha*a*psi)-EXP(alpha*(2*OldTau+b*psi)))*(alpha^2)*(psi^2))</f>
        <v>0.12604017485557</v>
      </c>
      <c r="G39" s="10" t="n">
        <f aca="false">(EXP(alpha*(zeta+(2*b-a)*psi))*(-1+EXP(alpha*(-1)*Size*psi))*(EXP(alpha*(2*(Tau+OldTau)+a*psi))-EXP(alpha*(2*(Tau+OldTau)+b*psi))))/(((EXP(alpha*a*psi)-EXP(alpha*(2*OldTau+b*psi)))^2)*(alpha^2)*(psi^2))</f>
        <v>0.000452110381311368</v>
      </c>
      <c r="H39" s="7" t="n">
        <f aca="false">-Beta/alpha</f>
        <v>180</v>
      </c>
      <c r="I39" s="7" t="n">
        <f aca="false">(-EXP(alpha*zeta)*Beta*(-1+EXP(alpha*Size*psi)-Size*alpha*psi))/((alpha^3)*(psi^2))</f>
        <v>1690.92462806846</v>
      </c>
      <c r="J39" s="7" t="n">
        <f aca="false">Beta*Theta</f>
        <v>14.4</v>
      </c>
      <c r="K39" s="7" t="n">
        <f aca="false">Beta*Theta</f>
        <v>14.4</v>
      </c>
      <c r="L39" s="7" t="n">
        <f aca="false">kappa</f>
        <v>90</v>
      </c>
      <c r="M39" s="7" t="n">
        <f aca="false">Gamma*Size</f>
        <v>0</v>
      </c>
      <c r="N39" s="7" t="n">
        <f aca="false">Size*Beta*Phi</f>
        <v>32.4</v>
      </c>
      <c r="O39" s="7" t="n">
        <f aca="false">-(EXP(alpha*a*psi)+EXP(alpha*b*psi)*(-1+Size*psi*alpha))*(Beta*Phi)/((alpha*psi)*(EXP(alpha*a*psi)-EXP(alpha*b*psi)))</f>
        <v>12.2941718960407</v>
      </c>
      <c r="P39" s="7" t="n">
        <f aca="false">(EXP(alpha*(zeta-a*psi))*Beta*Phi*(-EXP(alpha*a*psi)*(-2+(-1)*Size*alpha*psi)+EXP(alpha*b*psi)*(-2+Size*alpha*psi)))/((alpha^3)*(psi^3))</f>
        <v>78.836375998096</v>
      </c>
      <c r="Q39" s="7" t="n">
        <f aca="false">Tau*Beta</f>
        <v>648</v>
      </c>
      <c r="R39" s="7" t="n">
        <f aca="false">Tau*Beta</f>
        <v>648</v>
      </c>
      <c r="S39" s="11" t="n">
        <f aca="false">Tau</f>
        <v>3.6</v>
      </c>
      <c r="T39" s="7" t="n">
        <f aca="false">Profit+Utility</f>
        <v>1701.95273986922</v>
      </c>
      <c r="U39" s="7" t="n">
        <f aca="false">ij*BUTIJ+BUTII</f>
        <v>1713.61185954246</v>
      </c>
      <c r="V39" s="7" t="n">
        <f aca="false">Revenue-Cost</f>
        <v>-11.6591196732375</v>
      </c>
      <c r="W39" s="7" t="n">
        <f aca="false">(2*ij*BRIJ)+(2)*jj*BRJJ</f>
        <v>163.934001666998</v>
      </c>
      <c r="X39" s="9" t="n">
        <f aca="false">2*(ij*BCCIJ)+(2*jj*BCCJJ)+BCS+jj*BCPTJJ+2*(ij*BCPTIJ)+BCPTII+BCk</f>
        <v>175.593121340235</v>
      </c>
    </row>
    <row r="40" customFormat="false" ht="13" hidden="false" customHeight="false" outlineLevel="0" collapsed="false">
      <c r="A40" s="2" t="n">
        <f aca="false">A39+0.1</f>
        <v>3.7</v>
      </c>
      <c r="B40" s="2" t="n">
        <v>0.6</v>
      </c>
      <c r="C40" s="2" t="n">
        <v>10</v>
      </c>
      <c r="D40" s="2" t="n">
        <v>0</v>
      </c>
      <c r="E40" s="2" t="n">
        <f aca="false">Size-a</f>
        <v>10</v>
      </c>
      <c r="F40" s="10" t="n">
        <f aca="false">(EXP(alpha*(Tau+OldTau+zeta-2*a*psi))*((EXP(alpha*a*psi)-EXP(alpha*b*psi))^2))/((EXP(alpha*a*psi)-EXP(alpha*(2*OldTau+b*psi)))*(alpha^2)*(psi^2))</f>
        <v>0.114045866385115</v>
      </c>
      <c r="G40" s="10" t="n">
        <f aca="false">(EXP(alpha*(zeta+(2*b-a)*psi))*(-1+EXP(alpha*(-1)*Size*psi))*(EXP(alpha*(2*(Tau+OldTau)+a*psi))-EXP(alpha*(2*(Tau+OldTau)+b*psi))))/(((EXP(alpha*a*psi)-EXP(alpha*(2*OldTau+b*psi)))^2)*(alpha^2)*(psi^2))</f>
        <v>0.00037015667296543</v>
      </c>
      <c r="H40" s="7" t="n">
        <f aca="false">-Beta/alpha</f>
        <v>180</v>
      </c>
      <c r="I40" s="7" t="n">
        <f aca="false">(-EXP(alpha*zeta)*Beta*(-1+EXP(alpha*Size*psi)-Size*alpha*psi))/((alpha^3)*(psi^2))</f>
        <v>1690.92462806846</v>
      </c>
      <c r="J40" s="7" t="n">
        <f aca="false">Beta*Theta</f>
        <v>14.4</v>
      </c>
      <c r="K40" s="7" t="n">
        <f aca="false">Beta*Theta</f>
        <v>14.4</v>
      </c>
      <c r="L40" s="7" t="n">
        <f aca="false">kappa</f>
        <v>90</v>
      </c>
      <c r="M40" s="7" t="n">
        <f aca="false">Gamma*Size</f>
        <v>0</v>
      </c>
      <c r="N40" s="7" t="n">
        <f aca="false">Size*Beta*Phi</f>
        <v>32.4</v>
      </c>
      <c r="O40" s="7" t="n">
        <f aca="false">-(EXP(alpha*a*psi)+EXP(alpha*b*psi)*(-1+Size*psi*alpha))*(Beta*Phi)/((alpha*psi)*(EXP(alpha*a*psi)-EXP(alpha*b*psi)))</f>
        <v>12.2941718960407</v>
      </c>
      <c r="P40" s="7" t="n">
        <f aca="false">(EXP(alpha*(zeta-a*psi))*Beta*Phi*(-EXP(alpha*a*psi)*(-2+(-1)*Size*alpha*psi)+EXP(alpha*b*psi)*(-2+Size*alpha*psi)))/((alpha^3)*(psi^3))</f>
        <v>78.836375998096</v>
      </c>
      <c r="Q40" s="7" t="n">
        <f aca="false">Tau*Beta</f>
        <v>666</v>
      </c>
      <c r="R40" s="7" t="n">
        <f aca="false">Tau*Beta</f>
        <v>666</v>
      </c>
      <c r="S40" s="11" t="n">
        <f aca="false">Tau</f>
        <v>3.7</v>
      </c>
      <c r="T40" s="7" t="n">
        <f aca="false">Profit+Utility</f>
        <v>1688.90727722203</v>
      </c>
      <c r="U40" s="7" t="n">
        <f aca="false">ij*BUTIJ+BUTII</f>
        <v>1711.45288401778</v>
      </c>
      <c r="V40" s="7" t="n">
        <f aca="false">Revenue-Cost</f>
        <v>-22.5456067957531</v>
      </c>
      <c r="W40" s="7" t="n">
        <f aca="false">(2*ij*BRIJ)+(2)*jj*BRJJ</f>
        <v>152.402142713363</v>
      </c>
      <c r="X40" s="9" t="n">
        <f aca="false">2*(ij*BCCIJ)+(2*jj*BCCJJ)+BCS+jj*BCPTJJ+2*(ij*BCPTIJ)+BCPTII+BCk</f>
        <v>174.947749509116</v>
      </c>
    </row>
    <row r="41" customFormat="false" ht="13" hidden="false" customHeight="false" outlineLevel="0" collapsed="false">
      <c r="A41" s="2" t="n">
        <f aca="false">A40+0.1</f>
        <v>3.8</v>
      </c>
      <c r="B41" s="2" t="n">
        <v>0.6</v>
      </c>
      <c r="C41" s="2" t="n">
        <v>10</v>
      </c>
      <c r="D41" s="2" t="n">
        <v>0</v>
      </c>
      <c r="E41" s="2" t="n">
        <f aca="false">Size-a</f>
        <v>10</v>
      </c>
      <c r="F41" s="10" t="n">
        <f aca="false">(EXP(alpha*(Tau+OldTau+zeta-2*a*psi))*((EXP(alpha*a*psi)-EXP(alpha*b*psi))^2))/((EXP(alpha*a*psi)-EXP(alpha*(2*OldTau+b*psi)))*(alpha^2)*(psi^2))</f>
        <v>0.103192967277581</v>
      </c>
      <c r="G41" s="10" t="n">
        <f aca="false">(EXP(alpha*(zeta+(2*b-a)*psi))*(-1+EXP(alpha*(-1)*Size*psi))*(EXP(alpha*(2*(Tau+OldTau)+a*psi))-EXP(alpha*(2*(Tau+OldTau)+b*psi))))/(((EXP(alpha*a*psi)-EXP(alpha*(2*OldTau+b*psi)))^2)*(alpha^2)*(psi^2))</f>
        <v>0.000303058651613827</v>
      </c>
      <c r="H41" s="7" t="n">
        <f aca="false">-Beta/alpha</f>
        <v>180</v>
      </c>
      <c r="I41" s="7" t="n">
        <f aca="false">(-EXP(alpha*zeta)*Beta*(-1+EXP(alpha*Size*psi)-Size*alpha*psi))/((alpha^3)*(psi^2))</f>
        <v>1690.92462806846</v>
      </c>
      <c r="J41" s="7" t="n">
        <f aca="false">Beta*Theta</f>
        <v>14.4</v>
      </c>
      <c r="K41" s="7" t="n">
        <f aca="false">Beta*Theta</f>
        <v>14.4</v>
      </c>
      <c r="L41" s="7" t="n">
        <f aca="false">kappa</f>
        <v>90</v>
      </c>
      <c r="M41" s="7" t="n">
        <f aca="false">Gamma*Size</f>
        <v>0</v>
      </c>
      <c r="N41" s="7" t="n">
        <f aca="false">Size*Beta*Phi</f>
        <v>32.4</v>
      </c>
      <c r="O41" s="7" t="n">
        <f aca="false">-(EXP(alpha*a*psi)+EXP(alpha*b*psi)*(-1+Size*psi*alpha))*(Beta*Phi)/((alpha*psi)*(EXP(alpha*a*psi)-EXP(alpha*b*psi)))</f>
        <v>12.2941718960407</v>
      </c>
      <c r="P41" s="7" t="n">
        <f aca="false">(EXP(alpha*(zeta-a*psi))*Beta*Phi*(-EXP(alpha*a*psi)*(-2+(-1)*Size*alpha*psi)+EXP(alpha*b*psi)*(-2+Size*alpha*psi)))/((alpha^3)*(psi^3))</f>
        <v>78.836375998096</v>
      </c>
      <c r="Q41" s="7" t="n">
        <f aca="false">Tau*Beta</f>
        <v>684</v>
      </c>
      <c r="R41" s="7" t="n">
        <f aca="false">Tau*Beta</f>
        <v>684</v>
      </c>
      <c r="S41" s="11" t="n">
        <f aca="false">Tau</f>
        <v>3.8</v>
      </c>
      <c r="T41" s="7" t="n">
        <f aca="false">Profit+Utility</f>
        <v>1676.71770084805</v>
      </c>
      <c r="U41" s="7" t="n">
        <f aca="false">ij*BUTIJ+BUTII</f>
        <v>1709.49936217842</v>
      </c>
      <c r="V41" s="7" t="n">
        <f aca="false">Revenue-Cost</f>
        <v>-32.7816613303767</v>
      </c>
      <c r="W41" s="7" t="n">
        <f aca="false">(2*ij*BRIJ)+(2)*jj*BRJJ</f>
        <v>141.582563471138</v>
      </c>
      <c r="X41" s="9" t="n">
        <f aca="false">2*(ij*BCCIJ)+(2*jj*BCCJJ)+BCS+jj*BCPTJJ+2*(ij*BCPTIJ)+BCPTII+BCk</f>
        <v>174.364224801515</v>
      </c>
    </row>
    <row r="42" customFormat="false" ht="13" hidden="false" customHeight="false" outlineLevel="0" collapsed="false">
      <c r="A42" s="2" t="n">
        <f aca="false">A41+0.1</f>
        <v>3.9</v>
      </c>
      <c r="B42" s="2" t="n">
        <v>0.6</v>
      </c>
      <c r="C42" s="2" t="n">
        <v>10</v>
      </c>
      <c r="D42" s="2" t="n">
        <v>0</v>
      </c>
      <c r="E42" s="2" t="n">
        <f aca="false">Size-a</f>
        <v>10</v>
      </c>
      <c r="F42" s="10" t="n">
        <f aca="false">(EXP(alpha*(Tau+OldTau+zeta-2*a*psi))*((EXP(alpha*a*psi)-EXP(alpha*b*psi))^2))/((EXP(alpha*a*psi)-EXP(alpha*(2*OldTau+b*psi)))*(alpha^2)*(psi^2))</f>
        <v>0.0933728580709156</v>
      </c>
      <c r="G42" s="10" t="n">
        <f aca="false">(EXP(alpha*(zeta+(2*b-a)*psi))*(-1+EXP(alpha*(-1)*Size*psi))*(EXP(alpha*(2*(Tau+OldTau)+a*psi))-EXP(alpha*(2*(Tau+OldTau)+b*psi))))/(((EXP(alpha*a*psi)-EXP(alpha*(2*OldTau+b*psi)))^2)*(alpha^2)*(psi^2))</f>
        <v>0.000248123438062586</v>
      </c>
      <c r="H42" s="7" t="n">
        <f aca="false">-Beta/alpha</f>
        <v>180</v>
      </c>
      <c r="I42" s="7" t="n">
        <f aca="false">(-EXP(alpha*zeta)*Beta*(-1+EXP(alpha*Size*psi)-Size*alpha*psi))/((alpha^3)*(psi^2))</f>
        <v>1690.92462806846</v>
      </c>
      <c r="J42" s="7" t="n">
        <f aca="false">Beta*Theta</f>
        <v>14.4</v>
      </c>
      <c r="K42" s="7" t="n">
        <f aca="false">Beta*Theta</f>
        <v>14.4</v>
      </c>
      <c r="L42" s="7" t="n">
        <f aca="false">kappa</f>
        <v>90</v>
      </c>
      <c r="M42" s="7" t="n">
        <f aca="false">Gamma*Size</f>
        <v>0</v>
      </c>
      <c r="N42" s="7" t="n">
        <f aca="false">Size*Beta*Phi</f>
        <v>32.4</v>
      </c>
      <c r="O42" s="7" t="n">
        <f aca="false">-(EXP(alpha*a*psi)+EXP(alpha*b*psi)*(-1+Size*psi*alpha))*(Beta*Phi)/((alpha*psi)*(EXP(alpha*a*psi)-EXP(alpha*b*psi)))</f>
        <v>12.2941718960407</v>
      </c>
      <c r="P42" s="7" t="n">
        <f aca="false">(EXP(alpha*(zeta-a*psi))*Beta*Phi*(-EXP(alpha*a*psi)*(-2+(-1)*Size*alpha*psi)+EXP(alpha*b*psi)*(-2+Size*alpha*psi)))/((alpha^3)*(psi^3))</f>
        <v>78.836375998096</v>
      </c>
      <c r="Q42" s="7" t="n">
        <f aca="false">Tau*Beta</f>
        <v>702</v>
      </c>
      <c r="R42" s="7" t="n">
        <f aca="false">Tau*Beta</f>
        <v>702</v>
      </c>
      <c r="S42" s="11" t="n">
        <f aca="false">Tau</f>
        <v>3.9</v>
      </c>
      <c r="T42" s="7" t="n">
        <f aca="false">Profit+Utility</f>
        <v>1665.33901715978</v>
      </c>
      <c r="U42" s="7" t="n">
        <f aca="false">ij*BUTIJ+BUTII</f>
        <v>1707.73174252122</v>
      </c>
      <c r="V42" s="7" t="n">
        <f aca="false">Revenue-Cost</f>
        <v>-42.3927253614392</v>
      </c>
      <c r="W42" s="7" t="n">
        <f aca="false">(2*ij*BRIJ)+(2)*jj*BRJJ</f>
        <v>131.443858038605</v>
      </c>
      <c r="X42" s="9" t="n">
        <f aca="false">2*(ij*BCCIJ)+(2*jj*BCCJJ)+BCS+jj*BCPTJJ+2*(ij*BCPTIJ)+BCPTII+BCk</f>
        <v>173.836583400045</v>
      </c>
    </row>
    <row r="43" customFormat="false" ht="13" hidden="false" customHeight="false" outlineLevel="0" collapsed="false">
      <c r="A43" s="2" t="n">
        <f aca="false">A42+0.1</f>
        <v>4</v>
      </c>
      <c r="B43" s="2" t="n">
        <v>0.6</v>
      </c>
      <c r="C43" s="2" t="n">
        <v>10</v>
      </c>
      <c r="D43" s="2" t="n">
        <v>0</v>
      </c>
      <c r="E43" s="2" t="n">
        <f aca="false">Size-a</f>
        <v>10</v>
      </c>
      <c r="F43" s="10" t="n">
        <f aca="false">(EXP(alpha*(Tau+OldTau+zeta-2*a*psi))*((EXP(alpha*a*psi)-EXP(alpha*b*psi))^2))/((EXP(alpha*a*psi)-EXP(alpha*(2*OldTau+b*psi)))*(alpha^2)*(psi^2))</f>
        <v>0.0844872558115254</v>
      </c>
      <c r="G43" s="10" t="n">
        <f aca="false">(EXP(alpha*(zeta+(2*b-a)*psi))*(-1+EXP(alpha*(-1)*Size*psi))*(EXP(alpha*(2*(Tau+OldTau)+a*psi))-EXP(alpha*(2*(Tau+OldTau)+b*psi))))/(((EXP(alpha*a*psi)-EXP(alpha*(2*OldTau+b*psi)))^2)*(alpha^2)*(psi^2))</f>
        <v>0.000203146289301279</v>
      </c>
      <c r="H43" s="7" t="n">
        <f aca="false">-Beta/alpha</f>
        <v>180</v>
      </c>
      <c r="I43" s="7" t="n">
        <f aca="false">(-EXP(alpha*zeta)*Beta*(-1+EXP(alpha*Size*psi)-Size*alpha*psi))/((alpha^3)*(psi^2))</f>
        <v>1690.92462806846</v>
      </c>
      <c r="J43" s="7" t="n">
        <f aca="false">Beta*Theta</f>
        <v>14.4</v>
      </c>
      <c r="K43" s="7" t="n">
        <f aca="false">Beta*Theta</f>
        <v>14.4</v>
      </c>
      <c r="L43" s="7" t="n">
        <f aca="false">kappa</f>
        <v>90</v>
      </c>
      <c r="M43" s="7" t="n">
        <f aca="false">Gamma*Size</f>
        <v>0</v>
      </c>
      <c r="N43" s="7" t="n">
        <f aca="false">Size*Beta*Phi</f>
        <v>32.4</v>
      </c>
      <c r="O43" s="7" t="n">
        <f aca="false">-(EXP(alpha*a*psi)+EXP(alpha*b*psi)*(-1+Size*psi*alpha))*(Beta*Phi)/((alpha*psi)*(EXP(alpha*a*psi)-EXP(alpha*b*psi)))</f>
        <v>12.2941718960407</v>
      </c>
      <c r="P43" s="7" t="n">
        <f aca="false">(EXP(alpha*(zeta-a*psi))*Beta*Phi*(-EXP(alpha*a*psi)*(-2+(-1)*Size*alpha*psi)+EXP(alpha*b*psi)*(-2+Size*alpha*psi)))/((alpha^3)*(psi^3))</f>
        <v>78.836375998096</v>
      </c>
      <c r="Q43" s="7" t="n">
        <f aca="false">Tau*Beta</f>
        <v>720</v>
      </c>
      <c r="R43" s="7" t="n">
        <f aca="false">Tau*Beta</f>
        <v>720</v>
      </c>
      <c r="S43" s="11" t="n">
        <f aca="false">Tau</f>
        <v>4</v>
      </c>
      <c r="T43" s="7" t="n">
        <f aca="false">Profit+Utility</f>
        <v>1654.72706992941</v>
      </c>
      <c r="U43" s="7" t="n">
        <f aca="false">ij*BUTIJ+BUTII</f>
        <v>1706.13233411453</v>
      </c>
      <c r="V43" s="7" t="n">
        <f aca="false">Revenue-Cost</f>
        <v>-51.4052641851259</v>
      </c>
      <c r="W43" s="7" t="n">
        <f aca="false">(2*ij*BRIJ)+(2)*jj*BRJJ</f>
        <v>121.954179025191</v>
      </c>
      <c r="X43" s="9" t="n">
        <f aca="false">2*(ij*BCCIJ)+(2*jj*BCCJJ)+BCS+jj*BCPTJJ+2*(ij*BCPTIJ)+BCPTII+BCk</f>
        <v>173.359443210316</v>
      </c>
    </row>
    <row r="44" customFormat="false" ht="13" hidden="false" customHeight="false" outlineLevel="0" collapsed="false">
      <c r="A44" s="2" t="n">
        <f aca="false">A43+0.1</f>
        <v>4.1</v>
      </c>
      <c r="B44" s="2" t="n">
        <v>0.6</v>
      </c>
      <c r="C44" s="2" t="n">
        <v>10</v>
      </c>
      <c r="D44" s="2" t="n">
        <v>0</v>
      </c>
      <c r="E44" s="2" t="n">
        <f aca="false">Size-a</f>
        <v>10</v>
      </c>
      <c r="F44" s="10" t="n">
        <f aca="false">(EXP(alpha*(Tau+OldTau+zeta-2*a*psi))*((EXP(alpha*a*psi)-EXP(alpha*b*psi))^2))/((EXP(alpha*a*psi)-EXP(alpha*(2*OldTau+b*psi)))*(alpha^2)*(psi^2))</f>
        <v>0.0764472304054443</v>
      </c>
      <c r="G44" s="10" t="n">
        <f aca="false">(EXP(alpha*(zeta+(2*b-a)*psi))*(-1+EXP(alpha*(-1)*Size*psi))*(EXP(alpha*(2*(Tau+OldTau)+a*psi))-EXP(alpha*(2*(Tau+OldTau)+b*psi))))/(((EXP(alpha*a*psi)-EXP(alpha*(2*OldTau+b*psi)))^2)*(alpha^2)*(psi^2))</f>
        <v>0.000166322114424634</v>
      </c>
      <c r="H44" s="7" t="n">
        <f aca="false">-Beta/alpha</f>
        <v>180</v>
      </c>
      <c r="I44" s="7" t="n">
        <f aca="false">(-EXP(alpha*zeta)*Beta*(-1+EXP(alpha*Size*psi)-Size*alpha*psi))/((alpha^3)*(psi^2))</f>
        <v>1690.92462806846</v>
      </c>
      <c r="J44" s="7" t="n">
        <f aca="false">Beta*Theta</f>
        <v>14.4</v>
      </c>
      <c r="K44" s="7" t="n">
        <f aca="false">Beta*Theta</f>
        <v>14.4</v>
      </c>
      <c r="L44" s="7" t="n">
        <f aca="false">kappa</f>
        <v>90</v>
      </c>
      <c r="M44" s="7" t="n">
        <f aca="false">Gamma*Size</f>
        <v>0</v>
      </c>
      <c r="N44" s="7" t="n">
        <f aca="false">Size*Beta*Phi</f>
        <v>32.4</v>
      </c>
      <c r="O44" s="7" t="n">
        <f aca="false">-(EXP(alpha*a*psi)+EXP(alpha*b*psi)*(-1+Size*psi*alpha))*(Beta*Phi)/((alpha*psi)*(EXP(alpha*a*psi)-EXP(alpha*b*psi)))</f>
        <v>12.2941718960407</v>
      </c>
      <c r="P44" s="7" t="n">
        <f aca="false">(EXP(alpha*(zeta-a*psi))*Beta*Phi*(-EXP(alpha*a*psi)*(-2+(-1)*Size*alpha*psi)+EXP(alpha*b*psi)*(-2+Size*alpha*psi)))/((alpha^3)*(psi^3))</f>
        <v>78.836375998096</v>
      </c>
      <c r="Q44" s="7" t="n">
        <f aca="false">Tau*Beta</f>
        <v>738</v>
      </c>
      <c r="R44" s="7" t="n">
        <f aca="false">Tau*Beta</f>
        <v>738</v>
      </c>
      <c r="S44" s="11" t="n">
        <f aca="false">Tau</f>
        <v>4.1</v>
      </c>
      <c r="T44" s="7" t="n">
        <f aca="false">Profit+Utility</f>
        <v>1644.83878713043</v>
      </c>
      <c r="U44" s="7" t="n">
        <f aca="false">ij*BUTIJ+BUTII</f>
        <v>1704.68512954144</v>
      </c>
      <c r="V44" s="7" t="n">
        <f aca="false">Revenue-Cost</f>
        <v>-59.8463424110105</v>
      </c>
      <c r="W44" s="7" t="n">
        <f aca="false">(2*ij*BRIJ)+(2)*jj*BRJJ</f>
        <v>113.081603519327</v>
      </c>
      <c r="X44" s="9" t="n">
        <f aca="false">2*(ij*BCCIJ)+(2*jj*BCCJJ)+BCS+jj*BCPTJJ+2*(ij*BCPTIJ)+BCPTII+BCk</f>
        <v>172.927945930337</v>
      </c>
    </row>
    <row r="45" customFormat="false" ht="13" hidden="false" customHeight="false" outlineLevel="0" collapsed="false">
      <c r="A45" s="2" t="n">
        <f aca="false">A44+0.1</f>
        <v>4.2</v>
      </c>
      <c r="B45" s="2" t="n">
        <v>0.6</v>
      </c>
      <c r="C45" s="2" t="n">
        <v>10</v>
      </c>
      <c r="D45" s="2" t="n">
        <v>0</v>
      </c>
      <c r="E45" s="2" t="n">
        <f aca="false">Size-a</f>
        <v>10</v>
      </c>
      <c r="F45" s="10" t="n">
        <f aca="false">(EXP(alpha*(Tau+OldTau+zeta-2*a*psi))*((EXP(alpha*a*psi)-EXP(alpha*b*psi))^2))/((EXP(alpha*a*psi)-EXP(alpha*(2*OldTau+b*psi)))*(alpha^2)*(psi^2))</f>
        <v>0.0691723145760624</v>
      </c>
      <c r="G45" s="10" t="n">
        <f aca="false">(EXP(alpha*(zeta+(2*b-a)*psi))*(-1+EXP(alpha*(-1)*Size*psi))*(EXP(alpha*(2*(Tau+OldTau)+a*psi))-EXP(alpha*(2*(Tau+OldTau)+b*psi))))/(((EXP(alpha*a*psi)-EXP(alpha*(2*OldTau+b*psi)))^2)*(alpha^2)*(psi^2))</f>
        <v>0.000136173029996403</v>
      </c>
      <c r="H45" s="7" t="n">
        <f aca="false">-Beta/alpha</f>
        <v>180</v>
      </c>
      <c r="I45" s="7" t="n">
        <f aca="false">(-EXP(alpha*zeta)*Beta*(-1+EXP(alpha*Size*psi)-Size*alpha*psi))/((alpha^3)*(psi^2))</f>
        <v>1690.92462806846</v>
      </c>
      <c r="J45" s="7" t="n">
        <f aca="false">Beta*Theta</f>
        <v>14.4</v>
      </c>
      <c r="K45" s="7" t="n">
        <f aca="false">Beta*Theta</f>
        <v>14.4</v>
      </c>
      <c r="L45" s="7" t="n">
        <f aca="false">kappa</f>
        <v>90</v>
      </c>
      <c r="M45" s="7" t="n">
        <f aca="false">Gamma*Size</f>
        <v>0</v>
      </c>
      <c r="N45" s="7" t="n">
        <f aca="false">Size*Beta*Phi</f>
        <v>32.4</v>
      </c>
      <c r="O45" s="7" t="n">
        <f aca="false">-(EXP(alpha*a*psi)+EXP(alpha*b*psi)*(-1+Size*psi*alpha))*(Beta*Phi)/((alpha*psi)*(EXP(alpha*a*psi)-EXP(alpha*b*psi)))</f>
        <v>12.2941718960407</v>
      </c>
      <c r="P45" s="7" t="n">
        <f aca="false">(EXP(alpha*(zeta-a*psi))*Beta*Phi*(-EXP(alpha*a*psi)*(-2+(-1)*Size*alpha*psi)+EXP(alpha*b*psi)*(-2+Size*alpha*psi)))/((alpha^3)*(psi^3))</f>
        <v>78.836375998096</v>
      </c>
      <c r="Q45" s="7" t="n">
        <f aca="false">Tau*Beta</f>
        <v>756</v>
      </c>
      <c r="R45" s="7" t="n">
        <f aca="false">Tau*Beta</f>
        <v>756</v>
      </c>
      <c r="S45" s="11" t="n">
        <f aca="false">Tau</f>
        <v>4.2</v>
      </c>
      <c r="T45" s="7" t="n">
        <f aca="false">Profit+Utility</f>
        <v>1635.6323728535</v>
      </c>
      <c r="U45" s="7" t="n">
        <f aca="false">ij*BUTIJ+BUTII</f>
        <v>1703.37564469215</v>
      </c>
      <c r="V45" s="7" t="n">
        <f aca="false">Revenue-Cost</f>
        <v>-67.7432718386517</v>
      </c>
      <c r="W45" s="7" t="n">
        <f aca="false">(2*ij*BRIJ)+(2)*jj*BRJJ</f>
        <v>104.794433260361</v>
      </c>
      <c r="X45" s="9" t="n">
        <f aca="false">2*(ij*BCCIJ)+(2*jj*BCCJJ)+BCS+jj*BCPTJJ+2*(ij*BCPTIJ)+BCPTII+BCk</f>
        <v>172.537705099013</v>
      </c>
    </row>
    <row r="46" customFormat="false" ht="13" hidden="false" customHeight="false" outlineLevel="0" collapsed="false">
      <c r="A46" s="2" t="n">
        <f aca="false">A45+0.1</f>
        <v>4.3</v>
      </c>
      <c r="B46" s="2" t="n">
        <v>0.6</v>
      </c>
      <c r="C46" s="2" t="n">
        <v>10</v>
      </c>
      <c r="D46" s="2" t="n">
        <v>0</v>
      </c>
      <c r="E46" s="2" t="n">
        <f aca="false">Size-a</f>
        <v>10</v>
      </c>
      <c r="F46" s="10" t="n">
        <f aca="false">(EXP(alpha*(Tau+OldTau+zeta-2*a*psi))*((EXP(alpha*a*psi)-EXP(alpha*b*psi))^2))/((EXP(alpha*a*psi)-EXP(alpha*(2*OldTau+b*psi)))*(alpha^2)*(psi^2))</f>
        <v>0.0625896985205755</v>
      </c>
      <c r="G46" s="10" t="n">
        <f aca="false">(EXP(alpha*(zeta+(2*b-a)*psi))*(-1+EXP(alpha*(-1)*Size*psi))*(EXP(alpha*(2*(Tau+OldTau)+a*psi))-EXP(alpha*(2*(Tau+OldTau)+b*psi))))/(((EXP(alpha*a*psi)-EXP(alpha*(2*OldTau+b*psi)))^2)*(alpha^2)*(psi^2))</f>
        <v>0.000111489047397866</v>
      </c>
      <c r="H46" s="7" t="n">
        <f aca="false">-Beta/alpha</f>
        <v>180</v>
      </c>
      <c r="I46" s="7" t="n">
        <f aca="false">(-EXP(alpha*zeta)*Beta*(-1+EXP(alpha*Size*psi)-Size*alpha*psi))/((alpha^3)*(psi^2))</f>
        <v>1690.92462806846</v>
      </c>
      <c r="J46" s="7" t="n">
        <f aca="false">Beta*Theta</f>
        <v>14.4</v>
      </c>
      <c r="K46" s="7" t="n">
        <f aca="false">Beta*Theta</f>
        <v>14.4</v>
      </c>
      <c r="L46" s="7" t="n">
        <f aca="false">kappa</f>
        <v>90</v>
      </c>
      <c r="M46" s="7" t="n">
        <f aca="false">Gamma*Size</f>
        <v>0</v>
      </c>
      <c r="N46" s="7" t="n">
        <f aca="false">Size*Beta*Phi</f>
        <v>32.4</v>
      </c>
      <c r="O46" s="7" t="n">
        <f aca="false">-(EXP(alpha*a*psi)+EXP(alpha*b*psi)*(-1+Size*psi*alpha))*(Beta*Phi)/((alpha*psi)*(EXP(alpha*a*psi)-EXP(alpha*b*psi)))</f>
        <v>12.2941718960407</v>
      </c>
      <c r="P46" s="7" t="n">
        <f aca="false">(EXP(alpha*(zeta-a*psi))*Beta*Phi*(-EXP(alpha*a*psi)*(-2+(-1)*Size*alpha*psi)+EXP(alpha*b*psi)*(-2+Size*alpha*psi)))/((alpha^3)*(psi^3))</f>
        <v>78.836375998096</v>
      </c>
      <c r="Q46" s="7" t="n">
        <f aca="false">Tau*Beta</f>
        <v>774</v>
      </c>
      <c r="R46" s="7" t="n">
        <f aca="false">Tau*Beta</f>
        <v>774</v>
      </c>
      <c r="S46" s="11" t="n">
        <f aca="false">Tau</f>
        <v>4.3</v>
      </c>
      <c r="T46" s="7" t="n">
        <f aca="false">Profit+Utility</f>
        <v>1627.06745268713</v>
      </c>
      <c r="U46" s="7" t="n">
        <f aca="false">ij*BUTIJ+BUTII</f>
        <v>1702.19077380216</v>
      </c>
      <c r="V46" s="7" t="n">
        <f aca="false">Revenue-Cost</f>
        <v>-75.1233211150332</v>
      </c>
      <c r="W46" s="7" t="n">
        <f aca="false">(2*ij*BRIJ)+(2)*jj*BRJJ</f>
        <v>97.0614383552227</v>
      </c>
      <c r="X46" s="9" t="n">
        <f aca="false">2*(ij*BCCIJ)+(2*jj*BCCJJ)+BCS+jj*BCPTJJ+2*(ij*BCPTIJ)+BCPTII+BCk</f>
        <v>172.184759470256</v>
      </c>
    </row>
    <row r="47" customFormat="false" ht="13" hidden="false" customHeight="false" outlineLevel="0" collapsed="false">
      <c r="A47" s="2" t="n">
        <f aca="false">A46+0.1</f>
        <v>4.4</v>
      </c>
      <c r="B47" s="2" t="n">
        <v>0.6</v>
      </c>
      <c r="C47" s="2" t="n">
        <v>10</v>
      </c>
      <c r="D47" s="2" t="n">
        <v>0</v>
      </c>
      <c r="E47" s="2" t="n">
        <f aca="false">Size-a</f>
        <v>10</v>
      </c>
      <c r="F47" s="10" t="n">
        <f aca="false">(EXP(alpha*(Tau+OldTau+zeta-2*a*psi))*((EXP(alpha*a*psi)-EXP(alpha*b*psi))^2))/((EXP(alpha*a*psi)-EXP(alpha*(2*OldTau+b*psi)))*(alpha^2)*(psi^2))</f>
        <v>0.0566335012050066</v>
      </c>
      <c r="G47" s="10" t="n">
        <f aca="false">(EXP(alpha*(zeta+(2*b-a)*psi))*(-1+EXP(alpha*(-1)*Size*psi))*(EXP(alpha*(2*(Tau+OldTau)+a*psi))-EXP(alpha*(2*(Tau+OldTau)+b*psi))))/(((EXP(alpha*a*psi)-EXP(alpha*(2*OldTau+b*psi)))^2)*(alpha^2)*(psi^2))</f>
        <v>9.12795117360015E-005</v>
      </c>
      <c r="H47" s="7" t="n">
        <f aca="false">-Beta/alpha</f>
        <v>180</v>
      </c>
      <c r="I47" s="7" t="n">
        <f aca="false">(-EXP(alpha*zeta)*Beta*(-1+EXP(alpha*Size*psi)-Size*alpha*psi))/((alpha^3)*(psi^2))</f>
        <v>1690.92462806846</v>
      </c>
      <c r="J47" s="7" t="n">
        <f aca="false">Beta*Theta</f>
        <v>14.4</v>
      </c>
      <c r="K47" s="7" t="n">
        <f aca="false">Beta*Theta</f>
        <v>14.4</v>
      </c>
      <c r="L47" s="7" t="n">
        <f aca="false">kappa</f>
        <v>90</v>
      </c>
      <c r="M47" s="7" t="n">
        <f aca="false">Gamma*Size</f>
        <v>0</v>
      </c>
      <c r="N47" s="7" t="n">
        <f aca="false">Size*Beta*Phi</f>
        <v>32.4</v>
      </c>
      <c r="O47" s="7" t="n">
        <f aca="false">-(EXP(alpha*a*psi)+EXP(alpha*b*psi)*(-1+Size*psi*alpha))*(Beta*Phi)/((alpha*psi)*(EXP(alpha*a*psi)-EXP(alpha*b*psi)))</f>
        <v>12.2941718960407</v>
      </c>
      <c r="P47" s="7" t="n">
        <f aca="false">(EXP(alpha*(zeta-a*psi))*Beta*Phi*(-EXP(alpha*a*psi)*(-2+(-1)*Size*alpha*psi)+EXP(alpha*b*psi)*(-2+Size*alpha*psi)))/((alpha^3)*(psi^3))</f>
        <v>78.836375998096</v>
      </c>
      <c r="Q47" s="7" t="n">
        <f aca="false">Tau*Beta</f>
        <v>792</v>
      </c>
      <c r="R47" s="7" t="n">
        <f aca="false">Tau*Beta</f>
        <v>792</v>
      </c>
      <c r="S47" s="11" t="n">
        <f aca="false">Tau</f>
        <v>4.4</v>
      </c>
      <c r="T47" s="7" t="n">
        <f aca="false">Profit+Utility</f>
        <v>1619.10517980398</v>
      </c>
      <c r="U47" s="7" t="n">
        <f aca="false">ij*BUTIJ+BUTII</f>
        <v>1701.11865828536</v>
      </c>
      <c r="V47" s="7" t="n">
        <f aca="false">Revenue-Cost</f>
        <v>-82.013478481376</v>
      </c>
      <c r="W47" s="7" t="n">
        <f aca="false">(2*ij*BRIJ)+(2)*jj*BRJJ</f>
        <v>89.8520526553203</v>
      </c>
      <c r="X47" s="9" t="n">
        <f aca="false">2*(ij*BCCIJ)+(2*jj*BCCJJ)+BCS+jj*BCPTJJ+2*(ij*BCPTIJ)+BCPTII+BCk</f>
        <v>171.865531136696</v>
      </c>
    </row>
    <row r="48" customFormat="false" ht="13" hidden="false" customHeight="false" outlineLevel="0" collapsed="false">
      <c r="A48" s="2" t="n">
        <f aca="false">A47+0.1</f>
        <v>4.5</v>
      </c>
      <c r="B48" s="2" t="n">
        <v>0.6</v>
      </c>
      <c r="C48" s="2" t="n">
        <v>10</v>
      </c>
      <c r="D48" s="2" t="n">
        <v>0</v>
      </c>
      <c r="E48" s="2" t="n">
        <f aca="false">Size-a</f>
        <v>10</v>
      </c>
      <c r="F48" s="10" t="n">
        <f aca="false">(EXP(alpha*(Tau+OldTau+zeta-2*a*psi))*((EXP(alpha*a*psi)-EXP(alpha*b*psi))^2))/((EXP(alpha*a*psi)-EXP(alpha*(2*OldTau+b*psi)))*(alpha^2)*(psi^2))</f>
        <v>0.0512441110046746</v>
      </c>
      <c r="G48" s="10" t="n">
        <f aca="false">(EXP(alpha*(zeta+(2*b-a)*psi))*(-1+EXP(alpha*(-1)*Size*psi))*(EXP(alpha*(2*(Tau+OldTau)+a*psi))-EXP(alpha*(2*(Tau+OldTau)+b*psi))))/(((EXP(alpha*a*psi)-EXP(alpha*(2*OldTau+b*psi)))^2)*(alpha^2)*(psi^2))</f>
        <v>7.47333433842071E-005</v>
      </c>
      <c r="H48" s="7" t="n">
        <f aca="false">-Beta/alpha</f>
        <v>180</v>
      </c>
      <c r="I48" s="7" t="n">
        <f aca="false">(-EXP(alpha*zeta)*Beta*(-1+EXP(alpha*Size*psi)-Size*alpha*psi))/((alpha^3)*(psi^2))</f>
        <v>1690.92462806846</v>
      </c>
      <c r="J48" s="7" t="n">
        <f aca="false">Beta*Theta</f>
        <v>14.4</v>
      </c>
      <c r="K48" s="7" t="n">
        <f aca="false">Beta*Theta</f>
        <v>14.4</v>
      </c>
      <c r="L48" s="7" t="n">
        <f aca="false">kappa</f>
        <v>90</v>
      </c>
      <c r="M48" s="7" t="n">
        <f aca="false">Gamma*Size</f>
        <v>0</v>
      </c>
      <c r="N48" s="7" t="n">
        <f aca="false">Size*Beta*Phi</f>
        <v>32.4</v>
      </c>
      <c r="O48" s="7" t="n">
        <f aca="false">-(EXP(alpha*a*psi)+EXP(alpha*b*psi)*(-1+Size*psi*alpha))*(Beta*Phi)/((alpha*psi)*(EXP(alpha*a*psi)-EXP(alpha*b*psi)))</f>
        <v>12.2941718960407</v>
      </c>
      <c r="P48" s="7" t="n">
        <f aca="false">(EXP(alpha*(zeta-a*psi))*Beta*Phi*(-EXP(alpha*a*psi)*(-2+(-1)*Size*alpha*psi)+EXP(alpha*b*psi)*(-2+Size*alpha*psi)))/((alpha^3)*(psi^3))</f>
        <v>78.836375998096</v>
      </c>
      <c r="Q48" s="7" t="n">
        <f aca="false">Tau*Beta</f>
        <v>810</v>
      </c>
      <c r="R48" s="7" t="n">
        <f aca="false">Tau*Beta</f>
        <v>810</v>
      </c>
      <c r="S48" s="11" t="n">
        <f aca="false">Tau</f>
        <v>4.5</v>
      </c>
      <c r="T48" s="7" t="n">
        <f aca="false">Profit+Utility</f>
        <v>1611.70830799881</v>
      </c>
      <c r="U48" s="7" t="n">
        <f aca="false">ij*BUTIJ+BUTII</f>
        <v>1700.1485680493</v>
      </c>
      <c r="V48" s="7" t="n">
        <f aca="false">Revenue-Cost</f>
        <v>-88.4402600504929</v>
      </c>
      <c r="W48" s="7" t="n">
        <f aca="false">(2*ij*BRIJ)+(2)*jj*BRJJ</f>
        <v>83.1365278438553</v>
      </c>
      <c r="X48" s="9" t="n">
        <f aca="false">2*(ij*BCCIJ)+(2*jj*BCCJJ)+BCS+jj*BCPTJJ+2*(ij*BCPTIJ)+BCPTII+BCk</f>
        <v>171.576787894348</v>
      </c>
    </row>
    <row r="49" customFormat="false" ht="13" hidden="false" customHeight="false" outlineLevel="0" collapsed="false">
      <c r="A49" s="2" t="n">
        <f aca="false">A48+0.1</f>
        <v>4.6</v>
      </c>
      <c r="B49" s="2" t="n">
        <v>0.6</v>
      </c>
      <c r="C49" s="2" t="n">
        <v>10</v>
      </c>
      <c r="D49" s="2" t="n">
        <v>0</v>
      </c>
      <c r="E49" s="2" t="n">
        <f aca="false">Size-a</f>
        <v>10</v>
      </c>
      <c r="F49" s="10" t="n">
        <f aca="false">(EXP(alpha*(Tau+OldTau+zeta-2*a*psi))*((EXP(alpha*a*psi)-EXP(alpha*b*psi))^2))/((EXP(alpha*a*psi)-EXP(alpha*(2*OldTau+b*psi)))*(alpha^2)*(psi^2))</f>
        <v>0.0463675890910179</v>
      </c>
      <c r="G49" s="10" t="n">
        <f aca="false">(EXP(alpha*(zeta+(2*b-a)*psi))*(-1+EXP(alpha*(-1)*Size*psi))*(EXP(alpha*(2*(Tau+OldTau)+a*psi))-EXP(alpha*(2*(Tau+OldTau)+b*psi))))/(((EXP(alpha*a*psi)-EXP(alpha*(2*OldTau+b*psi)))^2)*(alpha^2)*(psi^2))</f>
        <v>6.11864865089873E-005</v>
      </c>
      <c r="H49" s="7" t="n">
        <f aca="false">-Beta/alpha</f>
        <v>180</v>
      </c>
      <c r="I49" s="7" t="n">
        <f aca="false">(-EXP(alpha*zeta)*Beta*(-1+EXP(alpha*Size*psi)-Size*alpha*psi))/((alpha^3)*(psi^2))</f>
        <v>1690.92462806846</v>
      </c>
      <c r="J49" s="7" t="n">
        <f aca="false">Beta*Theta</f>
        <v>14.4</v>
      </c>
      <c r="K49" s="7" t="n">
        <f aca="false">Beta*Theta</f>
        <v>14.4</v>
      </c>
      <c r="L49" s="7" t="n">
        <f aca="false">kappa</f>
        <v>90</v>
      </c>
      <c r="M49" s="7" t="n">
        <f aca="false">Gamma*Size</f>
        <v>0</v>
      </c>
      <c r="N49" s="7" t="n">
        <f aca="false">Size*Beta*Phi</f>
        <v>32.4</v>
      </c>
      <c r="O49" s="7" t="n">
        <f aca="false">-(EXP(alpha*a*psi)+EXP(alpha*b*psi)*(-1+Size*psi*alpha))*(Beta*Phi)/((alpha*psi)*(EXP(alpha*a*psi)-EXP(alpha*b*psi)))</f>
        <v>12.2941718960407</v>
      </c>
      <c r="P49" s="7" t="n">
        <f aca="false">(EXP(alpha*(zeta-a*psi))*Beta*Phi*(-EXP(alpha*a*psi)*(-2+(-1)*Size*alpha*psi)+EXP(alpha*b*psi)*(-2+Size*alpha*psi)))/((alpha^3)*(psi^3))</f>
        <v>78.836375998096</v>
      </c>
      <c r="Q49" s="7" t="n">
        <f aca="false">Tau*Beta</f>
        <v>828</v>
      </c>
      <c r="R49" s="7" t="n">
        <f aca="false">Tau*Beta</f>
        <v>828</v>
      </c>
      <c r="S49" s="11" t="n">
        <f aca="false">Tau</f>
        <v>4.6</v>
      </c>
      <c r="T49" s="7" t="n">
        <f aca="false">Profit+Utility</f>
        <v>1604.84123706295</v>
      </c>
      <c r="U49" s="7" t="n">
        <f aca="false">ij*BUTIJ+BUTII</f>
        <v>1699.27079410484</v>
      </c>
      <c r="V49" s="7" t="n">
        <f aca="false">Revenue-Cost</f>
        <v>-94.429557041887</v>
      </c>
      <c r="W49" s="7" t="n">
        <f aca="false">(2*ij*BRIJ)+(2)*jj*BRJJ</f>
        <v>76.8860523563845</v>
      </c>
      <c r="X49" s="9" t="n">
        <f aca="false">2*(ij*BCCIJ)+(2*jj*BCCJJ)+BCS+jj*BCPTJJ+2*(ij*BCPTIJ)+BCPTII+BCk</f>
        <v>171.315609398272</v>
      </c>
    </row>
    <row r="50" customFormat="false" ht="13" hidden="false" customHeight="false" outlineLevel="0" collapsed="false">
      <c r="A50" s="2" t="n">
        <f aca="false">A49+0.1</f>
        <v>4.7</v>
      </c>
      <c r="B50" s="2" t="n">
        <v>0.6</v>
      </c>
      <c r="C50" s="2" t="n">
        <v>10</v>
      </c>
      <c r="D50" s="2" t="n">
        <v>0</v>
      </c>
      <c r="E50" s="2" t="n">
        <f aca="false">Size-a</f>
        <v>10</v>
      </c>
      <c r="F50" s="10" t="n">
        <f aca="false">(EXP(alpha*(Tau+OldTau+zeta-2*a*psi))*((EXP(alpha*a*psi)-EXP(alpha*b*psi))^2))/((EXP(alpha*a*psi)-EXP(alpha*(2*OldTau+b*psi)))*(alpha^2)*(psi^2))</f>
        <v>0.041955129593669</v>
      </c>
      <c r="G50" s="10" t="n">
        <f aca="false">(EXP(alpha*(zeta+(2*b-a)*psi))*(-1+EXP(alpha*(-1)*Size*psi))*(EXP(alpha*(2*(Tau+OldTau)+a*psi))-EXP(alpha*(2*(Tau+OldTau)+b*psi))))/(((EXP(alpha*a*psi)-EXP(alpha*(2*OldTau+b*psi)))^2)*(alpha^2)*(psi^2))</f>
        <v>5.0095258177699E-005</v>
      </c>
      <c r="H50" s="7" t="n">
        <f aca="false">-Beta/alpha</f>
        <v>180</v>
      </c>
      <c r="I50" s="7" t="n">
        <f aca="false">(-EXP(alpha*zeta)*Beta*(-1+EXP(alpha*Size*psi)-Size*alpha*psi))/((alpha^3)*(psi^2))</f>
        <v>1690.92462806846</v>
      </c>
      <c r="J50" s="7" t="n">
        <f aca="false">Beta*Theta</f>
        <v>14.4</v>
      </c>
      <c r="K50" s="7" t="n">
        <f aca="false">Beta*Theta</f>
        <v>14.4</v>
      </c>
      <c r="L50" s="7" t="n">
        <f aca="false">kappa</f>
        <v>90</v>
      </c>
      <c r="M50" s="7" t="n">
        <f aca="false">Gamma*Size</f>
        <v>0</v>
      </c>
      <c r="N50" s="7" t="n">
        <f aca="false">Size*Beta*Phi</f>
        <v>32.4</v>
      </c>
      <c r="O50" s="7" t="n">
        <f aca="false">-(EXP(alpha*a*psi)+EXP(alpha*b*psi)*(-1+Size*psi*alpha))*(Beta*Phi)/((alpha*psi)*(EXP(alpha*a*psi)-EXP(alpha*b*psi)))</f>
        <v>12.2941718960407</v>
      </c>
      <c r="P50" s="7" t="n">
        <f aca="false">(EXP(alpha*(zeta-a*psi))*Beta*Phi*(-EXP(alpha*a*psi)*(-2+(-1)*Size*alpha*psi)+EXP(alpha*b*psi)*(-2+Size*alpha*psi)))/((alpha^3)*(psi^3))</f>
        <v>78.836375998096</v>
      </c>
      <c r="Q50" s="7" t="n">
        <f aca="false">Tau*Beta</f>
        <v>846</v>
      </c>
      <c r="R50" s="7" t="n">
        <f aca="false">Tau*Beta</f>
        <v>846</v>
      </c>
      <c r="S50" s="11" t="n">
        <f aca="false">Tau</f>
        <v>4.7</v>
      </c>
      <c r="T50" s="7" t="n">
        <f aca="false">Profit+Utility</f>
        <v>1598.47003513416</v>
      </c>
      <c r="U50" s="7" t="n">
        <f aca="false">ij*BUTIJ+BUTII</f>
        <v>1698.47655139532</v>
      </c>
      <c r="V50" s="7" t="n">
        <f aca="false">Revenue-Cost</f>
        <v>-100.00651626116</v>
      </c>
      <c r="W50" s="7" t="n">
        <f aca="false">(2*ij*BRIJ)+(2)*jj*BRJJ</f>
        <v>71.0728404493246</v>
      </c>
      <c r="X50" s="9" t="n">
        <f aca="false">2*(ij*BCCIJ)+(2*jj*BCCJJ)+BCS+jj*BCPTJJ+2*(ij*BCPTIJ)+BCPTII+BCk</f>
        <v>171.079356710485</v>
      </c>
    </row>
    <row r="51" customFormat="false" ht="13" hidden="false" customHeight="false" outlineLevel="0" collapsed="false">
      <c r="A51" s="2" t="n">
        <f aca="false">A50+0.1</f>
        <v>4.8</v>
      </c>
      <c r="B51" s="2" t="n">
        <v>0.6</v>
      </c>
      <c r="C51" s="2" t="n">
        <v>10</v>
      </c>
      <c r="D51" s="2" t="n">
        <v>0</v>
      </c>
      <c r="E51" s="2" t="n">
        <f aca="false">Size-a</f>
        <v>10</v>
      </c>
      <c r="F51" s="10" t="n">
        <f aca="false">(EXP(alpha*(Tau+OldTau+zeta-2*a*psi))*((EXP(alpha*a*psi)-EXP(alpha*b*psi))^2))/((EXP(alpha*a*psi)-EXP(alpha*(2*OldTau+b*psi)))*(alpha^2)*(psi^2))</f>
        <v>0.0379625711348995</v>
      </c>
      <c r="G51" s="10" t="n">
        <f aca="false">(EXP(alpha*(zeta+(2*b-a)*psi))*(-1+EXP(alpha*(-1)*Size*psi))*(EXP(alpha*(2*(Tau+OldTau)+a*psi))-EXP(alpha*(2*(Tau+OldTau)+b*psi))))/(((EXP(alpha*a*psi)-EXP(alpha*(2*OldTau+b*psi)))^2)*(alpha^2)*(psi^2))</f>
        <v>4.10145284534634E-005</v>
      </c>
      <c r="H51" s="7" t="n">
        <f aca="false">-Beta/alpha</f>
        <v>180</v>
      </c>
      <c r="I51" s="7" t="n">
        <f aca="false">(-EXP(alpha*zeta)*Beta*(-1+EXP(alpha*Size*psi)-Size*alpha*psi))/((alpha^3)*(psi^2))</f>
        <v>1690.92462806846</v>
      </c>
      <c r="J51" s="7" t="n">
        <f aca="false">Beta*Theta</f>
        <v>14.4</v>
      </c>
      <c r="K51" s="7" t="n">
        <f aca="false">Beta*Theta</f>
        <v>14.4</v>
      </c>
      <c r="L51" s="7" t="n">
        <f aca="false">kappa</f>
        <v>90</v>
      </c>
      <c r="M51" s="7" t="n">
        <f aca="false">Gamma*Size</f>
        <v>0</v>
      </c>
      <c r="N51" s="7" t="n">
        <f aca="false">Size*Beta*Phi</f>
        <v>32.4</v>
      </c>
      <c r="O51" s="7" t="n">
        <f aca="false">-(EXP(alpha*a*psi)+EXP(alpha*b*psi)*(-1+Size*psi*alpha))*(Beta*Phi)/((alpha*psi)*(EXP(alpha*a*psi)-EXP(alpha*b*psi)))</f>
        <v>12.2941718960407</v>
      </c>
      <c r="P51" s="7" t="n">
        <f aca="false">(EXP(alpha*(zeta-a*psi))*Beta*Phi*(-EXP(alpha*a*psi)*(-2+(-1)*Size*alpha*psi)+EXP(alpha*b*psi)*(-2+Size*alpha*psi)))/((alpha^3)*(psi^3))</f>
        <v>78.836375998096</v>
      </c>
      <c r="Q51" s="7" t="n">
        <f aca="false">Tau*Beta</f>
        <v>864</v>
      </c>
      <c r="R51" s="7" t="n">
        <f aca="false">Tau*Beta</f>
        <v>864</v>
      </c>
      <c r="S51" s="11" t="n">
        <f aca="false">Tau</f>
        <v>4.8</v>
      </c>
      <c r="T51" s="7" t="n">
        <f aca="false">Profit+Utility</f>
        <v>1592.5624420128</v>
      </c>
      <c r="U51" s="7" t="n">
        <f aca="false">ij*BUTIJ+BUTII</f>
        <v>1697.75789087274</v>
      </c>
      <c r="V51" s="7" t="n">
        <f aca="false">Revenue-Cost</f>
        <v>-105.195448859945</v>
      </c>
      <c r="W51" s="7" t="n">
        <f aca="false">(2*ij*BRIJ)+(2)*jj*BRJJ</f>
        <v>65.670196026274</v>
      </c>
      <c r="X51" s="9" t="n">
        <f aca="false">2*(ij*BCCIJ)+(2*jj*BCCJJ)+BCS+jj*BCPTJJ+2*(ij*BCPTIJ)+BCPTII+BCk</f>
        <v>170.865644886219</v>
      </c>
    </row>
    <row r="52" customFormat="false" ht="13" hidden="false" customHeight="false" outlineLevel="0" collapsed="false">
      <c r="F52" s="2"/>
    </row>
    <row r="53" customFormat="false" ht="13" hidden="false" customHeight="false" outlineLevel="0" collapsed="false">
      <c r="F53" s="2"/>
    </row>
    <row r="54" customFormat="false" ht="13" hidden="false" customHeight="false" outlineLevel="0" collapsed="false">
      <c r="F54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F2" colorId="64" zoomScale="100" zoomScaleNormal="100" zoomScalePageLayoutView="100" workbookViewId="0">
      <selection pane="topLeft" activeCell="A2" activeCellId="0" sqref="A2:G52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B1" s="2" t="s">
        <v>37</v>
      </c>
      <c r="E1" s="2" t="s">
        <v>38</v>
      </c>
    </row>
    <row r="2" customFormat="false" ht="13" hidden="false" customHeight="false" outlineLevel="0" collapsed="false">
      <c r="A2" s="2" t="s">
        <v>31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customFormat="false" ht="13" hidden="false" customHeight="false" outlineLevel="0" collapsed="false">
      <c r="A3" s="2" t="n">
        <v>0</v>
      </c>
      <c r="B3" s="7" t="n">
        <f aca="false">'S-Toll (All-Tax)'!T2</f>
        <v>3086.60962030988</v>
      </c>
      <c r="C3" s="7" t="n">
        <f aca="false">'S-Toll (All-Tax)'!U2</f>
        <v>3507.51093217031</v>
      </c>
      <c r="D3" s="7" t="n">
        <f aca="false">'S-Toll (All-Tax)'!V2</f>
        <v>-420.901311860438</v>
      </c>
      <c r="E3" s="7" t="n">
        <f aca="false">'S-Toll(All-Toll)'!T2</f>
        <v>2309.35809324044</v>
      </c>
      <c r="F3" s="7" t="n">
        <f aca="false">'S-Toll(All-Toll)'!U2</f>
        <v>2521.23724443199</v>
      </c>
      <c r="G3" s="7" t="n">
        <f aca="false">'S-Toll(All-Toll)'!V2</f>
        <v>-211.879151191554</v>
      </c>
    </row>
    <row r="4" customFormat="false" ht="13" hidden="false" customHeight="false" outlineLevel="0" collapsed="false">
      <c r="A4" s="2" t="n">
        <v>0</v>
      </c>
      <c r="B4" s="7" t="n">
        <f aca="false">'S-Toll (All-Tax)'!T3</f>
        <v>2622.47512087838</v>
      </c>
      <c r="C4" s="7" t="n">
        <f aca="false">'S-Toll (All-Tax)'!U3</f>
        <v>3507.51093217031</v>
      </c>
      <c r="D4" s="7" t="n">
        <f aca="false">'S-Toll (All-Tax)'!V3</f>
        <v>-885.035811291938</v>
      </c>
      <c r="E4" s="7" t="n">
        <f aca="false">'S-Toll(All-Toll)'!T3</f>
        <v>2069.06764267771</v>
      </c>
      <c r="F4" s="7" t="n">
        <f aca="false">'S-Toll(All-Toll)'!U3</f>
        <v>2521.23724443199</v>
      </c>
      <c r="G4" s="7" t="n">
        <f aca="false">'S-Toll(All-Toll)'!V3</f>
        <v>-452.169601754279</v>
      </c>
    </row>
    <row r="5" customFormat="false" ht="13" hidden="false" customHeight="false" outlineLevel="0" collapsed="false">
      <c r="A5" s="2" t="n">
        <v>0.1</v>
      </c>
      <c r="B5" s="7" t="n">
        <f aca="false">'S-Toll (All-Tax)'!T4</f>
        <v>2947.21279675016</v>
      </c>
      <c r="C5" s="7" t="n">
        <f aca="false">'S-Toll (All-Tax)'!U4</f>
        <v>3334.63988911147</v>
      </c>
      <c r="D5" s="7" t="n">
        <f aca="false">'S-Toll (All-Tax)'!V4</f>
        <v>-387.427092361309</v>
      </c>
      <c r="E5" s="7" t="n">
        <f aca="false">'S-Toll(All-Toll)'!T4</f>
        <v>2188.3152208911</v>
      </c>
      <c r="F5" s="7" t="n">
        <f aca="false">'S-Toll(All-Toll)'!U4</f>
        <v>2442.22255202152</v>
      </c>
      <c r="G5" s="7" t="n">
        <f aca="false">'S-Toll(All-Toll)'!V4</f>
        <v>-253.907331130423</v>
      </c>
    </row>
    <row r="6" customFormat="false" ht="13" hidden="false" customHeight="false" outlineLevel="0" collapsed="false">
      <c r="A6" s="2" t="n">
        <v>0.2</v>
      </c>
      <c r="B6" s="7" t="n">
        <f aca="false">'S-Toll (All-Tax)'!T5</f>
        <v>3184.15133739831</v>
      </c>
      <c r="C6" s="7" t="n">
        <f aca="false">'S-Toll (All-Tax)'!U5</f>
        <v>3178.21970085692</v>
      </c>
      <c r="D6" s="7" t="n">
        <f aca="false">'S-Toll (All-Tax)'!V5</f>
        <v>5.93163654139221</v>
      </c>
      <c r="E6" s="7" t="n">
        <f aca="false">'S-Toll(All-Toll)'!T5</f>
        <v>2276.56500482107</v>
      </c>
      <c r="F6" s="7" t="n">
        <f aca="false">'S-Toll(All-Toll)'!U5</f>
        <v>2370.72710175393</v>
      </c>
      <c r="G6" s="7" t="n">
        <f aca="false">'S-Toll(All-Toll)'!V5</f>
        <v>-94.1620969328527</v>
      </c>
    </row>
    <row r="7" customFormat="false" ht="13" hidden="false" customHeight="false" outlineLevel="0" collapsed="false">
      <c r="A7" s="2" t="n">
        <v>0.3</v>
      </c>
      <c r="B7" s="7" t="n">
        <f aca="false">'S-Toll (All-Tax)'!T6</f>
        <v>3350.59922863758</v>
      </c>
      <c r="C7" s="7" t="n">
        <f aca="false">'S-Toll (All-Tax)'!U6</f>
        <v>3036.68486158797</v>
      </c>
      <c r="D7" s="7" t="n">
        <f aca="false">'S-Toll (All-Tax)'!V6</f>
        <v>313.914367049605</v>
      </c>
      <c r="E7" s="7" t="n">
        <f aca="false">'S-Toll(All-Toll)'!T6</f>
        <v>2339.37609023363</v>
      </c>
      <c r="F7" s="7" t="n">
        <f aca="false">'S-Toll(All-Toll)'!U6</f>
        <v>2306.03534313247</v>
      </c>
      <c r="G7" s="7" t="n">
        <f aca="false">'S-Toll(All-Toll)'!V6</f>
        <v>33.3407471011517</v>
      </c>
    </row>
    <row r="8" customFormat="false" ht="13" hidden="false" customHeight="false" outlineLevel="0" collapsed="false">
      <c r="A8" s="2" t="n">
        <v>0.4</v>
      </c>
      <c r="B8" s="7" t="n">
        <f aca="false">'S-Toll (All-Tax)'!T7</f>
        <v>3460.60949953957</v>
      </c>
      <c r="C8" s="7" t="n">
        <f aca="false">'S-Toll (All-Tax)'!U7</f>
        <v>2908.61884306173</v>
      </c>
      <c r="D8" s="7" t="n">
        <f aca="false">'S-Toll (All-Tax)'!V7</f>
        <v>551.990656477844</v>
      </c>
      <c r="E8" s="7" t="n">
        <f aca="false">'S-Toll(All-Toll)'!T7</f>
        <v>2381.37224377935</v>
      </c>
      <c r="F8" s="7" t="n">
        <f aca="false">'S-Toll(All-Toll)'!U7</f>
        <v>2247.49981929324</v>
      </c>
      <c r="G8" s="7" t="n">
        <f aca="false">'S-Toll(All-Toll)'!V7</f>
        <v>133.872424486119</v>
      </c>
    </row>
    <row r="9" customFormat="false" ht="13" hidden="false" customHeight="false" outlineLevel="0" collapsed="false">
      <c r="A9" s="2" t="n">
        <v>0.5</v>
      </c>
      <c r="B9" s="7" t="n">
        <f aca="false">'S-Toll (All-Tax)'!T8</f>
        <v>3525.60048492171</v>
      </c>
      <c r="C9" s="7" t="n">
        <f aca="false">'S-Toll (All-Tax)'!U8</f>
        <v>2792.73991752029</v>
      </c>
      <c r="D9" s="7" t="n">
        <f aca="false">'S-Toll (All-Tax)'!V8</f>
        <v>732.860567401417</v>
      </c>
      <c r="E9" s="7" t="n">
        <f aca="false">'S-Toll(All-Toll)'!T8</f>
        <v>2406.4025671229</v>
      </c>
      <c r="F9" s="7" t="n">
        <f aca="false">'S-Toll(All-Toll)'!U8</f>
        <v>2194.53468703916</v>
      </c>
      <c r="G9" s="7" t="n">
        <f aca="false">'S-Toll(All-Toll)'!V8</f>
        <v>211.867880083742</v>
      </c>
    </row>
    <row r="10" customFormat="false" ht="13" hidden="false" customHeight="false" outlineLevel="0" collapsed="false">
      <c r="A10" s="2" t="n">
        <v>0.6</v>
      </c>
      <c r="B10" s="7" t="n">
        <f aca="false">'S-Toll (All-Tax)'!T9</f>
        <v>3554.85552481855</v>
      </c>
      <c r="C10" s="7" t="n">
        <f aca="false">'S-Toll (All-Tax)'!U9</f>
        <v>2687.8883297286</v>
      </c>
      <c r="D10" s="7" t="n">
        <f aca="false">'S-Toll (All-Tax)'!V9</f>
        <v>866.967195089952</v>
      </c>
      <c r="E10" s="7" t="n">
        <f aca="false">'S-Toll(All-Toll)'!T9</f>
        <v>2417.6732845724</v>
      </c>
      <c r="F10" s="7" t="n">
        <f aca="false">'S-Toll(All-Toll)'!U9</f>
        <v>2146.60985352444</v>
      </c>
      <c r="G10" s="7" t="n">
        <f aca="false">'S-Toll(All-Toll)'!V9</f>
        <v>271.063431047962</v>
      </c>
    </row>
    <row r="11" customFormat="false" ht="13" hidden="false" customHeight="false" outlineLevel="0" collapsed="false">
      <c r="A11" s="2" t="n">
        <v>0.7</v>
      </c>
      <c r="B11" s="7" t="n">
        <f aca="false">'S-Toll (All-Tax)'!T10</f>
        <v>3555.92557728335</v>
      </c>
      <c r="C11" s="7" t="n">
        <f aca="false">'S-Toll (All-Tax)'!U10</f>
        <v>2593.01468975419</v>
      </c>
      <c r="D11" s="7" t="n">
        <f aca="false">'S-Toll (All-Tax)'!V10</f>
        <v>962.91088752916</v>
      </c>
      <c r="E11" s="7" t="n">
        <f aca="false">'S-Toll(All-Toll)'!T10</f>
        <v>2417.85606494604</v>
      </c>
      <c r="F11" s="7" t="n">
        <f aca="false">'S-Toll(All-Toll)'!U10</f>
        <v>2103.24567090718</v>
      </c>
      <c r="G11" s="7" t="n">
        <f aca="false">'S-Toll(All-Toll)'!V10</f>
        <v>314.610394038853</v>
      </c>
    </row>
    <row r="12" customFormat="false" ht="13" hidden="false" customHeight="false" outlineLevel="0" collapsed="false">
      <c r="A12" s="2" t="n">
        <v>0.8</v>
      </c>
      <c r="B12" s="7" t="n">
        <f aca="false">'S-Toll (All-Tax)'!T11</f>
        <v>3534.95394142101</v>
      </c>
      <c r="C12" s="7" t="n">
        <f aca="false">'S-Toll (All-Tax)'!U11</f>
        <v>2507.16947032008</v>
      </c>
      <c r="D12" s="7" t="n">
        <f aca="false">'S-Toll (All-Tax)'!V11</f>
        <v>1027.78447110093</v>
      </c>
      <c r="E12" s="7" t="n">
        <f aca="false">'S-Toll(All-Toll)'!T11</f>
        <v>2409.1772459184</v>
      </c>
      <c r="F12" s="7" t="n">
        <f aca="false">'S-Toll(All-Toll)'!U11</f>
        <v>2064.00813587255</v>
      </c>
      <c r="G12" s="7" t="n">
        <f aca="false">'S-Toll(All-Toll)'!V11</f>
        <v>345.169110045858</v>
      </c>
    </row>
    <row r="13" customFormat="false" ht="13" hidden="false" customHeight="false" outlineLevel="0" collapsed="false">
      <c r="A13" s="2" t="n">
        <v>0.9</v>
      </c>
      <c r="B13" s="7" t="n">
        <f aca="false">'S-Toll (All-Tax)'!T12</f>
        <v>3496.93846101311</v>
      </c>
      <c r="C13" s="7" t="n">
        <f aca="false">'S-Toll (All-Tax)'!U12</f>
        <v>2429.49350361658</v>
      </c>
      <c r="D13" s="7" t="n">
        <f aca="false">'S-Toll (All-Tax)'!V12</f>
        <v>1067.44495739653</v>
      </c>
      <c r="E13" s="7" t="n">
        <f aca="false">'S-Toll(All-Toll)'!T12</f>
        <v>2393.49149040778</v>
      </c>
      <c r="F13" s="7" t="n">
        <f aca="false">'S-Toll(All-Toll)'!U12</f>
        <v>2028.50454598171</v>
      </c>
      <c r="G13" s="7" t="n">
        <f aca="false">'S-Toll(All-Toll)'!V12</f>
        <v>364.986944426068</v>
      </c>
    </row>
    <row r="14" customFormat="false" ht="13" hidden="false" customHeight="false" outlineLevel="0" collapsed="false">
      <c r="A14" s="2" t="n">
        <v>1</v>
      </c>
      <c r="B14" s="7" t="n">
        <f aca="false">'S-Toll (All-Tax)'!T13</f>
        <v>3445.94351610864</v>
      </c>
      <c r="C14" s="7" t="n">
        <f aca="false">'S-Toll (All-Tax)'!U13</f>
        <v>2359.20938246114</v>
      </c>
      <c r="D14" s="7" t="n">
        <f aca="false">'S-Toll (All-Tax)'!V13</f>
        <v>1086.7341336475</v>
      </c>
      <c r="E14" s="7" t="n">
        <f aca="false">'S-Toll(All-Toll)'!T13</f>
        <v>2372.34272963365</v>
      </c>
      <c r="F14" s="7" t="n">
        <f aca="false">'S-Toll(All-Toll)'!U13</f>
        <v>1996.37956937387</v>
      </c>
      <c r="G14" s="7" t="n">
        <f aca="false">'S-Toll(All-Toll)'!V13</f>
        <v>375.963160259777</v>
      </c>
    </row>
    <row r="15" customFormat="false" ht="13" hidden="false" customHeight="false" outlineLevel="0" collapsed="false">
      <c r="A15" s="2" t="n">
        <v>1.1</v>
      </c>
      <c r="B15" s="7" t="n">
        <f aca="false">'S-Toll (All-Tax)'!T14</f>
        <v>3385.27165860813</v>
      </c>
      <c r="C15" s="7" t="n">
        <f aca="false">'S-Toll (All-Tax)'!U14</f>
        <v>2295.61367974593</v>
      </c>
      <c r="D15" s="7" t="n">
        <f aca="false">'S-Toll (All-Tax)'!V14</f>
        <v>1089.6579788622</v>
      </c>
      <c r="E15" s="7" t="n">
        <f aca="false">'S-Toll(All-Toll)'!T14</f>
        <v>2347.01470410673</v>
      </c>
      <c r="F15" s="7" t="n">
        <f aca="false">'S-Toll(All-Toll)'!U14</f>
        <v>1967.31168848558</v>
      </c>
      <c r="G15" s="7" t="n">
        <f aca="false">'S-Toll(All-Toll)'!V14</f>
        <v>379.703015621149</v>
      </c>
    </row>
    <row r="16" customFormat="false" ht="13" hidden="false" customHeight="false" outlineLevel="0" collapsed="false">
      <c r="A16" s="2" t="n">
        <v>1.2</v>
      </c>
      <c r="B16" s="7" t="n">
        <f aca="false">'S-Toll (All-Tax)'!T15</f>
        <v>3317.60278633284</v>
      </c>
      <c r="C16" s="7" t="n">
        <f aca="false">'S-Toll (All-Tax)'!U15</f>
        <v>2238.06990830292</v>
      </c>
      <c r="D16" s="7" t="n">
        <f aca="false">'S-Toll (All-Tax)'!V15</f>
        <v>1079.53287802993</v>
      </c>
      <c r="E16" s="7" t="n">
        <f aca="false">'S-Toll(All-Toll)'!T15</f>
        <v>2318.57297615423</v>
      </c>
      <c r="F16" s="7" t="n">
        <f aca="false">'S-Toll(All-Toll)'!U15</f>
        <v>1941.00998219483</v>
      </c>
      <c r="G16" s="7" t="n">
        <f aca="false">'S-Toll(All-Toll)'!V15</f>
        <v>377.562993959401</v>
      </c>
    </row>
    <row r="17" customFormat="false" ht="13" hidden="false" customHeight="false" outlineLevel="0" collapsed="false">
      <c r="A17" s="2" t="n">
        <v>1.3</v>
      </c>
      <c r="B17" s="7" t="n">
        <f aca="false">'S-Toll (All-Tax)'!T16</f>
        <v>3245.10718066367</v>
      </c>
      <c r="C17" s="7" t="n">
        <f aca="false">'S-Toll (All-Tax)'!U16</f>
        <v>2186.00215072637</v>
      </c>
      <c r="D17" s="7" t="n">
        <f aca="false">'S-Toll (All-Tax)'!V16</f>
        <v>1059.1050299373</v>
      </c>
      <c r="E17" s="7" t="n">
        <f aca="false">'S-Toll(All-Toll)'!T16</f>
        <v>2287.89993486611</v>
      </c>
      <c r="F17" s="7" t="n">
        <f aca="false">'S-Toll(All-Toll)'!U16</f>
        <v>1917.21121418477</v>
      </c>
      <c r="G17" s="7" t="n">
        <f aca="false">'S-Toll(All-Toll)'!V16</f>
        <v>370.688720681333</v>
      </c>
    </row>
    <row r="18" customFormat="false" ht="13" hidden="false" customHeight="false" outlineLevel="0" collapsed="false">
      <c r="A18" s="2" t="n">
        <v>1.4</v>
      </c>
      <c r="B18" s="7" t="n">
        <f aca="false">'S-Toll (All-Tax)'!T17</f>
        <v>3169.53747727276</v>
      </c>
      <c r="C18" s="7" t="n">
        <f aca="false">'S-Toll (All-Tax)'!U17</f>
        <v>2138.88929539788</v>
      </c>
      <c r="D18" s="7" t="n">
        <f aca="false">'S-Toll (All-Tax)'!V17</f>
        <v>1030.64818187488</v>
      </c>
      <c r="E18" s="7" t="n">
        <f aca="false">'S-Toll(All-Toll)'!T17</f>
        <v>2255.72402989378</v>
      </c>
      <c r="F18" s="7" t="n">
        <f aca="false">'S-Toll(All-Toll)'!U17</f>
        <v>1895.67719838612</v>
      </c>
      <c r="G18" s="7" t="n">
        <f aca="false">'S-Toll(All-Toll)'!V17</f>
        <v>360.04683150766</v>
      </c>
    </row>
    <row r="19" customFormat="false" ht="13" hidden="false" customHeight="false" outlineLevel="0" collapsed="false">
      <c r="A19" s="2" t="n">
        <v>1.5</v>
      </c>
      <c r="B19" s="7" t="n">
        <f aca="false">'S-Toll (All-Tax)'!T18</f>
        <v>3092.30363502872</v>
      </c>
      <c r="C19" s="7" t="n">
        <f aca="false">'S-Toll (All-Tax)'!U18</f>
        <v>2096.25982102615</v>
      </c>
      <c r="D19" s="7" t="n">
        <f aca="false">'S-Toll (All-Tax)'!V18</f>
        <v>996.043814002573</v>
      </c>
      <c r="E19" s="7" t="n">
        <f aca="false">'S-Toll(All-Toll)'!T18</f>
        <v>2222.64424095156</v>
      </c>
      <c r="F19" s="7" t="n">
        <f aca="false">'S-Toll(All-Toll)'!U18</f>
        <v>1876.19241513092</v>
      </c>
      <c r="G19" s="7" t="n">
        <f aca="false">'S-Toll(All-Toll)'!V18</f>
        <v>346.451825820644</v>
      </c>
    </row>
    <row r="20" customFormat="false" ht="13" hidden="false" customHeight="false" outlineLevel="0" collapsed="false">
      <c r="A20" s="2" t="n">
        <v>1.6</v>
      </c>
      <c r="B20" s="7" t="n">
        <f aca="false">'S-Toll (All-Tax)'!T19</f>
        <v>3014.53416459779</v>
      </c>
      <c r="C20" s="7" t="n">
        <f aca="false">'S-Toll (All-Tax)'!U19</f>
        <v>2057.6870775034</v>
      </c>
      <c r="D20" s="7" t="n">
        <f aca="false">'S-Toll (All-Tax)'!V19</f>
        <v>956.847087094383</v>
      </c>
      <c r="E20" s="7" t="n">
        <f aca="false">'S-Toll(All-Toll)'!T19</f>
        <v>2189.15060440714</v>
      </c>
      <c r="F20" s="7" t="n">
        <f aca="false">'S-Toll(All-Toll)'!U19</f>
        <v>1858.56185415929</v>
      </c>
      <c r="G20" s="7" t="n">
        <f aca="false">'S-Toll(All-Toll)'!V19</f>
        <v>330.588750247853</v>
      </c>
    </row>
    <row r="21" customFormat="false" ht="13" hidden="false" customHeight="false" outlineLevel="0" collapsed="false">
      <c r="A21" s="2" t="n">
        <v>1.7</v>
      </c>
      <c r="B21" s="7" t="n">
        <f aca="false">'S-Toll (All-Tax)'!T20</f>
        <v>2937.12623536334</v>
      </c>
      <c r="C21" s="7" t="n">
        <f aca="false">'S-Toll (All-Tax)'!U20</f>
        <v>2022.78501584772</v>
      </c>
      <c r="D21" s="7" t="n">
        <f aca="false">'S-Toll (All-Tax)'!V20</f>
        <v>914.341219515623</v>
      </c>
      <c r="E21" s="7" t="n">
        <f aca="false">'S-Toll(All-Toll)'!T20</f>
        <v>2155.64146836852</v>
      </c>
      <c r="F21" s="7" t="n">
        <f aca="false">'S-Toll(All-Toll)'!U20</f>
        <v>1842.6090628912</v>
      </c>
      <c r="G21" s="7" t="n">
        <f aca="false">'S-Toll(All-Toll)'!V20</f>
        <v>313.032405477327</v>
      </c>
    </row>
    <row r="22" customFormat="false" ht="13" hidden="false" customHeight="false" outlineLevel="0" collapsed="false">
      <c r="A22" s="2" t="n">
        <v>1.8</v>
      </c>
      <c r="B22" s="7" t="n">
        <f aca="false">'S-Toll (All-Tax)'!T21</f>
        <v>2860.78676484974</v>
      </c>
      <c r="C22" s="7" t="n">
        <f aca="false">'S-Toll (All-Tax)'!U21</f>
        <v>1991.20432449506</v>
      </c>
      <c r="D22" s="7" t="n">
        <f aca="false">'S-Toll (All-Tax)'!V21</f>
        <v>869.582440354683</v>
      </c>
      <c r="E22" s="7" t="n">
        <f aca="false">'S-Toll(All-Toll)'!T21</f>
        <v>2122.43802624773</v>
      </c>
      <c r="F22" s="7" t="n">
        <f aca="false">'S-Toll(All-Toll)'!U21</f>
        <v>1828.17438042971</v>
      </c>
      <c r="G22" s="7" t="n">
        <f aca="false">'S-Toll(All-Toll)'!V21</f>
        <v>294.263645818027</v>
      </c>
    </row>
    <row r="23" customFormat="false" ht="13" hidden="false" customHeight="false" outlineLevel="0" collapsed="false">
      <c r="A23" s="2" t="n">
        <v>1.9</v>
      </c>
      <c r="B23" s="7" t="n">
        <f aca="false">'S-Toll (All-Tax)'!T22</f>
        <v>2786.06618310157</v>
      </c>
      <c r="C23" s="7" t="n">
        <f aca="false">'S-Toll (All-Tax)'!U22</f>
        <v>1962.62893327172</v>
      </c>
      <c r="D23" s="7" t="n">
        <f aca="false">'S-Toll (All-Tax)'!V22</f>
        <v>823.43724982985</v>
      </c>
      <c r="E23" s="7" t="n">
        <f aca="false">'S-Toll(All-Toll)'!T22</f>
        <v>2089.79658034025</v>
      </c>
      <c r="F23" s="7" t="n">
        <f aca="false">'S-Toll(All-Toll)'!U22</f>
        <v>1815.11333962109</v>
      </c>
      <c r="G23" s="7" t="n">
        <f aca="false">'S-Toll(All-Toll)'!V22</f>
        <v>274.683240719168</v>
      </c>
    </row>
    <row r="24" customFormat="false" ht="13" hidden="false" customHeight="false" outlineLevel="0" collapsed="false">
      <c r="A24" s="2" t="n">
        <v>2</v>
      </c>
      <c r="B24" s="7" t="n">
        <f aca="false">'S-Toll (All-Tax)'!T23</f>
        <v>2713.38623483028</v>
      </c>
      <c r="C24" s="7" t="n">
        <f aca="false">'S-Toll (All-Tax)'!U23</f>
        <v>1936.77285005783</v>
      </c>
      <c r="D24" s="7" t="n">
        <f aca="false">'S-Toll (All-Tax)'!V23</f>
        <v>776.613384772444</v>
      </c>
      <c r="E24" s="7" t="n">
        <f aca="false">'S-Toll(All-Toll)'!T23</f>
        <v>2057.91890703355</v>
      </c>
      <c r="F24" s="7" t="n">
        <f aca="false">'S-Toll(All-Toll)'!U23</f>
        <v>1803.29522117895</v>
      </c>
      <c r="G24" s="7" t="n">
        <f aca="false">'S-Toll(All-Toll)'!V23</f>
        <v>254.623685854598</v>
      </c>
    </row>
    <row r="25" customFormat="false" ht="13" hidden="false" customHeight="false" outlineLevel="0" collapsed="false">
      <c r="A25" s="2" t="n">
        <v>2.1</v>
      </c>
      <c r="B25" s="7" t="n">
        <f aca="false">'S-Toll (All-Tax)'!T24</f>
        <v>2643.06291811764</v>
      </c>
      <c r="C25" s="7" t="n">
        <f aca="false">'S-Toll (All-Tax)'!U24</f>
        <v>1913.37729848206</v>
      </c>
      <c r="D25" s="7" t="n">
        <f aca="false">'S-Toll (All-Tax)'!V24</f>
        <v>729.685619635579</v>
      </c>
      <c r="E25" s="7" t="n">
        <f aca="false">'S-Toll(All-Toll)'!T24</f>
        <v>2026.96103025878</v>
      </c>
      <c r="F25" s="7" t="n">
        <f aca="false">'S-Toll(All-Toll)'!U24</f>
        <v>1792.60174540172</v>
      </c>
      <c r="G25" s="7" t="n">
        <f aca="false">'S-Toll(All-Toll)'!V24</f>
        <v>234.35928485705</v>
      </c>
    </row>
    <row r="26" customFormat="false" ht="13" hidden="false" customHeight="false" outlineLevel="0" collapsed="false">
      <c r="A26" s="2" t="n">
        <v>2.2</v>
      </c>
      <c r="B26" s="7" t="n">
        <f aca="false">'S-Toll (All-Tax)'!T25</f>
        <v>2575.3254468877</v>
      </c>
      <c r="C26" s="7" t="n">
        <f aca="false">'S-Toll (All-Tax)'!U25</f>
        <v>1892.2081280007</v>
      </c>
      <c r="D26" s="7" t="n">
        <f aca="false">'S-Toll (All-Tax)'!V25</f>
        <v>683.117318886996</v>
      </c>
      <c r="E26" s="7" t="n">
        <f aca="false">'S-Toll(All-Toll)'!T25</f>
        <v>1997.04065684271</v>
      </c>
      <c r="F26" s="7" t="n">
        <f aca="false">'S-Toll(All-Toll)'!U25</f>
        <v>1782.92588838963</v>
      </c>
      <c r="G26" s="7" t="n">
        <f aca="false">'S-Toll(All-Toll)'!V25</f>
        <v>214.114768453076</v>
      </c>
    </row>
    <row r="27" customFormat="false" ht="13" hidden="false" customHeight="false" outlineLevel="0" collapsed="false">
      <c r="A27" s="2" t="n">
        <v>2.3</v>
      </c>
      <c r="B27" s="7" t="n">
        <f aca="false">'S-Toll (All-Tax)'!T26</f>
        <v>2510.33195469684</v>
      </c>
      <c r="C27" s="7" t="n">
        <f aca="false">'S-Toll (All-Tax)'!U26</f>
        <v>1873.05347044039</v>
      </c>
      <c r="D27" s="7" t="n">
        <f aca="false">'S-Toll (All-Tax)'!V26</f>
        <v>637.27848425645</v>
      </c>
      <c r="E27" s="7" t="n">
        <f aca="false">'S-Toll(All-Toll)'!T26</f>
        <v>1968.24348418537</v>
      </c>
      <c r="F27" s="7" t="n">
        <f aca="false">'S-Toll(All-Toll)'!U26</f>
        <v>1774.17081091352</v>
      </c>
      <c r="G27" s="7" t="n">
        <f aca="false">'S-Toll(All-Toll)'!V26</f>
        <v>194.072673271846</v>
      </c>
    </row>
    <row r="28" customFormat="false" ht="13" hidden="false" customHeight="false" outlineLevel="0" collapsed="false">
      <c r="A28" s="2" t="n">
        <v>2.4</v>
      </c>
      <c r="B28" s="7" t="n">
        <f aca="false">'S-Toll (All-Tax)'!T27</f>
        <v>2448.18252123427</v>
      </c>
      <c r="C28" s="7" t="n">
        <f aca="false">'S-Toll (All-Tax)'!U27</f>
        <v>1855.72161955016</v>
      </c>
      <c r="D28" s="7" t="n">
        <f aca="false">'S-Toll (All-Tax)'!V27</f>
        <v>592.460901684118</v>
      </c>
      <c r="E28" s="7" t="n">
        <f aca="false">'S-Toll(All-Toll)'!T27</f>
        <v>1940.62855532037</v>
      </c>
      <c r="F28" s="7" t="n">
        <f aca="false">'S-Toll(All-Toll)'!U27</f>
        <v>1766.24888921533</v>
      </c>
      <c r="G28" s="7" t="n">
        <f aca="false">'S-Toll(All-Toll)'!V27</f>
        <v>174.379666105032</v>
      </c>
    </row>
    <row r="29" customFormat="false" ht="13" hidden="false" customHeight="false" outlineLevel="0" collapsed="false">
      <c r="A29" s="2" t="n">
        <v>2.5</v>
      </c>
      <c r="B29" s="7" t="n">
        <f aca="false">'S-Toll (All-Tax)'!T28</f>
        <v>2388.92999355299</v>
      </c>
      <c r="C29" s="7" t="n">
        <f aca="false">'S-Toll (All-Tax)'!U28</f>
        <v>1840.03911234085</v>
      </c>
      <c r="D29" s="7" t="n">
        <f aca="false">'S-Toll (All-Tax)'!V28</f>
        <v>548.890881212134</v>
      </c>
      <c r="E29" s="7" t="n">
        <f aca="false">'S-Toll(All-Toll)'!T28</f>
        <v>1914.23280741175</v>
      </c>
      <c r="F29" s="7" t="n">
        <f aca="false">'S-Toll(All-Toll)'!U28</f>
        <v>1759.08083804006</v>
      </c>
      <c r="G29" s="7" t="n">
        <f aca="false">'S-Toll(All-Toll)'!V28</f>
        <v>155.151969371681</v>
      </c>
    </row>
    <row r="30" customFormat="false" ht="13" hidden="false" customHeight="false" outlineLevel="0" collapsed="false">
      <c r="A30" s="2" t="n">
        <v>2.6</v>
      </c>
      <c r="B30" s="7" t="n">
        <f aca="false">'S-Toll (All-Tax)'!T29</f>
        <v>2332.588986097</v>
      </c>
      <c r="C30" s="7" t="n">
        <f aca="false">'S-Toll (All-Tax)'!U29</f>
        <v>1825.84899300925</v>
      </c>
      <c r="D30" s="7" t="n">
        <f aca="false">'S-Toll (All-Tax)'!V29</f>
        <v>506.739993087743</v>
      </c>
      <c r="E30" s="7" t="n">
        <f aca="false">'S-Toll(All-Toll)'!T29</f>
        <v>1889.0749358985</v>
      </c>
      <c r="F30" s="7" t="n">
        <f aca="false">'S-Toll(All-Toll)'!U29</f>
        <v>1752.59491712228</v>
      </c>
      <c r="G30" s="7" t="n">
        <f aca="false">'S-Toll(All-Toll)'!V29</f>
        <v>136.480018776214</v>
      </c>
    </row>
    <row r="31" customFormat="false" ht="13" hidden="false" customHeight="false" outlineLevel="0" collapsed="false">
      <c r="A31" s="2" t="n">
        <v>2.7</v>
      </c>
      <c r="B31" s="7" t="n">
        <f aca="false">'S-Toll (All-Tax)'!T30</f>
        <v>2279.1433727697</v>
      </c>
      <c r="C31" s="7" t="n">
        <f aca="false">'S-Toll (All-Tax)'!U30</f>
        <v>1813.00924207163</v>
      </c>
      <c r="D31" s="7" t="n">
        <f aca="false">'S-Toll (All-Tax)'!V30</f>
        <v>466.134130698069</v>
      </c>
      <c r="E31" s="7" t="n">
        <f aca="false">'S-Toll(All-Toll)'!T30</f>
        <v>1865.15867684555</v>
      </c>
      <c r="F31" s="7" t="n">
        <f aca="false">'S-Toll(All-Toll)'!U30</f>
        <v>1746.72621318545</v>
      </c>
      <c r="G31" s="7" t="n">
        <f aca="false">'S-Toll(All-Toll)'!V30</f>
        <v>118.4324636601</v>
      </c>
    </row>
    <row r="32" customFormat="false" ht="13" hidden="false" customHeight="false" outlineLevel="0" collapsed="false">
      <c r="A32" s="2" t="n">
        <v>2.8</v>
      </c>
      <c r="B32" s="7" t="n">
        <f aca="false">'S-Toll (All-Tax)'!T31</f>
        <v>2228.55252717803</v>
      </c>
      <c r="C32" s="7" t="n">
        <f aca="false">'S-Toll (All-Tax)'!U31</f>
        <v>1801.39135498501</v>
      </c>
      <c r="D32" s="7" t="n">
        <f aca="false">'S-Toll (All-Tax)'!V31</f>
        <v>427.161172193021</v>
      </c>
      <c r="E32" s="7" t="n">
        <f aca="false">'S-Toll(All-Toll)'!T31</f>
        <v>1842.47559381641</v>
      </c>
      <c r="F32" s="7" t="n">
        <f aca="false">'S-Toll(All-Toll)'!U31</f>
        <v>1741.41599026803</v>
      </c>
      <c r="G32" s="7" t="n">
        <f aca="false">'S-Toll(All-Toll)'!V31</f>
        <v>101.05960354838</v>
      </c>
    </row>
    <row r="33" customFormat="false" ht="13" hidden="false" customHeight="false" outlineLevel="0" collapsed="false">
      <c r="A33" s="2" t="n">
        <v>2.9</v>
      </c>
      <c r="B33" s="7" t="n">
        <f aca="false">'S-Toll (All-Tax)'!T32</f>
        <v>2180.75652105652</v>
      </c>
      <c r="C33" s="7" t="n">
        <f aca="false">'S-Toll (All-Tax)'!U32</f>
        <v>1790.87905603051</v>
      </c>
      <c r="D33" s="7" t="n">
        <f aca="false">'S-Toll (All-Tax)'!V32</f>
        <v>389.877465026015</v>
      </c>
      <c r="E33" s="7" t="n">
        <f aca="false">'S-Toll(All-Toll)'!T32</f>
        <v>1821.00744211738</v>
      </c>
      <c r="F33" s="7" t="n">
        <f aca="false">'S-Toll(All-Toll)'!U32</f>
        <v>1736.61110187424</v>
      </c>
      <c r="G33" s="7" t="n">
        <f aca="false">'S-Toll(All-Toll)'!V32</f>
        <v>84.3963402431369</v>
      </c>
    </row>
    <row r="34" customFormat="false" ht="13" hidden="false" customHeight="false" outlineLevel="0" collapsed="false">
      <c r="A34" s="2" t="n">
        <v>3</v>
      </c>
      <c r="B34" s="7" t="n">
        <f aca="false">'S-Toll (All-Tax)'!T33</f>
        <v>2135.68045354278</v>
      </c>
      <c r="C34" s="7" t="n">
        <f aca="false">'S-Toll (All-Tax)'!U33</f>
        <v>1781.3671345869</v>
      </c>
      <c r="D34" s="7" t="n">
        <f aca="false">'S-Toll (All-Tax)'!V33</f>
        <v>354.313318955881</v>
      </c>
      <c r="E34" s="7" t="n">
        <f aca="false">'S-Toll(All-Toll)'!T33</f>
        <v>1800.72817206757</v>
      </c>
      <c r="F34" s="7" t="n">
        <f aca="false">'S-Toll(All-Toll)'!U33</f>
        <v>1732.26345906605</v>
      </c>
      <c r="G34" s="7" t="n">
        <f aca="false">'S-Toll(All-Toll)'!V33</f>
        <v>68.4647130015196</v>
      </c>
    </row>
    <row r="35" customFormat="false" ht="13" hidden="false" customHeight="false" outlineLevel="0" collapsed="false">
      <c r="A35" s="2" t="n">
        <v>3.1</v>
      </c>
      <c r="B35" s="7" t="n">
        <f aca="false">'S-Toll (All-Tax)'!T34</f>
        <v>2093.23805369955</v>
      </c>
      <c r="C35" s="7" t="n">
        <f aca="false">'S-Toll (All-Tax)'!U34</f>
        <v>1772.76039214731</v>
      </c>
      <c r="D35" s="7" t="n">
        <f aca="false">'S-Toll (All-Tax)'!V34</f>
        <v>320.477661552239</v>
      </c>
      <c r="E35" s="7" t="n">
        <f aca="false">'S-Toll(All-Toll)'!T34</f>
        <v>1781.60562361147</v>
      </c>
      <c r="F35" s="7" t="n">
        <f aca="false">'S-Toll(All-Toll)'!U34</f>
        <v>1728.32954917294</v>
      </c>
      <c r="G35" s="7" t="n">
        <f aca="false">'S-Toll(All-Toll)'!V34</f>
        <v>53.2760744385278</v>
      </c>
    </row>
    <row r="36" customFormat="false" ht="13" hidden="false" customHeight="false" outlineLevel="0" collapsed="false">
      <c r="A36" s="2" t="n">
        <v>3.2</v>
      </c>
      <c r="B36" s="7" t="n">
        <f aca="false">'S-Toll (All-Tax)'!T35</f>
        <v>2053.3346740684</v>
      </c>
      <c r="C36" s="7" t="n">
        <f aca="false">'S-Toll (All-Tax)'!U35</f>
        <v>1764.97268954056</v>
      </c>
      <c r="D36" s="7" t="n">
        <f aca="false">'S-Toll (All-Tax)'!V35</f>
        <v>288.361984527832</v>
      </c>
      <c r="E36" s="7" t="n">
        <f aca="false">'S-Toll(All-Toll)'!T35</f>
        <v>1763.60295677847</v>
      </c>
      <c r="F36" s="7" t="n">
        <f aca="false">'S-Toll(All-Toll)'!U35</f>
        <v>1724.77000030248</v>
      </c>
      <c r="G36" s="7" t="n">
        <f aca="false">'S-Toll(All-Toll)'!V35</f>
        <v>38.8329564759915</v>
      </c>
    </row>
    <row r="37" customFormat="false" ht="13" hidden="false" customHeight="false" outlineLevel="0" collapsed="false">
      <c r="A37" s="2" t="n">
        <v>3.3</v>
      </c>
      <c r="B37" s="7" t="n">
        <f aca="false">'S-Toll (All-Tax)'!T36</f>
        <v>2015.86977298408</v>
      </c>
      <c r="C37" s="7" t="n">
        <f aca="false">'S-Toll (All-Tax)'!U36</f>
        <v>1757.92608482145</v>
      </c>
      <c r="D37" s="7" t="n">
        <f aca="false">'S-Toll (All-Tax)'!V36</f>
        <v>257.94368816263</v>
      </c>
      <c r="E37" s="7" t="n">
        <f aca="false">'S-Toll(All-Toll)'!T36</f>
        <v>1746.67985593719</v>
      </c>
      <c r="F37" s="7" t="n">
        <f aca="false">'S-Toll(All-Toll)'!U36</f>
        <v>1721.54918729316</v>
      </c>
      <c r="G37" s="7" t="n">
        <f aca="false">'S-Toll(All-Toll)'!V36</f>
        <v>25.1306686440337</v>
      </c>
    </row>
    <row r="38" customFormat="false" ht="13" hidden="false" customHeight="false" outlineLevel="0" collapsed="false">
      <c r="A38" s="2" t="n">
        <v>3.4</v>
      </c>
      <c r="B38" s="7" t="n">
        <f aca="false">'S-Toll (All-Tax)'!T37</f>
        <v>1980.73896698952</v>
      </c>
      <c r="C38" s="7" t="n">
        <f aca="false">'S-Toll (All-Tax)'!U37</f>
        <v>1751.55005320148</v>
      </c>
      <c r="D38" s="7" t="n">
        <f aca="false">'S-Toll (All-Tax)'!V37</f>
        <v>229.188913788035</v>
      </c>
      <c r="E38" s="7" t="n">
        <f aca="false">'S-Toll(All-Toll)'!T37</f>
        <v>1730.79354027195</v>
      </c>
      <c r="F38" s="7" t="n">
        <f aca="false">'S-Toll(All-Toll)'!U37</f>
        <v>1718.63487516582</v>
      </c>
      <c r="G38" s="7" t="n">
        <f aca="false">'S-Toll(All-Toll)'!V37</f>
        <v>12.1586651061306</v>
      </c>
    </row>
    <row r="39" customFormat="false" ht="13" hidden="false" customHeight="false" outlineLevel="0" collapsed="false">
      <c r="A39" s="2" t="n">
        <v>3.5</v>
      </c>
      <c r="B39" s="7" t="n">
        <f aca="false">'S-Toll (All-Tax)'!T38</f>
        <v>1947.83572125961</v>
      </c>
      <c r="C39" s="7" t="n">
        <f aca="false">'S-Toll (All-Tax)'!U38</f>
        <v>1745.78078121315</v>
      </c>
      <c r="D39" s="7" t="n">
        <f aca="false">'S-Toll (All-Tax)'!V38</f>
        <v>202.054940046452</v>
      </c>
      <c r="E39" s="7" t="n">
        <f aca="false">'S-Toll(All-Toll)'!T38</f>
        <v>1715.89960824637</v>
      </c>
      <c r="F39" s="7" t="n">
        <f aca="false">'S-Toll(All-Toll)'!U38</f>
        <v>1715.99789650518</v>
      </c>
      <c r="G39" s="7" t="n">
        <f aca="false">'S-Toll(All-Toll)'!V38</f>
        <v>-0.0982882588076279</v>
      </c>
    </row>
    <row r="40" customFormat="false" ht="13" hidden="false" customHeight="false" outlineLevel="0" collapsed="false">
      <c r="A40" s="2" t="n">
        <v>3.6</v>
      </c>
      <c r="B40" s="7" t="n">
        <f aca="false">'S-Toll (All-Tax)'!T39</f>
        <v>1917.05273489896</v>
      </c>
      <c r="C40" s="7" t="n">
        <f aca="false">'S-Toll (All-Tax)'!U39</f>
        <v>1740.56052804329</v>
      </c>
      <c r="D40" s="7" t="n">
        <f aca="false">'S-Toll (All-Tax)'!V39</f>
        <v>176.492206855667</v>
      </c>
      <c r="E40" s="7" t="n">
        <f aca="false">'S-Toll(All-Toll)'!T39</f>
        <v>1701.95273986922</v>
      </c>
      <c r="F40" s="7" t="n">
        <f aca="false">'S-Toll(All-Toll)'!U39</f>
        <v>1713.61185954246</v>
      </c>
      <c r="G40" s="7" t="n">
        <f aca="false">'S-Toll(All-Toll)'!V39</f>
        <v>-11.6591196732375</v>
      </c>
    </row>
    <row r="41" customFormat="false" ht="13" hidden="false" customHeight="false" outlineLevel="0" collapsed="false">
      <c r="A41" s="2" t="n">
        <v>3.7</v>
      </c>
      <c r="B41" s="7" t="n">
        <f aca="false">'S-Toll (All-Tax)'!T40</f>
        <v>1888.28306887041</v>
      </c>
      <c r="C41" s="7" t="n">
        <f aca="false">'S-Toll (All-Tax)'!U40</f>
        <v>1735.83704764358</v>
      </c>
      <c r="D41" s="7" t="n">
        <f aca="false">'S-Toll (All-Tax)'!V40</f>
        <v>152.446021226838</v>
      </c>
      <c r="E41" s="7" t="n">
        <f aca="false">'S-Toll(All-Toll)'!T40</f>
        <v>1688.90727722203</v>
      </c>
      <c r="F41" s="7" t="n">
        <f aca="false">'S-Toll(All-Toll)'!U40</f>
        <v>1711.45288401778</v>
      </c>
      <c r="G41" s="7" t="n">
        <f aca="false">'S-Toll(All-Toll)'!V40</f>
        <v>-22.5456067957531</v>
      </c>
    </row>
    <row r="42" customFormat="false" ht="13" hidden="false" customHeight="false" outlineLevel="0" collapsed="false">
      <c r="A42" s="2" t="n">
        <v>3.8</v>
      </c>
      <c r="B42" s="7" t="n">
        <f aca="false">'S-Toll (All-Tax)'!T41</f>
        <v>1861.42105677285</v>
      </c>
      <c r="C42" s="7" t="n">
        <f aca="false">'S-Toll (All-Tax)'!U41</f>
        <v>1731.56306583456</v>
      </c>
      <c r="D42" s="7" t="n">
        <f aca="false">'S-Toll (All-Tax)'!V41</f>
        <v>129.857990938292</v>
      </c>
      <c r="E42" s="7" t="n">
        <f aca="false">'S-Toll(All-Toll)'!T41</f>
        <v>1676.71770084805</v>
      </c>
      <c r="F42" s="7" t="n">
        <f aca="false">'S-Toll(All-Toll)'!U41</f>
        <v>1709.49936217842</v>
      </c>
      <c r="G42" s="7" t="n">
        <f aca="false">'S-Toll(All-Toll)'!V41</f>
        <v>-32.7816613303767</v>
      </c>
    </row>
    <row r="43" customFormat="false" ht="13" hidden="false" customHeight="false" outlineLevel="0" collapsed="false">
      <c r="A43" s="2" t="n">
        <v>3.9</v>
      </c>
      <c r="B43" s="7" t="n">
        <f aca="false">'S-Toll (All-Tax)'!T42</f>
        <v>1836.36303242605</v>
      </c>
      <c r="C43" s="7" t="n">
        <f aca="false">'S-Toll (All-Tax)'!U42</f>
        <v>1727.69580716975</v>
      </c>
      <c r="D43" s="7" t="n">
        <f aca="false">'S-Toll (All-Tax)'!V42</f>
        <v>108.6672252563</v>
      </c>
      <c r="E43" s="7" t="n">
        <f aca="false">'S-Toll(All-Toll)'!T42</f>
        <v>1665.33901715978</v>
      </c>
      <c r="F43" s="7" t="n">
        <f aca="false">'S-Toll(All-Toll)'!U42</f>
        <v>1707.73174252122</v>
      </c>
      <c r="G43" s="7" t="n">
        <f aca="false">'S-Toll(All-Toll)'!V42</f>
        <v>-42.3927253614392</v>
      </c>
    </row>
    <row r="44" customFormat="false" ht="13" hidden="false" customHeight="false" outlineLevel="0" collapsed="false">
      <c r="A44" s="2" t="n">
        <v>4</v>
      </c>
      <c r="B44" s="7" t="n">
        <f aca="false">'S-Toll (All-Tax)'!T43</f>
        <v>1813.00790300272</v>
      </c>
      <c r="C44" s="7" t="n">
        <f aca="false">'S-Toll (All-Tax)'!U43</f>
        <v>1724.19656682461</v>
      </c>
      <c r="D44" s="7" t="n">
        <f aca="false">'S-Toll (All-Tax)'!V43</f>
        <v>88.8113361781158</v>
      </c>
      <c r="E44" s="7" t="n">
        <f aca="false">'S-Toll(All-Toll)'!T43</f>
        <v>1654.72706992941</v>
      </c>
      <c r="F44" s="7" t="n">
        <f aca="false">'S-Toll(All-Toll)'!U43</f>
        <v>1706.13233411453</v>
      </c>
      <c r="G44" s="7" t="n">
        <f aca="false">'S-Toll(All-Toll)'!V43</f>
        <v>-51.4052641851259</v>
      </c>
    </row>
    <row r="45" customFormat="false" ht="13" hidden="false" customHeight="false" outlineLevel="0" collapsed="false">
      <c r="A45" s="2" t="n">
        <v>4.1</v>
      </c>
      <c r="B45" s="7" t="n">
        <f aca="false">'S-Toll (All-Tax)'!T44</f>
        <v>1791.25759208334</v>
      </c>
      <c r="C45" s="7" t="n">
        <f aca="false">'S-Toll (All-Tax)'!U44</f>
        <v>1721.03032322562</v>
      </c>
      <c r="D45" s="7" t="n">
        <f aca="false">'S-Toll (All-Tax)'!V44</f>
        <v>70.2272688577203</v>
      </c>
      <c r="E45" s="7" t="n">
        <f aca="false">'S-Toll(All-Toll)'!T44</f>
        <v>1644.83878713043</v>
      </c>
      <c r="F45" s="7" t="n">
        <f aca="false">'S-Toll(All-Toll)'!U44</f>
        <v>1704.68512954144</v>
      </c>
      <c r="G45" s="7" t="n">
        <f aca="false">'S-Toll(All-Toll)'!V44</f>
        <v>-59.8463424110105</v>
      </c>
    </row>
    <row r="46" customFormat="false" ht="13" hidden="false" customHeight="false" outlineLevel="0" collapsed="false">
      <c r="A46" s="2" t="n">
        <v>4.2</v>
      </c>
      <c r="B46" s="7" t="n">
        <f aca="false">'S-Toll (All-Tax)'!T45</f>
        <v>1771.01737334662</v>
      </c>
      <c r="C46" s="7" t="n">
        <f aca="false">'S-Toll (All-Tax)'!U45</f>
        <v>1718.16538754264</v>
      </c>
      <c r="D46" s="7" t="n">
        <f aca="false">'S-Toll (All-Tax)'!V45</f>
        <v>52.8519858039732</v>
      </c>
      <c r="E46" s="7" t="n">
        <f aca="false">'S-Toll(All-Toll)'!T45</f>
        <v>1635.6323728535</v>
      </c>
      <c r="F46" s="7" t="n">
        <f aca="false">'S-Toll(All-Toll)'!U45</f>
        <v>1703.37564469215</v>
      </c>
      <c r="G46" s="7" t="n">
        <f aca="false">'S-Toll(All-Toll)'!V45</f>
        <v>-67.7432718386517</v>
      </c>
    </row>
    <row r="47" customFormat="false" ht="13" hidden="false" customHeight="false" outlineLevel="0" collapsed="false">
      <c r="A47" s="2" t="n">
        <v>4.3</v>
      </c>
      <c r="B47" s="7" t="n">
        <f aca="false">'S-Toll (All-Tax)'!T46</f>
        <v>1752.19611252338</v>
      </c>
      <c r="C47" s="7" t="n">
        <f aca="false">'S-Toll (All-Tax)'!U46</f>
        <v>1715.57308653642</v>
      </c>
      <c r="D47" s="7" t="n">
        <f aca="false">'S-Toll (All-Tax)'!V46</f>
        <v>36.6230259869631</v>
      </c>
      <c r="E47" s="7" t="n">
        <f aca="false">'S-Toll(All-Toll)'!T46</f>
        <v>1627.06745268713</v>
      </c>
      <c r="F47" s="7" t="n">
        <f aca="false">'S-Toll(All-Toll)'!U46</f>
        <v>1702.19077380216</v>
      </c>
      <c r="G47" s="7" t="n">
        <f aca="false">'S-Toll(All-Toll)'!V46</f>
        <v>-75.1233211150332</v>
      </c>
    </row>
    <row r="48" customFormat="false" ht="13" hidden="false" customHeight="false" outlineLevel="0" collapsed="false">
      <c r="A48" s="2" t="n">
        <v>4.4</v>
      </c>
      <c r="B48" s="7" t="n">
        <f aca="false">'S-Toll (All-Tax)'!T47</f>
        <v>1734.70643263491</v>
      </c>
      <c r="C48" s="7" t="n">
        <f aca="false">'S-Toll (All-Tax)'!U47</f>
        <v>1713.22747558718</v>
      </c>
      <c r="D48" s="7" t="n">
        <f aca="false">'S-Toll (All-Tax)'!V47</f>
        <v>21.4789570477303</v>
      </c>
      <c r="E48" s="7" t="n">
        <f aca="false">'S-Toll(All-Toll)'!T47</f>
        <v>1619.10517980398</v>
      </c>
      <c r="F48" s="7" t="n">
        <f aca="false">'S-Toll(All-Toll)'!U47</f>
        <v>1701.11865828536</v>
      </c>
      <c r="G48" s="7" t="n">
        <f aca="false">'S-Toll(All-Toll)'!V47</f>
        <v>-82.013478481376</v>
      </c>
    </row>
    <row r="49" customFormat="false" ht="13" hidden="false" customHeight="false" outlineLevel="0" collapsed="false">
      <c r="A49" s="2" t="n">
        <v>4.5</v>
      </c>
      <c r="B49" s="7" t="n">
        <f aca="false">'S-Toll (All-Tax)'!T48</f>
        <v>1718.46481532703</v>
      </c>
      <c r="C49" s="7" t="n">
        <f aca="false">'S-Toll (All-Tax)'!U48</f>
        <v>1711.10507903214</v>
      </c>
      <c r="D49" s="7" t="n">
        <f aca="false">'S-Toll (All-Tax)'!V48</f>
        <v>7.35973629488976</v>
      </c>
      <c r="E49" s="7" t="n">
        <f aca="false">'S-Toll(All-Toll)'!T48</f>
        <v>1611.70830799881</v>
      </c>
      <c r="F49" s="7" t="n">
        <f aca="false">'S-Toll(All-Toll)'!U48</f>
        <v>1700.1485680493</v>
      </c>
      <c r="G49" s="7" t="n">
        <f aca="false">'S-Toll(All-Toll)'!V48</f>
        <v>-88.4402600504929</v>
      </c>
    </row>
    <row r="50" customFormat="false" ht="13" hidden="false" customHeight="false" outlineLevel="0" collapsed="false">
      <c r="A50" s="2" t="n">
        <v>4.6</v>
      </c>
      <c r="B50" s="7" t="n">
        <f aca="false">'S-Toll (All-Tax)'!T49</f>
        <v>1703.39164923315</v>
      </c>
      <c r="C50" s="7" t="n">
        <f aca="false">'S-Toll (All-Tax)'!U49</f>
        <v>1709.18465521324</v>
      </c>
      <c r="D50" s="7" t="n">
        <f aca="false">'S-Toll (All-Tax)'!V49</f>
        <v>-5.79300598008908</v>
      </c>
      <c r="E50" s="7" t="n">
        <f aca="false">'S-Toll(All-Toll)'!T49</f>
        <v>1604.84123706295</v>
      </c>
      <c r="F50" s="7" t="n">
        <f aca="false">'S-Toll(All-Toll)'!U49</f>
        <v>1699.27079410484</v>
      </c>
      <c r="G50" s="7" t="n">
        <f aca="false">'S-Toll(All-Toll)'!V49</f>
        <v>-94.429557041887</v>
      </c>
    </row>
    <row r="51" customFormat="false" ht="13" hidden="false" customHeight="false" outlineLevel="0" collapsed="false">
      <c r="A51" s="2" t="n">
        <v>4.7</v>
      </c>
      <c r="B51" s="7" t="n">
        <f aca="false">'S-Toll (All-Tax)'!T50</f>
        <v>1689.41123469765</v>
      </c>
      <c r="C51" s="7" t="n">
        <f aca="false">'S-Toll (All-Tax)'!U50</f>
        <v>1707.44698388341</v>
      </c>
      <c r="D51" s="7" t="n">
        <f aca="false">'S-Toll (All-Tax)'!V50</f>
        <v>-18.0357491857624</v>
      </c>
      <c r="E51" s="7" t="n">
        <f aca="false">'S-Toll(All-Toll)'!T50</f>
        <v>1598.47003513416</v>
      </c>
      <c r="F51" s="7" t="n">
        <f aca="false">'S-Toll(All-Toll)'!U50</f>
        <v>1698.47655139532</v>
      </c>
      <c r="G51" s="7" t="n">
        <f aca="false">'S-Toll(All-Toll)'!V50</f>
        <v>-100.00651626116</v>
      </c>
    </row>
    <row r="52" customFormat="false" ht="13" hidden="false" customHeight="false" outlineLevel="0" collapsed="false">
      <c r="A52" s="2" t="n">
        <v>4.8</v>
      </c>
      <c r="B52" s="7" t="n">
        <f aca="false">'S-Toll (All-Tax)'!T51</f>
        <v>1676.45175282326</v>
      </c>
      <c r="C52" s="7" t="n">
        <f aca="false">'S-Toll (All-Tax)'!U51</f>
        <v>1705.87467384393</v>
      </c>
      <c r="D52" s="7" t="n">
        <f aca="false">'S-Toll (All-Tax)'!V51</f>
        <v>-29.4229210206686</v>
      </c>
      <c r="E52" s="7" t="n">
        <f aca="false">'S-Toll(All-Toll)'!T51</f>
        <v>1592.5624420128</v>
      </c>
      <c r="F52" s="7" t="n">
        <f aca="false">'S-Toll(All-Toll)'!U51</f>
        <v>1697.75789087274</v>
      </c>
      <c r="G52" s="7" t="n">
        <f aca="false">'S-Toll(All-Toll)'!V51</f>
        <v>-105.195448859945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640" ySplit="0" topLeftCell="T1" activePane="topLeft" state="split"/>
      <selection pane="topLeft" activeCell="A12" activeCellId="0" sqref="A12"/>
      <selection pane="topRight" activeCell="T1" activeCellId="0" sqref="T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4.71"/>
    <col collapsed="false" customWidth="true" hidden="false" outlineLevel="0" max="2" min="2" style="2" width="5.56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3.99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257" min="10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35</v>
      </c>
      <c r="V1" s="2" t="s">
        <v>36</v>
      </c>
      <c r="W1" s="2" t="s">
        <v>33</v>
      </c>
      <c r="X1" s="2" t="s">
        <v>34</v>
      </c>
    </row>
    <row r="2" customFormat="false" ht="13" hidden="false" customHeight="false" outlineLevel="0" collapsed="false">
      <c r="A2" s="2" t="n">
        <v>0.653294561493362</v>
      </c>
      <c r="B2" s="2" t="n">
        <v>0</v>
      </c>
      <c r="C2" s="2" t="n">
        <v>10</v>
      </c>
      <c r="D2" s="2" t="n">
        <v>0</v>
      </c>
      <c r="E2" s="2" t="n">
        <f aca="false">Size-a</f>
        <v>10</v>
      </c>
      <c r="F2" s="12" t="n">
        <f aca="false">(EXP(alpha*(Tau+OldTau+zeta-2*a*psi))*((EXP(alpha*a*psi)-EXP(alpha*b*psi))^2))/((EXP(alpha*a*psi)-EXP(alpha*(2*OldTau+b*psi)))*(alpha^2)*(psi^2))</f>
        <v>5.25123322675443</v>
      </c>
      <c r="G2" s="12" t="n">
        <f aca="false">(EXP(alpha*(zeta+(2*b-a)*psi))*(-1+EXP(alpha*(-1)*Size*psi))*(EXP(alpha*(2*(Tau+OldTau)+a*psi))-EXP(alpha*(2*(Tau+OldTau)+b*psi))))/(((EXP(alpha*a*psi)-EXP(alpha*(2*OldTau+b*psi)))^2)*(alpha^2)*(psi^2))</f>
        <v>0.784782120510244</v>
      </c>
      <c r="H2" s="9" t="n">
        <f aca="false">-Beta/alpha</f>
        <v>180</v>
      </c>
      <c r="I2" s="9" t="n">
        <f aca="false">(-EXP(alpha*zeta)*Beta*(-1+EXP(alpha*Size*psi)-Size*alpha*psi))/((alpha^3)*(psi^2))</f>
        <v>1690.92462806846</v>
      </c>
      <c r="J2" s="9" t="n">
        <f aca="false">Beta*Theta</f>
        <v>14.4</v>
      </c>
      <c r="K2" s="9" t="n">
        <f aca="false">Beta*Theta</f>
        <v>14.4</v>
      </c>
      <c r="L2" s="9" t="n">
        <f aca="false">kappa</f>
        <v>90</v>
      </c>
      <c r="M2" s="9" t="n">
        <f aca="false">Gamma*Size</f>
        <v>0</v>
      </c>
      <c r="N2" s="9" t="n">
        <f aca="false">Size*Beta*Phi</f>
        <v>32.4</v>
      </c>
      <c r="O2" s="9" t="n">
        <f aca="false">-(EXP(alpha*a*psi)+EXP(alpha*b*psi)*(-1+Size*psi*alpha))*(Beta*Phi)/((alpha*psi)*(EXP(alpha*a*psi)-EXP(alpha*b*psi)))</f>
        <v>12.2941718960407</v>
      </c>
      <c r="P2" s="9" t="n">
        <f aca="false">(EXP(alpha*(zeta-a*psi))*Beta*Phi*(-EXP(alpha*a*psi)*(-2+(-1)*Size*alpha*psi)+EXP(alpha*b*psi)*(-2+Size*alpha*psi)))/((alpha^3)*(psi^3))</f>
        <v>78.836375998096</v>
      </c>
      <c r="Q2" s="9" t="n">
        <f aca="false">Tau*Beta</f>
        <v>117.593021068805</v>
      </c>
      <c r="R2" s="9" t="n">
        <f aca="false">Tau*Beta</f>
        <v>117.593021068805</v>
      </c>
      <c r="S2" s="13" t="n">
        <f aca="false">Tau</f>
        <v>0.653294561493362</v>
      </c>
      <c r="T2" s="9" t="n">
        <f aca="false">Profit+Utility</f>
        <v>3558.51348207362</v>
      </c>
      <c r="U2" s="9" t="n">
        <f aca="false">(2*ij*BRIJ)+(2)*jj*BRJJ</f>
        <v>1419.58655980505</v>
      </c>
      <c r="V2" s="9" t="n">
        <f aca="false">2*(ij*BCCIJ)+(2*jj*BCCJJ)+BCS+jj*BCPTJJ+2*(ij*BCPTIJ)+BCPTII+BCk</f>
        <v>497.219686615689</v>
      </c>
      <c r="W2" s="9" t="n">
        <f aca="false">ij*BUTIJ+BUTII</f>
        <v>2636.14660888426</v>
      </c>
      <c r="X2" s="9" t="n">
        <f aca="false">Revenue-Cost</f>
        <v>922.366873189365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3" hidden="false" customHeight="false" outlineLevel="0" collapsed="false">
      <c r="A3" s="2" t="n">
        <v>0.651193068385082</v>
      </c>
      <c r="B3" s="2" t="n">
        <v>0.5</v>
      </c>
      <c r="C3" s="2" t="n">
        <v>10</v>
      </c>
      <c r="D3" s="2" t="n">
        <v>0</v>
      </c>
      <c r="E3" s="2" t="n">
        <f aca="false">Size-a</f>
        <v>10</v>
      </c>
      <c r="F3" s="12" t="n">
        <f aca="false">(EXP(alpha*(Tau+OldTau+zeta-2*a*psi))*((EXP(alpha*a*psi)-EXP(alpha*b*psi))^2))/((EXP(alpha*a*psi)-EXP(alpha*(2*OldTau+b*psi)))*(alpha^2)*(psi^2))</f>
        <v>2.70129818651274</v>
      </c>
      <c r="G3" s="12" t="n">
        <f aca="false">(EXP(alpha*(zeta+(2*b-a)*psi))*(-1+EXP(alpha*(-1)*Size*psi))*(EXP(alpha*(2*(Tau+OldTau)+a*psi))-EXP(alpha*(2*(Tau+OldTau)+b*psi))))/(((EXP(alpha*a*psi)-EXP(alpha*(2*OldTau+b*psi)))^2)*(alpha^2)*(psi^2))</f>
        <v>0.207668936786735</v>
      </c>
      <c r="H3" s="9" t="n">
        <f aca="false">-Beta/alpha</f>
        <v>180</v>
      </c>
      <c r="I3" s="9" t="n">
        <f aca="false">(-EXP(alpha*zeta)*Beta*(-1+EXP(alpha*Size*psi)-Size*alpha*psi))/((alpha^3)*(psi^2))</f>
        <v>1690.92462806846</v>
      </c>
      <c r="J3" s="9" t="n">
        <f aca="false">Beta*Theta</f>
        <v>14.4</v>
      </c>
      <c r="K3" s="9" t="n">
        <f aca="false">Beta*Theta</f>
        <v>14.4</v>
      </c>
      <c r="L3" s="9" t="n">
        <f aca="false">kappa</f>
        <v>90</v>
      </c>
      <c r="M3" s="9" t="n">
        <f aca="false">Gamma*Size</f>
        <v>0</v>
      </c>
      <c r="N3" s="9" t="n">
        <f aca="false">Size*Beta*Phi</f>
        <v>32.4</v>
      </c>
      <c r="O3" s="9" t="n">
        <f aca="false">-(EXP(alpha*a*psi)+EXP(alpha*b*psi)*(-1+Size*psi*alpha))*(Beta*Phi)/((alpha*psi)*(EXP(alpha*a*psi)-EXP(alpha*b*psi)))</f>
        <v>12.2941718960407</v>
      </c>
      <c r="P3" s="9" t="n">
        <f aca="false">(EXP(alpha*(zeta-a*psi))*Beta*Phi*(-EXP(alpha*a*psi)*(-2+(-1)*Size*alpha*psi)+EXP(alpha*b*psi)*(-2+Size*alpha*psi)))/((alpha^3)*(psi^3))</f>
        <v>78.836375998096</v>
      </c>
      <c r="Q3" s="9" t="n">
        <f aca="false">Tau*Beta</f>
        <v>117.214752309315</v>
      </c>
      <c r="R3" s="9" t="n">
        <f aca="false">Tau*Beta</f>
        <v>117.214752309315</v>
      </c>
      <c r="S3" s="13" t="n">
        <f aca="false">Tau</f>
        <v>0.651193068385082</v>
      </c>
      <c r="T3" s="9" t="n">
        <f aca="false">Profit+Utility</f>
        <v>2533.34247211181</v>
      </c>
      <c r="U3" s="9" t="n">
        <f aca="false">(2*ij*BRIJ)+(2)*jj*BRJJ</f>
        <v>681.947721666974</v>
      </c>
      <c r="V3" s="9" t="n">
        <f aca="false">2*(ij*BCCIJ)+(2*jj*BCCJJ)+BCS+jj*BCPTJJ+2*(ij*BCPTIJ)+BCPTII+BCk</f>
        <v>325.763551195912</v>
      </c>
      <c r="W3" s="9" t="n">
        <f aca="false">ij*BUTIJ+BUTII</f>
        <v>2177.15830164075</v>
      </c>
      <c r="X3" s="9" t="n">
        <f aca="false">Revenue-Cost</f>
        <v>356.184170471062</v>
      </c>
    </row>
    <row r="4" customFormat="false" ht="13" hidden="false" customHeight="false" outlineLevel="0" collapsed="false">
      <c r="A4" s="2" t="n">
        <v>0.650063303222383</v>
      </c>
      <c r="B4" s="2" t="n">
        <v>1</v>
      </c>
      <c r="C4" s="2" t="n">
        <v>10</v>
      </c>
      <c r="D4" s="2" t="n">
        <v>0</v>
      </c>
      <c r="E4" s="2" t="n">
        <f aca="false">Size-a</f>
        <v>10</v>
      </c>
      <c r="F4" s="12" t="n">
        <f aca="false">(EXP(alpha*(Tau+OldTau+zeta-2*a*psi))*((EXP(alpha*a*psi)-EXP(alpha*b*psi))^2))/((EXP(alpha*a*psi)-EXP(alpha*(2*OldTau+b*psi)))*(alpha^2)*(psi^2))</f>
        <v>1.55251231157321</v>
      </c>
      <c r="G4" s="12" t="n">
        <f aca="false">(EXP(alpha*(zeta+(2*b-a)*psi))*(-1+EXP(alpha*(-1)*Size*psi))*(EXP(alpha*(2*(Tau+OldTau)+a*psi))-EXP(alpha*(2*(Tau+OldTau)+b*psi))))/(((EXP(alpha*a*psi)-EXP(alpha*(2*OldTau+b*psi)))^2)*(alpha^2)*(psi^2))</f>
        <v>0.0685956524232505</v>
      </c>
      <c r="H4" s="9" t="n">
        <f aca="false">-Beta/alpha</f>
        <v>180</v>
      </c>
      <c r="I4" s="9" t="n">
        <f aca="false">(-EXP(alpha*zeta)*Beta*(-1+EXP(alpha*Size*psi)-Size*alpha*psi))/((alpha^3)*(psi^2))</f>
        <v>1690.92462806846</v>
      </c>
      <c r="J4" s="9" t="n">
        <f aca="false">Beta*Theta</f>
        <v>14.4</v>
      </c>
      <c r="K4" s="9" t="n">
        <f aca="false">Beta*Theta</f>
        <v>14.4</v>
      </c>
      <c r="L4" s="9" t="n">
        <f aca="false">kappa</f>
        <v>90</v>
      </c>
      <c r="M4" s="9" t="n">
        <f aca="false">Gamma*Size</f>
        <v>0</v>
      </c>
      <c r="N4" s="9" t="n">
        <f aca="false">Size*Beta*Phi</f>
        <v>32.4</v>
      </c>
      <c r="O4" s="9" t="n">
        <f aca="false">-(EXP(alpha*a*psi)+EXP(alpha*b*psi)*(-1+Size*psi*alpha))*(Beta*Phi)/((alpha*psi)*(EXP(alpha*a*psi)-EXP(alpha*b*psi)))</f>
        <v>12.2941718960407</v>
      </c>
      <c r="P4" s="9" t="n">
        <f aca="false">(EXP(alpha*(zeta-a*psi))*Beta*Phi*(-EXP(alpha*a*psi)*(-2+(-1)*Size*alpha*psi)+EXP(alpha*b*psi)*(-2+Size*alpha*psi)))/((alpha^3)*(psi^3))</f>
        <v>78.836375998096</v>
      </c>
      <c r="Q4" s="9" t="n">
        <f aca="false">Tau*Beta</f>
        <v>117.011394580029</v>
      </c>
      <c r="R4" s="9" t="n">
        <f aca="false">Tau*Beta</f>
        <v>117.011394580029</v>
      </c>
      <c r="S4" s="13" t="n">
        <f aca="false">Tau</f>
        <v>0.650063303222383</v>
      </c>
      <c r="T4" s="9" t="n">
        <f aca="false">Profit+Utility</f>
        <v>2093.83256045756</v>
      </c>
      <c r="U4" s="9" t="n">
        <f aca="false">(2*ij*BRIJ)+(2)*jj*BRJJ</f>
        <v>379.376207264035</v>
      </c>
      <c r="V4" s="9" t="n">
        <f aca="false">2*(ij*BCCIJ)+(2*jj*BCCJJ)+BCS+jj*BCPTJJ+2*(ij*BCPTIJ)+BCPTII+BCk</f>
        <v>255.920490958108</v>
      </c>
      <c r="W4" s="9" t="n">
        <f aca="false">ij*BUTIJ+BUTII</f>
        <v>1970.37684415164</v>
      </c>
      <c r="X4" s="9" t="n">
        <f aca="false">Revenue-Cost</f>
        <v>123.455716305926</v>
      </c>
    </row>
    <row r="5" customFormat="false" ht="13" hidden="false" customHeight="false" outlineLevel="0" collapsed="false">
      <c r="A5" s="2" t="n">
        <v>0.649385642252832</v>
      </c>
      <c r="B5" s="2" t="n">
        <v>1.5</v>
      </c>
      <c r="C5" s="2" t="n">
        <v>10</v>
      </c>
      <c r="D5" s="2" t="n">
        <v>0</v>
      </c>
      <c r="E5" s="2" t="n">
        <f aca="false">Size-a</f>
        <v>10</v>
      </c>
      <c r="F5" s="12" t="n">
        <f aca="false">(EXP(alpha*(Tau+OldTau+zeta-2*a*psi))*((EXP(alpha*a*psi)-EXP(alpha*b*psi))^2))/((EXP(alpha*a*psi)-EXP(alpha*(2*OldTau+b*psi)))*(alpha^2)*(psi^2))</f>
        <v>0.924095897027714</v>
      </c>
      <c r="G5" s="12" t="n">
        <f aca="false">(EXP(alpha*(zeta+(2*b-a)*psi))*(-1+EXP(alpha*(-1)*Size*psi))*(EXP(alpha*(2*(Tau+OldTau)+a*psi))-EXP(alpha*(2*(Tau+OldTau)+b*psi))))/(((EXP(alpha*a*psi)-EXP(alpha*(2*OldTau+b*psi)))^2)*(alpha^2)*(psi^2))</f>
        <v>0.0243030381901885</v>
      </c>
      <c r="H5" s="9" t="n">
        <f aca="false">-Beta/alpha</f>
        <v>180</v>
      </c>
      <c r="I5" s="9" t="n">
        <f aca="false">(-EXP(alpha*zeta)*Beta*(-1+EXP(alpha*Size*psi)-Size*alpha*psi))/((alpha^3)*(psi^2))</f>
        <v>1690.92462806846</v>
      </c>
      <c r="J5" s="9" t="n">
        <f aca="false">Beta*Theta</f>
        <v>14.4</v>
      </c>
      <c r="K5" s="9" t="n">
        <f aca="false">Beta*Theta</f>
        <v>14.4</v>
      </c>
      <c r="L5" s="9" t="n">
        <f aca="false">kappa</f>
        <v>90</v>
      </c>
      <c r="M5" s="9" t="n">
        <f aca="false">Gamma*Size</f>
        <v>0</v>
      </c>
      <c r="N5" s="9" t="n">
        <f aca="false">Size*Beta*Phi</f>
        <v>32.4</v>
      </c>
      <c r="O5" s="9" t="n">
        <f aca="false">-(EXP(alpha*a*psi)+EXP(alpha*b*psi)*(-1+Size*psi*alpha))*(Beta*Phi)/((alpha*psi)*(EXP(alpha*a*psi)-EXP(alpha*b*psi)))</f>
        <v>12.2941718960407</v>
      </c>
      <c r="P5" s="9" t="n">
        <f aca="false">(EXP(alpha*(zeta-a*psi))*Beta*Phi*(-EXP(alpha*a*psi)*(-2+(-1)*Size*alpha*psi)+EXP(alpha*b*psi)*(-2+Size*alpha*psi)))/((alpha^3)*(psi^3))</f>
        <v>78.836375998096</v>
      </c>
      <c r="Q5" s="9" t="n">
        <f aca="false">Tau*Beta</f>
        <v>116.88941560551</v>
      </c>
      <c r="R5" s="9" t="n">
        <f aca="false">Tau*Beta</f>
        <v>116.88941560551</v>
      </c>
      <c r="S5" s="13" t="n">
        <f aca="false">Tau</f>
        <v>0.649385642252832</v>
      </c>
      <c r="T5" s="9" t="n">
        <f aca="false">Profit+Utility</f>
        <v>1859.31781274776</v>
      </c>
      <c r="U5" s="9" t="n">
        <f aca="false">(2*ij*BRIJ)+(2)*jj*BRJJ</f>
        <v>221.715594597017</v>
      </c>
      <c r="V5" s="9" t="n">
        <f aca="false">2*(ij*BCCIJ)+(2*jj*BCCJJ)+BCS+jj*BCPTJJ+2*(ij*BCPTIJ)+BCPTII+BCk</f>
        <v>219.659671382703</v>
      </c>
      <c r="W5" s="9" t="n">
        <f aca="false">ij*BUTIJ+BUTII</f>
        <v>1857.26188953345</v>
      </c>
      <c r="X5" s="9" t="n">
        <f aca="false">Revenue-Cost</f>
        <v>2.05592321431377</v>
      </c>
    </row>
    <row r="6" customFormat="false" ht="13" hidden="false" customHeight="false" outlineLevel="0" collapsed="false">
      <c r="A6" s="2" t="n">
        <v>0.648967816523326</v>
      </c>
      <c r="B6" s="2" t="n">
        <v>2</v>
      </c>
      <c r="C6" s="2" t="n">
        <v>10</v>
      </c>
      <c r="D6" s="2" t="n">
        <v>0</v>
      </c>
      <c r="E6" s="2" t="n">
        <f aca="false">Size-a</f>
        <v>10</v>
      </c>
      <c r="F6" s="12" t="n">
        <f aca="false">(EXP(alpha*(Tau+OldTau+zeta-2*a*psi))*((EXP(alpha*a*psi)-EXP(alpha*b*psi))^2))/((EXP(alpha*a*psi)-EXP(alpha*(2*OldTau+b*psi)))*(alpha^2)*(psi^2))</f>
        <v>0.556773023955352</v>
      </c>
      <c r="G6" s="12" t="n">
        <f aca="false">(EXP(alpha*(zeta+(2*b-a)*psi))*(-1+EXP(alpha*(-1)*Size*psi))*(EXP(alpha*(2*(Tau+OldTau)+a*psi))-EXP(alpha*(2*(Tau+OldTau)+b*psi))))/(((EXP(alpha*a*psi)-EXP(alpha*(2*OldTau+b*psi)))^2)*(alpha^2)*(psi^2))</f>
        <v>0.00882232100661912</v>
      </c>
      <c r="H6" s="9" t="n">
        <f aca="false">-Beta/alpha</f>
        <v>180</v>
      </c>
      <c r="I6" s="9" t="n">
        <f aca="false">(-EXP(alpha*zeta)*Beta*(-1+EXP(alpha*Size*psi)-Size*alpha*psi))/((alpha^3)*(psi^2))</f>
        <v>1690.92462806846</v>
      </c>
      <c r="J6" s="9" t="n">
        <f aca="false">Beta*Theta</f>
        <v>14.4</v>
      </c>
      <c r="K6" s="9" t="n">
        <f aca="false">Beta*Theta</f>
        <v>14.4</v>
      </c>
      <c r="L6" s="9" t="n">
        <f aca="false">kappa</f>
        <v>90</v>
      </c>
      <c r="M6" s="9" t="n">
        <f aca="false">Gamma*Size</f>
        <v>0</v>
      </c>
      <c r="N6" s="9" t="n">
        <f aca="false">Size*Beta*Phi</f>
        <v>32.4</v>
      </c>
      <c r="O6" s="9" t="n">
        <f aca="false">-(EXP(alpha*a*psi)+EXP(alpha*b*psi)*(-1+Size*psi*alpha))*(Beta*Phi)/((alpha*psi)*(EXP(alpha*a*psi)-EXP(alpha*b*psi)))</f>
        <v>12.2941718960407</v>
      </c>
      <c r="P6" s="9" t="n">
        <f aca="false">(EXP(alpha*(zeta-a*psi))*Beta*Phi*(-EXP(alpha*a*psi)*(-2+(-1)*Size*alpha*psi)+EXP(alpha*b*psi)*(-2+Size*alpha*psi)))/((alpha^3)*(psi^3))</f>
        <v>78.836375998096</v>
      </c>
      <c r="Q6" s="9" t="n">
        <f aca="false">Tau*Beta</f>
        <v>116.814206974199</v>
      </c>
      <c r="R6" s="9" t="n">
        <f aca="false">Tau*Beta</f>
        <v>116.814206974199</v>
      </c>
      <c r="S6" s="13" t="n">
        <f aca="false">Tau</f>
        <v>0.648967816523326</v>
      </c>
      <c r="T6" s="9" t="n">
        <f aca="false">Profit+Utility</f>
        <v>1724.1814240997</v>
      </c>
      <c r="U6" s="9" t="n">
        <f aca="false">(2*ij*BRIJ)+(2)*jj*BRJJ</f>
        <v>132.139143380062</v>
      </c>
      <c r="V6" s="9" t="n">
        <f aca="false">2*(ij*BCCIJ)+(2*jj*BCCJJ)+BCS+jj*BCPTJJ+2*(ij*BCPTIJ)+BCPTII+BCk</f>
        <v>199.101491660786</v>
      </c>
      <c r="W6" s="9" t="n">
        <f aca="false">ij*BUTIJ+BUTII</f>
        <v>1791.14377238042</v>
      </c>
      <c r="X6" s="9" t="n">
        <f aca="false">Revenue-Cost</f>
        <v>-66.9623482807241</v>
      </c>
    </row>
    <row r="7" customFormat="false" ht="13" hidden="false" customHeight="false" outlineLevel="0" collapsed="false">
      <c r="A7" s="2" t="n">
        <v>0.648709872054374</v>
      </c>
      <c r="B7" s="2" t="n">
        <v>2.5</v>
      </c>
      <c r="C7" s="2" t="n">
        <v>10</v>
      </c>
      <c r="D7" s="2" t="n">
        <v>0</v>
      </c>
      <c r="E7" s="2" t="n">
        <f aca="false">Size-a</f>
        <v>10</v>
      </c>
      <c r="F7" s="12" t="n">
        <f aca="false">(EXP(alpha*(Tau+OldTau+zeta-2*a*psi))*((EXP(alpha*a*psi)-EXP(alpha*b*psi))^2))/((EXP(alpha*a*psi)-EXP(alpha*(2*OldTau+b*psi)))*(alpha^2)*(psi^2))</f>
        <v>0.336913098565412</v>
      </c>
      <c r="G7" s="12" t="n">
        <f aca="false">(EXP(alpha*(zeta+(2*b-a)*psi))*(-1+EXP(alpha*(-1)*Size*psi))*(EXP(alpha*(2*(Tau+OldTau)+a*psi))-EXP(alpha*(2*(Tau+OldTau)+b*psi))))/(((EXP(alpha*a*psi)-EXP(alpha*(2*OldTau+b*psi)))^2)*(alpha^2)*(psi^2))</f>
        <v>0.00323044444802947</v>
      </c>
      <c r="H7" s="9" t="n">
        <f aca="false">-Beta/alpha</f>
        <v>180</v>
      </c>
      <c r="I7" s="9" t="n">
        <f aca="false">(-EXP(alpha*zeta)*Beta*(-1+EXP(alpha*Size*psi)-Size*alpha*psi))/((alpha^3)*(psi^2))</f>
        <v>1690.92462806846</v>
      </c>
      <c r="J7" s="9" t="n">
        <f aca="false">Beta*Theta</f>
        <v>14.4</v>
      </c>
      <c r="K7" s="9" t="n">
        <f aca="false">Beta*Theta</f>
        <v>14.4</v>
      </c>
      <c r="L7" s="9" t="n">
        <f aca="false">kappa</f>
        <v>90</v>
      </c>
      <c r="M7" s="9" t="n">
        <f aca="false">Gamma*Size</f>
        <v>0</v>
      </c>
      <c r="N7" s="9" t="n">
        <f aca="false">Size*Beta*Phi</f>
        <v>32.4</v>
      </c>
      <c r="O7" s="9" t="n">
        <f aca="false">-(EXP(alpha*a*psi)+EXP(alpha*b*psi)*(-1+Size*psi*alpha))*(Beta*Phi)/((alpha*psi)*(EXP(alpha*a*psi)-EXP(alpha*b*psi)))</f>
        <v>12.2941718960407</v>
      </c>
      <c r="P7" s="9" t="n">
        <f aca="false">(EXP(alpha*(zeta-a*psi))*Beta*Phi*(-EXP(alpha*a*psi)*(-2+(-1)*Size*alpha*psi)+EXP(alpha*b*psi)*(-2+Size*alpha*psi)))/((alpha^3)*(psi^3))</f>
        <v>78.836375998096</v>
      </c>
      <c r="Q7" s="9" t="n">
        <f aca="false">Tau*Beta</f>
        <v>116.767776969787</v>
      </c>
      <c r="R7" s="9" t="n">
        <f aca="false">Tau*Beta</f>
        <v>116.767776969787</v>
      </c>
      <c r="S7" s="13" t="n">
        <f aca="false">Tau</f>
        <v>0.648709872054374</v>
      </c>
      <c r="T7" s="9" t="n">
        <f aca="false">Profit+Utility</f>
        <v>1643.98328501426</v>
      </c>
      <c r="U7" s="9" t="n">
        <f aca="false">(2*ij*BRIJ)+(2)*jj*BRJJ</f>
        <v>79.4356107366136</v>
      </c>
      <c r="V7" s="9" t="n">
        <f aca="false">2*(ij*BCCIJ)+(2*jj*BCCJJ)+BCS+jj*BCPTJJ+2*(ij*BCPTIJ)+BCPTII+BCk</f>
        <v>187.021311532581</v>
      </c>
      <c r="W7" s="9" t="n">
        <f aca="false">ij*BUTIJ+BUTII</f>
        <v>1751.56898581023</v>
      </c>
      <c r="X7" s="9" t="n">
        <f aca="false">Revenue-Cost</f>
        <v>-107.585700795967</v>
      </c>
    </row>
    <row r="8" customFormat="false" ht="13" hidden="false" customHeight="false" outlineLevel="0" collapsed="false">
      <c r="A8" s="2" t="n">
        <v>0.648551118720517</v>
      </c>
      <c r="B8" s="2" t="n">
        <v>3</v>
      </c>
      <c r="C8" s="2" t="n">
        <v>10</v>
      </c>
      <c r="D8" s="2" t="n">
        <v>0</v>
      </c>
      <c r="E8" s="2" t="n">
        <f aca="false">Size-a</f>
        <v>10</v>
      </c>
      <c r="F8" s="12" t="n">
        <f aca="false">(EXP(alpha*(Tau+OldTau+zeta-2*a*psi))*((EXP(alpha*a*psi)-EXP(alpha*b*psi))^2))/((EXP(alpha*a*psi)-EXP(alpha*(2*OldTau+b*psi)))*(alpha^2)*(psi^2))</f>
        <v>0.204186225914591</v>
      </c>
      <c r="G8" s="12" t="n">
        <f aca="false">(EXP(alpha*(zeta+(2*b-a)*psi))*(-1+EXP(alpha*(-1)*Size*psi))*(EXP(alpha*(2*(Tau+OldTau)+a*psi))-EXP(alpha*(2*(Tau+OldTau)+b*psi))))/(((EXP(alpha*a*psi)-EXP(alpha*(2*OldTau+b*psi)))^2)*(alpha^2)*(psi^2))</f>
        <v>0.0011865317646008</v>
      </c>
      <c r="H8" s="9" t="n">
        <f aca="false">-Beta/alpha</f>
        <v>180</v>
      </c>
      <c r="I8" s="9" t="n">
        <f aca="false">(-EXP(alpha*zeta)*Beta*(-1+EXP(alpha*Size*psi)-Size*alpha*psi))/((alpha^3)*(psi^2))</f>
        <v>1690.92462806846</v>
      </c>
      <c r="J8" s="9" t="n">
        <f aca="false">Beta*Theta</f>
        <v>14.4</v>
      </c>
      <c r="K8" s="9" t="n">
        <f aca="false">Beta*Theta</f>
        <v>14.4</v>
      </c>
      <c r="L8" s="9" t="n">
        <f aca="false">kappa</f>
        <v>90</v>
      </c>
      <c r="M8" s="9" t="n">
        <f aca="false">Gamma*Size</f>
        <v>0</v>
      </c>
      <c r="N8" s="9" t="n">
        <f aca="false">Size*Beta*Phi</f>
        <v>32.4</v>
      </c>
      <c r="O8" s="9" t="n">
        <f aca="false">-(EXP(alpha*a*psi)+EXP(alpha*b*psi)*(-1+Size*psi*alpha))*(Beta*Phi)/((alpha*psi)*(EXP(alpha*a*psi)-EXP(alpha*b*psi)))</f>
        <v>12.2941718960407</v>
      </c>
      <c r="P8" s="9" t="n">
        <f aca="false">(EXP(alpha*(zeta-a*psi))*Beta*Phi*(-EXP(alpha*a*psi)*(-2+(-1)*Size*alpha*psi)+EXP(alpha*b*psi)*(-2+Size*alpha*psi)))/((alpha^3)*(psi^3))</f>
        <v>78.836375998096</v>
      </c>
      <c r="Q8" s="9" t="n">
        <f aca="false">Tau*Beta</f>
        <v>116.739201369693</v>
      </c>
      <c r="R8" s="9" t="n">
        <f aca="false">Tau*Beta</f>
        <v>116.739201369693</v>
      </c>
      <c r="S8" s="13" t="n">
        <f aca="false">Tau</f>
        <v>0.648551118720517</v>
      </c>
      <c r="T8" s="9" t="n">
        <f aca="false">Profit+Utility</f>
        <v>1595.81809599338</v>
      </c>
      <c r="U8" s="9" t="n">
        <f aca="false">(2*ij*BRIJ)+(2)*jj*BRJJ</f>
        <v>47.9501034291207</v>
      </c>
      <c r="V8" s="9" t="n">
        <f aca="false">2*(ij*BCCIJ)+(2*jj*BCCJJ)+BCS+jj*BCPTJJ+2*(ij*BCPTIJ)+BCPTII+BCk</f>
        <v>179.810156168825</v>
      </c>
      <c r="W8" s="9" t="n">
        <f aca="false">ij*BUTIJ+BUTII</f>
        <v>1727.67814873308</v>
      </c>
      <c r="X8" s="9" t="n">
        <f aca="false">Revenue-Cost</f>
        <v>-131.860052739705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customFormat="false" ht="13" hidden="false" customHeight="false" outlineLevel="0" collapsed="false">
      <c r="A9" s="2" t="n">
        <v>0.648453669941319</v>
      </c>
      <c r="B9" s="2" t="n">
        <v>3.5</v>
      </c>
      <c r="C9" s="2" t="n">
        <v>10</v>
      </c>
      <c r="D9" s="2" t="n">
        <v>0</v>
      </c>
      <c r="E9" s="2" t="n">
        <f aca="false">Size-a</f>
        <v>10</v>
      </c>
      <c r="F9" s="12" t="n">
        <f aca="false">(EXP(alpha*(Tau+OldTau+zeta-2*a*psi))*((EXP(alpha*a*psi)-EXP(alpha*b*psi))^2))/((EXP(alpha*a*psi)-EXP(alpha*(2*OldTau+b*psi)))*(alpha^2)*(psi^2))</f>
        <v>0.123813964162589</v>
      </c>
      <c r="G9" s="12" t="n">
        <f aca="false">(EXP(alpha*(zeta+(2*b-a)*psi))*(-1+EXP(alpha*(-1)*Size*psi))*(EXP(alpha*(2*(Tau+OldTau)+a*psi))-EXP(alpha*(2*(Tau+OldTau)+b*psi))))/(((EXP(alpha*a*psi)-EXP(alpha*(2*OldTau+b*psi)))^2)*(alpha^2)*(psi^2))</f>
        <v>0.00043628044024381</v>
      </c>
      <c r="H9" s="9" t="n">
        <f aca="false">-Beta/alpha</f>
        <v>180</v>
      </c>
      <c r="I9" s="9" t="n">
        <f aca="false">(-EXP(alpha*zeta)*Beta*(-1+EXP(alpha*Size*psi)-Size*alpha*psi))/((alpha^3)*(psi^2))</f>
        <v>1690.92462806846</v>
      </c>
      <c r="J9" s="9" t="n">
        <f aca="false">Beta*Theta</f>
        <v>14.4</v>
      </c>
      <c r="K9" s="9" t="n">
        <f aca="false">Beta*Theta</f>
        <v>14.4</v>
      </c>
      <c r="L9" s="9" t="n">
        <f aca="false">kappa</f>
        <v>90</v>
      </c>
      <c r="M9" s="9" t="n">
        <f aca="false">Gamma*Size</f>
        <v>0</v>
      </c>
      <c r="N9" s="9" t="n">
        <f aca="false">Size*Beta*Phi</f>
        <v>32.4</v>
      </c>
      <c r="O9" s="9" t="n">
        <f aca="false">-(EXP(alpha*a*psi)+EXP(alpha*b*psi)*(-1+Size*psi*alpha))*(Beta*Phi)/((alpha*psi)*(EXP(alpha*a*psi)-EXP(alpha*b*psi)))</f>
        <v>12.2941718960407</v>
      </c>
      <c r="P9" s="9" t="n">
        <f aca="false">(EXP(alpha*(zeta-a*psi))*Beta*Phi*(-EXP(alpha*a*psi)*(-2+(-1)*Size*alpha*psi)+EXP(alpha*b*psi)*(-2+Size*alpha*psi)))/((alpha^3)*(psi^3))</f>
        <v>78.836375998096</v>
      </c>
      <c r="Q9" s="9" t="n">
        <f aca="false">Tau*Beta</f>
        <v>116.721660589437</v>
      </c>
      <c r="R9" s="9" t="n">
        <f aca="false">Tau*Beta</f>
        <v>116.721660589437</v>
      </c>
      <c r="S9" s="13" t="n">
        <f aca="false">Tau</f>
        <v>0.648453669941319</v>
      </c>
      <c r="T9" s="9" t="n">
        <f aca="false">Profit+Utility</f>
        <v>1566.74323252909</v>
      </c>
      <c r="U9" s="9" t="n">
        <f aca="false">(2*ij*BRIJ)+(2)*jj*BRJJ</f>
        <v>29.0053897573728</v>
      </c>
      <c r="V9" s="9" t="n">
        <f aca="false">2*(ij*BCCIJ)+(2*jj*BCCJJ)+BCS+jj*BCPTJJ+2*(ij*BCPTIJ)+BCPTII+BCk</f>
        <v>175.473298846012</v>
      </c>
      <c r="W9" s="9" t="n">
        <f aca="false">ij*BUTIJ+BUTII</f>
        <v>1713.21114161772</v>
      </c>
      <c r="X9" s="9" t="n">
        <f aca="false">Revenue-Cost</f>
        <v>-146.467909088639</v>
      </c>
    </row>
    <row r="10" customFormat="false" ht="13" hidden="false" customHeight="false" outlineLevel="0" collapsed="false">
      <c r="A10" s="2" t="n">
        <v>0.649010744656215</v>
      </c>
      <c r="B10" s="2" t="n">
        <v>4</v>
      </c>
      <c r="C10" s="2" t="n">
        <v>10</v>
      </c>
      <c r="D10" s="2" t="n">
        <v>0</v>
      </c>
      <c r="E10" s="2" t="n">
        <f aca="false">Size-a</f>
        <v>10</v>
      </c>
      <c r="F10" s="10" t="n">
        <f aca="false">(EXP(alpha*(Tau+OldTau+zeta-2*a*psi))*((EXP(alpha*a*psi)-EXP(alpha*b*psi))^2))/((EXP(alpha*a*psi)-EXP(alpha*(2*OldTau+b*psi)))*(alpha^2)*(psi^2))</f>
        <v>0.0750454883396604</v>
      </c>
      <c r="G10" s="10" t="n">
        <f aca="false">(EXP(alpha*(zeta+(2*b-a)*psi))*(-1+EXP(alpha*(-1)*Size*psi))*(EXP(alpha*(2*(Tau+OldTau)+a*psi))-EXP(alpha*(2*(Tau+OldTau)+b*psi))))/(((EXP(alpha*a*psi)-EXP(alpha*(2*OldTau+b*psi)))^2)*(alpha^2)*(psi^2))</f>
        <v>0.000160278644688886</v>
      </c>
      <c r="H10" s="7" t="n">
        <f aca="false">-Beta/alpha</f>
        <v>180</v>
      </c>
      <c r="I10" s="7" t="n">
        <f aca="false">(-EXP(alpha*zeta)*Beta*(-1+EXP(alpha*Size*psi)-Size*alpha*psi))/((alpha^3)*(psi^2))</f>
        <v>1690.92462806846</v>
      </c>
      <c r="J10" s="7" t="n">
        <f aca="false">Beta*Theta</f>
        <v>14.4</v>
      </c>
      <c r="K10" s="7" t="n">
        <f aca="false">Beta*Theta</f>
        <v>14.4</v>
      </c>
      <c r="L10" s="7" t="n">
        <f aca="false">kappa</f>
        <v>90</v>
      </c>
      <c r="M10" s="7" t="n">
        <f aca="false">Gamma*Size</f>
        <v>0</v>
      </c>
      <c r="N10" s="7" t="n">
        <f aca="false">Size*Beta*Phi</f>
        <v>32.4</v>
      </c>
      <c r="O10" s="7" t="n">
        <f aca="false">-(EXP(alpha*a*psi)+EXP(alpha*b*psi)*(-1+Size*psi*alpha))*(Beta*Phi)/((alpha*psi)*(EXP(alpha*a*psi)-EXP(alpha*b*psi)))</f>
        <v>12.2941718960407</v>
      </c>
      <c r="P10" s="7" t="n">
        <f aca="false">(EXP(alpha*(zeta-a*psi))*Beta*Phi*(-EXP(alpha*a*psi)*(-2+(-1)*Size*alpha*psi)+EXP(alpha*b*psi)*(-2+Size*alpha*psi)))/((alpha^3)*(psi^3))</f>
        <v>78.836375998096</v>
      </c>
      <c r="Q10" s="7" t="n">
        <f aca="false">Tau*Beta</f>
        <v>116.821934038119</v>
      </c>
      <c r="R10" s="7" t="n">
        <f aca="false">Tau*Beta</f>
        <v>116.821934038119</v>
      </c>
      <c r="S10" s="11" t="n">
        <f aca="false">Tau</f>
        <v>0.649010744656215</v>
      </c>
      <c r="T10" s="7" t="n">
        <f aca="false">Profit+Utility</f>
        <v>1549.15144288679</v>
      </c>
      <c r="U10" s="7" t="n">
        <f aca="false">(2*ij*BRIJ)+(2)*jj*BRJJ</f>
        <v>17.5713662998635</v>
      </c>
      <c r="V10" s="9" t="n">
        <f aca="false">2*(ij*BCCIJ)+(2*jj*BCCJJ)+BCS+jj*BCPTJJ+2*(ij*BCPTIJ)+BCPTII+BCk</f>
        <v>172.852739382673</v>
      </c>
      <c r="W10" s="7" t="n">
        <f aca="false">ij*BUTIJ+BUTII</f>
        <v>1704.4328159696</v>
      </c>
      <c r="X10" s="7" t="n">
        <f aca="false">Revenue-Cost</f>
        <v>-155.28137308281</v>
      </c>
    </row>
    <row r="11" customFormat="false" ht="13" hidden="false" customHeight="false" outlineLevel="0" collapsed="false">
      <c r="A11" s="2" t="n">
        <v>0.648998009564206</v>
      </c>
      <c r="B11" s="2" t="n">
        <v>4.5</v>
      </c>
      <c r="C11" s="2" t="n">
        <v>10</v>
      </c>
      <c r="D11" s="2" t="n">
        <v>0</v>
      </c>
      <c r="E11" s="2" t="n">
        <f aca="false">Size-a</f>
        <v>10</v>
      </c>
      <c r="F11" s="10" t="n">
        <f aca="false">(EXP(alpha*(Tau+OldTau+zeta-2*a*psi))*((EXP(alpha*a*psi)-EXP(alpha*b*psi))^2))/((EXP(alpha*a*psi)-EXP(alpha*(2*OldTau+b*psi)))*(alpha^2)*(psi^2))</f>
        <v>0.045515815463604</v>
      </c>
      <c r="G11" s="10" t="n">
        <f aca="false">(EXP(alpha*(zeta+(2*b-a)*psi))*(-1+EXP(alpha*(-1)*Size*psi))*(EXP(alpha*(2*(Tau+OldTau)+a*psi))-EXP(alpha*(2*(Tau+OldTau)+b*psi))))/(((EXP(alpha*a*psi)-EXP(alpha*(2*OldTau+b*psi)))^2)*(alpha^2)*(psi^2))</f>
        <v>5.8959140165032E-005</v>
      </c>
      <c r="H11" s="7" t="n">
        <f aca="false">-Beta/alpha</f>
        <v>180</v>
      </c>
      <c r="I11" s="7" t="n">
        <f aca="false">(-EXP(alpha*zeta)*Beta*(-1+EXP(alpha*Size*psi)-Size*alpha*psi))/((alpha^3)*(psi^2))</f>
        <v>1690.92462806846</v>
      </c>
      <c r="J11" s="7" t="n">
        <f aca="false">Beta*Theta</f>
        <v>14.4</v>
      </c>
      <c r="K11" s="7" t="n">
        <f aca="false">Beta*Theta</f>
        <v>14.4</v>
      </c>
      <c r="L11" s="7" t="n">
        <f aca="false">kappa</f>
        <v>90</v>
      </c>
      <c r="M11" s="7" t="n">
        <f aca="false">Gamma*Size</f>
        <v>0</v>
      </c>
      <c r="N11" s="7" t="n">
        <f aca="false">Size*Beta*Phi</f>
        <v>32.4</v>
      </c>
      <c r="O11" s="7" t="n">
        <f aca="false">-(EXP(alpha*a*psi)+EXP(alpha*b*psi)*(-1+Size*psi*alpha))*(Beta*Phi)/((alpha*psi)*(EXP(alpha*a*psi)-EXP(alpha*b*psi)))</f>
        <v>12.2941718960407</v>
      </c>
      <c r="P11" s="7" t="n">
        <f aca="false">(EXP(alpha*(zeta-a*psi))*Beta*Phi*(-EXP(alpha*a*psi)*(-2+(-1)*Size*alpha*psi)+EXP(alpha*b*psi)*(-2+Size*alpha*psi)))/((alpha^3)*(psi^3))</f>
        <v>78.836375998096</v>
      </c>
      <c r="Q11" s="7" t="n">
        <f aca="false">Tau*Beta</f>
        <v>116.819641721557</v>
      </c>
      <c r="R11" s="7" t="n">
        <f aca="false">Tau*Beta</f>
        <v>116.819641721557</v>
      </c>
      <c r="S11" s="11" t="n">
        <f aca="false">Tau</f>
        <v>0.648998009564206</v>
      </c>
      <c r="T11" s="7" t="n">
        <f aca="false">Profit+Utility</f>
        <v>1538.49553423199</v>
      </c>
      <c r="U11" s="11" t="n">
        <f aca="false">(2*ij*BRIJ)+(2)*jj*BRJJ</f>
        <v>10.648057681506</v>
      </c>
      <c r="V11" s="9" t="n">
        <f aca="false">2*(ij*BCCIJ)+(2*jj*BCCJJ)+BCS+jj*BCPTJJ+2*(ij*BCPTIJ)+BCPTII+BCk</f>
        <v>171.269998301422</v>
      </c>
      <c r="W11" s="7" t="n">
        <f aca="false">ij*BUTIJ+BUTII</f>
        <v>1699.11747485191</v>
      </c>
      <c r="X11" s="7" t="n">
        <f aca="false">Revenue-Cost</f>
        <v>-160.621940619916</v>
      </c>
    </row>
    <row r="12" customFormat="false" ht="13" hidden="false" customHeight="false" outlineLevel="0" collapsed="false">
      <c r="A12" s="2" t="n">
        <v>0.648975305075598</v>
      </c>
      <c r="B12" s="2" t="n">
        <v>5</v>
      </c>
      <c r="C12" s="2" t="n">
        <v>10</v>
      </c>
      <c r="D12" s="2" t="n">
        <v>0</v>
      </c>
      <c r="E12" s="2" t="n">
        <f aca="false">Size-a</f>
        <v>10</v>
      </c>
      <c r="F12" s="12" t="n">
        <f aca="false">(EXP(alpha*(Tau+OldTau+zeta-2*a*psi))*((EXP(alpha*a*psi)-EXP(alpha*b*psi))^2))/((EXP(alpha*a*psi)-EXP(alpha*(2*OldTau+b*psi)))*(alpha^2)*(psi^2))</f>
        <v>0.0276068838359989</v>
      </c>
      <c r="G12" s="12" t="n">
        <f aca="false">(EXP(alpha*(zeta+(2*b-a)*psi))*(-1+EXP(alpha*(-1)*Size*psi))*(EXP(alpha*(2*(Tau+OldTau)+a*psi))-EXP(alpha*(2*(Tau+OldTau)+b*psi))))/(((EXP(alpha*a*psi)-EXP(alpha*(2*OldTau+b*psi)))^2)*(alpha^2)*(psi^2))</f>
        <v>2.16900853543298E-005</v>
      </c>
      <c r="H12" s="9" t="n">
        <f aca="false">-Beta/alpha</f>
        <v>180</v>
      </c>
      <c r="I12" s="9" t="n">
        <f aca="false">(-EXP(alpha*zeta)*Beta*(-1+EXP(alpha*Size*psi)-Size*alpha*psi))/((alpha^3)*(psi^2))</f>
        <v>1690.92462806846</v>
      </c>
      <c r="J12" s="9" t="n">
        <f aca="false">Beta*Theta</f>
        <v>14.4</v>
      </c>
      <c r="K12" s="9" t="n">
        <f aca="false">Beta*Theta</f>
        <v>14.4</v>
      </c>
      <c r="L12" s="9" t="n">
        <f aca="false">kappa</f>
        <v>90</v>
      </c>
      <c r="M12" s="9" t="n">
        <f aca="false">Gamma*Size</f>
        <v>0</v>
      </c>
      <c r="N12" s="9" t="n">
        <f aca="false">Size*Beta*Phi</f>
        <v>32.4</v>
      </c>
      <c r="O12" s="9" t="n">
        <f aca="false">-(EXP(alpha*a*psi)+EXP(alpha*b*psi)*(-1+Size*psi*alpha))*(Beta*Phi)/((alpha*psi)*(EXP(alpha*a*psi)-EXP(alpha*b*psi)))</f>
        <v>12.2941718960407</v>
      </c>
      <c r="P12" s="9" t="n">
        <f aca="false">(EXP(alpha*(zeta-a*psi))*Beta*Phi*(-EXP(alpha*a*psi)*(-2+(-1)*Size*alpha*psi)+EXP(alpha*b*psi)*(-2+Size*alpha*psi)))/((alpha^3)*(psi^3))</f>
        <v>78.836375998096</v>
      </c>
      <c r="Q12" s="9" t="n">
        <f aca="false">Tau*Beta</f>
        <v>116.815554913608</v>
      </c>
      <c r="R12" s="9" t="n">
        <f aca="false">Tau*Beta</f>
        <v>116.815554913608</v>
      </c>
      <c r="S12" s="13" t="n">
        <f aca="false">Tau</f>
        <v>0.648975305075598</v>
      </c>
      <c r="T12" s="9" t="n">
        <f aca="false">Profit+Utility</f>
        <v>1532.03717231054</v>
      </c>
      <c r="U12" s="13" t="n">
        <f aca="false">(2*ij*BRIJ)+(2)*jj*BRJJ</f>
        <v>6.45489438818901</v>
      </c>
      <c r="V12" s="9" t="n">
        <f aca="false">2*(ij*BCCIJ)+(2*jj*BCCJJ)+BCS+jj*BCPTJJ+2*(ij*BCPTIJ)+BCPTII+BCk</f>
        <v>170.311589236584</v>
      </c>
      <c r="W12" s="9" t="n">
        <f aca="false">ij*BUTIJ+BUTII</f>
        <v>1695.89386715894</v>
      </c>
      <c r="X12" s="9" t="n">
        <f aca="false">Revenue-Cost</f>
        <v>-163.856694848395</v>
      </c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  <row r="15" customFormat="false" ht="13" hidden="false" customHeight="false" outlineLevel="0" collapsed="false">
      <c r="F15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600" ySplit="0" topLeftCell="T1" activePane="topLeft" state="split"/>
      <selection pane="topLeft" activeCell="A2" activeCellId="0" sqref="A2"/>
      <selection pane="topRight" activeCell="T1" activeCellId="0" sqref="T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4.71"/>
    <col collapsed="false" customWidth="true" hidden="false" outlineLevel="0" max="2" min="2" style="2" width="5.56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3.99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257" min="10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35</v>
      </c>
      <c r="V1" s="2" t="s">
        <v>36</v>
      </c>
      <c r="W1" s="2" t="s">
        <v>33</v>
      </c>
      <c r="X1" s="2" t="s">
        <v>34</v>
      </c>
    </row>
    <row r="2" customFormat="false" ht="13" hidden="false" customHeight="false" outlineLevel="0" collapsed="false">
      <c r="A2" s="2" t="n">
        <v>0.588971896540793</v>
      </c>
      <c r="B2" s="2" t="n">
        <v>0</v>
      </c>
      <c r="C2" s="2" t="n">
        <v>1</v>
      </c>
      <c r="D2" s="2" t="n">
        <v>0</v>
      </c>
      <c r="E2" s="2" t="n">
        <f aca="false">Size-a</f>
        <v>1</v>
      </c>
      <c r="F2" s="12" t="n">
        <f aca="false">(EXP(alpha*(Tau+OldTau+zeta-2*a*psi))*((EXP(alpha*a*psi)-EXP(alpha*b*psi))^2))/((EXP(alpha*a*psi)-EXP(alpha*(2*OldTau+b*psi)))*(alpha^2)*(psi^2))</f>
        <v>1.00409376930103</v>
      </c>
      <c r="G2" s="12" t="n">
        <f aca="false">(EXP(alpha*(zeta+(2*b-a)*psi))*(-1+EXP(alpha*(-1)*Size*psi))*(EXP(alpha*(2*(Tau+OldTau)+a*psi))-EXP(alpha*(2*(Tau+OldTau)+b*psi))))/(((EXP(alpha*a*psi)-EXP(alpha*(2*OldTau+b*psi)))^2)*(alpha^2)*(psi^2))</f>
        <v>3.44283815640921</v>
      </c>
      <c r="H2" s="9" t="n">
        <f aca="false">-Beta/alpha</f>
        <v>180</v>
      </c>
      <c r="I2" s="9" t="n">
        <f aca="false">(-EXP(alpha*zeta)*Beta*(-1+EXP(alpha*Size*psi)-Size*alpha*psi))/((alpha^3)*(psi^2))</f>
        <v>25.0388962482082</v>
      </c>
      <c r="J2" s="9" t="n">
        <f aca="false">Beta*Theta</f>
        <v>14.4</v>
      </c>
      <c r="K2" s="9" t="n">
        <f aca="false">Beta*Theta</f>
        <v>14.4</v>
      </c>
      <c r="L2" s="9" t="n">
        <f aca="false">kappa</f>
        <v>90</v>
      </c>
      <c r="M2" s="9" t="n">
        <f aca="false">Gamma*Size</f>
        <v>0</v>
      </c>
      <c r="N2" s="9" t="n">
        <f aca="false">Size*Beta*Phi</f>
        <v>3.24</v>
      </c>
      <c r="O2" s="9" t="n">
        <f aca="false">-(EXP(alpha*a*psi)+EXP(alpha*b*psi)*(-1+Size*psi*alpha))*(Beta*Phi)/((alpha*psi)*(EXP(alpha*a*psi)-EXP(alpha*b*psi)))</f>
        <v>1.57951517936842</v>
      </c>
      <c r="P2" s="9" t="n">
        <f aca="false">(EXP(alpha*(zeta-a*psi))*Beta*Phi*(-EXP(alpha*a*psi)*(-2+(-1)*Size*alpha*psi)+EXP(alpha*b*psi)*(-2+Size*alpha*psi)))/((alpha^3)*(psi^3))</f>
        <v>0.146515554131081</v>
      </c>
      <c r="Q2" s="9" t="n">
        <f aca="false">Tau*Beta</f>
        <v>106.014941377343</v>
      </c>
      <c r="R2" s="9" t="n">
        <f aca="false">Tau*Beta</f>
        <v>106.014941377343</v>
      </c>
      <c r="S2" s="13" t="n">
        <f aca="false">Tau</f>
        <v>0.588971896540793</v>
      </c>
      <c r="T2" s="9" t="n">
        <f aca="false">Profit+Utility</f>
        <v>916.113316207214</v>
      </c>
      <c r="U2" s="9" t="n">
        <f aca="false">(2*ij*BRIJ)+(2)*jj*BRJJ</f>
        <v>942.882454826412</v>
      </c>
      <c r="V2" s="9" t="n">
        <f aca="false">2*(ij*BCCIJ)+(2*jj*BCCJJ)+BCS+jj*BCPTJJ+2*(ij*BCPTIJ)+BCPTII+BCk</f>
        <v>232.544913341593</v>
      </c>
      <c r="W2" s="9" t="n">
        <f aca="false">ij*BUTIJ+BUTII</f>
        <v>205.775774722394</v>
      </c>
      <c r="X2" s="9" t="n">
        <f aca="false">Revenue-Cost</f>
        <v>710.337541484819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3" hidden="false" customHeight="false" outlineLevel="0" collapsed="false">
      <c r="A3" s="2" t="n">
        <v>0.588878310545447</v>
      </c>
      <c r="B3" s="2" t="n">
        <v>0.5</v>
      </c>
      <c r="C3" s="2" t="n">
        <v>1</v>
      </c>
      <c r="D3" s="2" t="n">
        <v>0</v>
      </c>
      <c r="E3" s="2" t="n">
        <f aca="false">Size-a</f>
        <v>1</v>
      </c>
      <c r="F3" s="12" t="n">
        <f aca="false">(EXP(alpha*(Tau+OldTau+zeta-2*a*psi))*((EXP(alpha*a*psi)-EXP(alpha*b*psi))^2))/((EXP(alpha*a*psi)-EXP(alpha*(2*OldTau+b*psi)))*(alpha^2)*(psi^2))</f>
        <v>0.124148739808437</v>
      </c>
      <c r="G3" s="12" t="n">
        <f aca="false">(EXP(alpha*(zeta+(2*b-a)*psi))*(-1+EXP(alpha*(-1)*Size*psi))*(EXP(alpha*(2*(Tau+OldTau)+a*psi))-EXP(alpha*(2*(Tau+OldTau)+b*psi))))/(((EXP(alpha*a*psi)-EXP(alpha*(2*OldTau+b*psi)))^2)*(alpha^2)*(psi^2))</f>
        <v>0.052632341865103</v>
      </c>
      <c r="H3" s="9" t="n">
        <f aca="false">-Beta/alpha</f>
        <v>180</v>
      </c>
      <c r="I3" s="9" t="n">
        <f aca="false">(-EXP(alpha*zeta)*Beta*(-1+EXP(alpha*Size*psi)-Size*alpha*psi))/((alpha^3)*(psi^2))</f>
        <v>25.0388962482082</v>
      </c>
      <c r="J3" s="9" t="n">
        <f aca="false">Beta*Theta</f>
        <v>14.4</v>
      </c>
      <c r="K3" s="9" t="n">
        <f aca="false">Beta*Theta</f>
        <v>14.4</v>
      </c>
      <c r="L3" s="9" t="n">
        <f aca="false">kappa</f>
        <v>90</v>
      </c>
      <c r="M3" s="9" t="n">
        <f aca="false">Gamma*Size</f>
        <v>0</v>
      </c>
      <c r="N3" s="9" t="n">
        <f aca="false">Size*Beta*Phi</f>
        <v>3.24</v>
      </c>
      <c r="O3" s="9" t="n">
        <f aca="false">-(EXP(alpha*a*psi)+EXP(alpha*b*psi)*(-1+Size*psi*alpha))*(Beta*Phi)/((alpha*psi)*(EXP(alpha*a*psi)-EXP(alpha*b*psi)))</f>
        <v>1.57951517936842</v>
      </c>
      <c r="P3" s="9" t="n">
        <f aca="false">(EXP(alpha*(zeta-a*psi))*Beta*Phi*(-EXP(alpha*a*psi)*(-2+(-1)*Size*alpha*psi)+EXP(alpha*b*psi)*(-2+Size*alpha*psi)))/((alpha^3)*(psi^3))</f>
        <v>0.146515554131081</v>
      </c>
      <c r="Q3" s="9" t="n">
        <f aca="false">Tau*Beta</f>
        <v>105.99809589818</v>
      </c>
      <c r="R3" s="9" t="n">
        <f aca="false">Tau*Beta</f>
        <v>105.99809589818</v>
      </c>
      <c r="S3" s="13" t="n">
        <f aca="false">Tau</f>
        <v>0.588878310545447</v>
      </c>
      <c r="T3" s="9" t="n">
        <f aca="false">Profit+Utility</f>
        <v>-10.9379436218671</v>
      </c>
      <c r="U3" s="9" t="n">
        <f aca="false">(2*ij*BRIJ)+(2)*jj*BRJJ</f>
        <v>37.4769160964319</v>
      </c>
      <c r="V3" s="9" t="n">
        <f aca="false">2*(ij*BCCIJ)+(2*jj*BCCJJ)+BCS+jj*BCPTJJ+2*(ij*BCPTIJ)+BCPTII+BCk</f>
        <v>95.8005291320257</v>
      </c>
      <c r="W3" s="9" t="n">
        <f aca="false">ij*BUTIJ+BUTII</f>
        <v>47.3856694137268</v>
      </c>
      <c r="X3" s="9" t="n">
        <f aca="false">Revenue-Cost</f>
        <v>-58.3236130355939</v>
      </c>
    </row>
    <row r="4" customFormat="false" ht="13" hidden="false" customHeight="false" outlineLevel="0" collapsed="false">
      <c r="A4" s="2" t="n">
        <v>0.588839118548493</v>
      </c>
      <c r="B4" s="2" t="n">
        <v>1</v>
      </c>
      <c r="C4" s="2" t="n">
        <v>1</v>
      </c>
      <c r="D4" s="2" t="n">
        <v>0</v>
      </c>
      <c r="E4" s="2" t="n">
        <f aca="false">Size-a</f>
        <v>1</v>
      </c>
      <c r="F4" s="12" t="n">
        <f aca="false">(EXP(alpha*(Tau+OldTau+zeta-2*a*psi))*((EXP(alpha*a*psi)-EXP(alpha*b*psi))^2))/((EXP(alpha*a*psi)-EXP(alpha*(2*OldTau+b*psi)))*(alpha^2)*(psi^2))</f>
        <v>0.0582437543458678</v>
      </c>
      <c r="G4" s="12" t="n">
        <f aca="false">(EXP(alpha*(zeta+(2*b-a)*psi))*(-1+EXP(alpha*(-1)*Size*psi))*(EXP(alpha*(2*(Tau+OldTau)+a*psi))-EXP(alpha*(2*(Tau+OldTau)+b*psi))))/(((EXP(alpha*a*psi)-EXP(alpha*(2*OldTau+b*psi)))^2)*(alpha^2)*(psi^2))</f>
        <v>0.0115842197174972</v>
      </c>
      <c r="H4" s="9" t="n">
        <f aca="false">-Beta/alpha</f>
        <v>180</v>
      </c>
      <c r="I4" s="9" t="n">
        <f aca="false">(-EXP(alpha*zeta)*Beta*(-1+EXP(alpha*Size*psi)-Size*alpha*psi))/((alpha^3)*(psi^2))</f>
        <v>25.0388962482082</v>
      </c>
      <c r="J4" s="9" t="n">
        <f aca="false">Beta*Theta</f>
        <v>14.4</v>
      </c>
      <c r="K4" s="9" t="n">
        <f aca="false">Beta*Theta</f>
        <v>14.4</v>
      </c>
      <c r="L4" s="9" t="n">
        <f aca="false">kappa</f>
        <v>90</v>
      </c>
      <c r="M4" s="9" t="n">
        <f aca="false">Gamma*Size</f>
        <v>0</v>
      </c>
      <c r="N4" s="9" t="n">
        <f aca="false">Size*Beta*Phi</f>
        <v>3.24</v>
      </c>
      <c r="O4" s="9" t="n">
        <f aca="false">-(EXP(alpha*a*psi)+EXP(alpha*b*psi)*(-1+Size*psi*alpha))*(Beta*Phi)/((alpha*psi)*(EXP(alpha*a*psi)-EXP(alpha*b*psi)))</f>
        <v>1.57951517936842</v>
      </c>
      <c r="P4" s="9" t="n">
        <f aca="false">(EXP(alpha*(zeta-a*psi))*Beta*Phi*(-EXP(alpha*a*psi)*(-2+(-1)*Size*alpha*psi)+EXP(alpha*b*psi)*(-2+Size*alpha*psi)))/((alpha^3)*(psi^3))</f>
        <v>0.146515554131081</v>
      </c>
      <c r="Q4" s="9" t="n">
        <f aca="false">Tau*Beta</f>
        <v>105.991041338729</v>
      </c>
      <c r="R4" s="9" t="n">
        <f aca="false">Tau*Beta</f>
        <v>105.991041338729</v>
      </c>
      <c r="S4" s="13" t="n">
        <f aca="false">Tau</f>
        <v>0.588839118548493</v>
      </c>
      <c r="T4" s="9" t="n">
        <f aca="false">Profit+Utility</f>
        <v>-42.0540364656621</v>
      </c>
      <c r="U4" s="9" t="n">
        <f aca="false">(2*ij*BRIJ)+(2)*jj*BRJJ</f>
        <v>14.8022793710996</v>
      </c>
      <c r="V4" s="9" t="n">
        <f aca="false">2*(ij*BCCIJ)+(2*jj*BCCJJ)+BCS+jj*BCPTJJ+2*(ij*BCPTIJ)+BCPTII+BCk</f>
        <v>92.3790878672261</v>
      </c>
      <c r="W4" s="9" t="n">
        <f aca="false">ij*BUTIJ+BUTII</f>
        <v>35.5227720304644</v>
      </c>
      <c r="X4" s="9" t="n">
        <f aca="false">Revenue-Cost</f>
        <v>-77.5768084961265</v>
      </c>
    </row>
    <row r="5" customFormat="false" ht="13" hidden="false" customHeight="false" outlineLevel="0" collapsed="false">
      <c r="A5" s="2" t="n">
        <v>0.588816078074345</v>
      </c>
      <c r="B5" s="2" t="n">
        <v>1.5</v>
      </c>
      <c r="C5" s="2" t="n">
        <v>1</v>
      </c>
      <c r="D5" s="2" t="n">
        <v>0</v>
      </c>
      <c r="E5" s="2" t="n">
        <f aca="false">Size-a</f>
        <v>1</v>
      </c>
      <c r="F5" s="12" t="n">
        <f aca="false">(EXP(alpha*(Tau+OldTau+zeta-2*a*psi))*((EXP(alpha*a*psi)-EXP(alpha*b*psi))^2))/((EXP(alpha*a*psi)-EXP(alpha*(2*OldTau+b*psi)))*(alpha^2)*(psi^2))</f>
        <v>0.0326097470046126</v>
      </c>
      <c r="G5" s="12" t="n">
        <f aca="false">(EXP(alpha*(zeta+(2*b-a)*psi))*(-1+EXP(alpha*(-1)*Size*psi))*(EXP(alpha*(2*(Tau+OldTau)+a*psi))-EXP(alpha*(2*(Tau+OldTau)+b*psi))))/(((EXP(alpha*a*psi)-EXP(alpha*(2*OldTau+b*psi)))^2)*(alpha^2)*(psi^2))</f>
        <v>0.0036313066259698</v>
      </c>
      <c r="H5" s="9" t="n">
        <f aca="false">-Beta/alpha</f>
        <v>180</v>
      </c>
      <c r="I5" s="9" t="n">
        <f aca="false">(-EXP(alpha*zeta)*Beta*(-1+EXP(alpha*Size*psi)-Size*alpha*psi))/((alpha^3)*(psi^2))</f>
        <v>25.0388962482082</v>
      </c>
      <c r="J5" s="9" t="n">
        <f aca="false">Beta*Theta</f>
        <v>14.4</v>
      </c>
      <c r="K5" s="9" t="n">
        <f aca="false">Beta*Theta</f>
        <v>14.4</v>
      </c>
      <c r="L5" s="9" t="n">
        <f aca="false">kappa</f>
        <v>90</v>
      </c>
      <c r="M5" s="9" t="n">
        <f aca="false">Gamma*Size</f>
        <v>0</v>
      </c>
      <c r="N5" s="9" t="n">
        <f aca="false">Size*Beta*Phi</f>
        <v>3.24</v>
      </c>
      <c r="O5" s="9" t="n">
        <f aca="false">-(EXP(alpha*a*psi)+EXP(alpha*b*psi)*(-1+Size*psi*alpha))*(Beta*Phi)/((alpha*psi)*(EXP(alpha*a*psi)-EXP(alpha*b*psi)))</f>
        <v>1.57951517936842</v>
      </c>
      <c r="P5" s="9" t="n">
        <f aca="false">(EXP(alpha*(zeta-a*psi))*Beta*Phi*(-EXP(alpha*a*psi)*(-2+(-1)*Size*alpha*psi)+EXP(alpha*b*psi)*(-2+Size*alpha*psi)))/((alpha^3)*(psi^3))</f>
        <v>0.146515554131081</v>
      </c>
      <c r="Q5" s="9" t="n">
        <f aca="false">Tau*Beta</f>
        <v>105.986894053382</v>
      </c>
      <c r="R5" s="9" t="n">
        <f aca="false">Tau*Beta</f>
        <v>105.986894053382</v>
      </c>
      <c r="S5" s="13" t="n">
        <f aca="false">Tau</f>
        <v>0.588816078074345</v>
      </c>
      <c r="T5" s="9" t="n">
        <f aca="false">Profit+Utility</f>
        <v>-52.7142343808449</v>
      </c>
      <c r="U5" s="9" t="n">
        <f aca="false">(2*ij*BRIJ)+(2)*jj*BRJJ</f>
        <v>7.68215342305495</v>
      </c>
      <c r="V5" s="9" t="n">
        <f aca="false">2*(ij*BCCIJ)+(2*jj*BCCJJ)+BCS+jj*BCPTJJ+2*(ij*BCPTIJ)+BCPTII+BCk</f>
        <v>91.3050385129383</v>
      </c>
      <c r="W5" s="9" t="n">
        <f aca="false">ij*BUTIJ+BUTII</f>
        <v>30.9086507090384</v>
      </c>
      <c r="X5" s="9" t="n">
        <f aca="false">Revenue-Cost</f>
        <v>-83.6228850898834</v>
      </c>
    </row>
    <row r="6" customFormat="false" ht="13" hidden="false" customHeight="false" outlineLevel="0" collapsed="false">
      <c r="A6" s="2" t="n">
        <v>0.588801224657779</v>
      </c>
      <c r="B6" s="2" t="n">
        <v>2</v>
      </c>
      <c r="C6" s="2" t="n">
        <v>1</v>
      </c>
      <c r="D6" s="2" t="n">
        <v>0</v>
      </c>
      <c r="E6" s="2" t="n">
        <f aca="false">Size-a</f>
        <v>1</v>
      </c>
      <c r="F6" s="12" t="n">
        <f aca="false">(EXP(alpha*(Tau+OldTau+zeta-2*a*psi))*((EXP(alpha*a*psi)-EXP(alpha*b*psi))^2))/((EXP(alpha*a*psi)-EXP(alpha*(2*OldTau+b*psi)))*(alpha^2)*(psi^2))</f>
        <v>0.0192347530843244</v>
      </c>
      <c r="G6" s="12" t="n">
        <f aca="false">(EXP(alpha*(zeta+(2*b-a)*psi))*(-1+EXP(alpha*(-1)*Size*psi))*(EXP(alpha*(2*(Tau+OldTau)+a*psi))-EXP(alpha*(2*(Tau+OldTau)+b*psi))))/(((EXP(alpha*a*psi)-EXP(alpha*(2*OldTau+b*psi)))^2)*(alpha^2)*(psi^2))</f>
        <v>0.00126340122756307</v>
      </c>
      <c r="H6" s="9" t="n">
        <f aca="false">-Beta/alpha</f>
        <v>180</v>
      </c>
      <c r="I6" s="9" t="n">
        <f aca="false">(-EXP(alpha*zeta)*Beta*(-1+EXP(alpha*Size*psi)-Size*alpha*psi))/((alpha^3)*(psi^2))</f>
        <v>25.0388962482082</v>
      </c>
      <c r="J6" s="9" t="n">
        <f aca="false">Beta*Theta</f>
        <v>14.4</v>
      </c>
      <c r="K6" s="9" t="n">
        <f aca="false">Beta*Theta</f>
        <v>14.4</v>
      </c>
      <c r="L6" s="9" t="n">
        <f aca="false">kappa</f>
        <v>90</v>
      </c>
      <c r="M6" s="9" t="n">
        <f aca="false">Gamma*Size</f>
        <v>0</v>
      </c>
      <c r="N6" s="9" t="n">
        <f aca="false">Size*Beta*Phi</f>
        <v>3.24</v>
      </c>
      <c r="O6" s="9" t="n">
        <f aca="false">-(EXP(alpha*a*psi)+EXP(alpha*b*psi)*(-1+Size*psi*alpha))*(Beta*Phi)/((alpha*psi)*(EXP(alpha*a*psi)-EXP(alpha*b*psi)))</f>
        <v>1.57951517936842</v>
      </c>
      <c r="P6" s="9" t="n">
        <f aca="false">(EXP(alpha*(zeta-a*psi))*Beta*Phi*(-EXP(alpha*a*psi)*(-2+(-1)*Size*alpha*psi)+EXP(alpha*b*psi)*(-2+Size*alpha*psi)))/((alpha^3)*(psi^3))</f>
        <v>0.146515554131081</v>
      </c>
      <c r="Q6" s="9" t="n">
        <f aca="false">Tau*Beta</f>
        <v>105.9842204384</v>
      </c>
      <c r="R6" s="9" t="n">
        <f aca="false">Tau*Beta</f>
        <v>105.9842204384</v>
      </c>
      <c r="S6" s="13" t="n">
        <f aca="false">Tau</f>
        <v>0.588801224657779</v>
      </c>
      <c r="T6" s="9" t="n">
        <f aca="false">Profit+Utility</f>
        <v>-57.9556053734975</v>
      </c>
      <c r="U6" s="9" t="n">
        <f aca="false">(2*ij*BRIJ)+(2)*jj*BRJJ</f>
        <v>4.34496181034285</v>
      </c>
      <c r="V6" s="9" t="n">
        <f aca="false">2*(ij*BCCIJ)+(2*jj*BCCJJ)+BCS+jj*BCPTJJ+2*(ij*BCPTIJ)+BCPTII+BCk</f>
        <v>90.8017189872269</v>
      </c>
      <c r="W6" s="9" t="n">
        <f aca="false">ij*BUTIJ+BUTII</f>
        <v>28.5011518033866</v>
      </c>
      <c r="X6" s="9" t="n">
        <f aca="false">Revenue-Cost</f>
        <v>-86.4567571768841</v>
      </c>
    </row>
    <row r="7" customFormat="false" ht="13" hidden="false" customHeight="false" outlineLevel="0" collapsed="false">
      <c r="A7" s="2" t="n">
        <v>0.588971896540793</v>
      </c>
      <c r="B7" s="2" t="n">
        <v>2.5</v>
      </c>
      <c r="C7" s="2" t="n">
        <v>1</v>
      </c>
      <c r="D7" s="2" t="n">
        <v>0</v>
      </c>
      <c r="E7" s="2" t="n">
        <f aca="false">Size-a</f>
        <v>1</v>
      </c>
      <c r="F7" s="12" t="n">
        <f aca="false">(EXP(alpha*(Tau+OldTau+zeta-2*a*psi))*((EXP(alpha*a*psi)-EXP(alpha*b*psi))^2))/((EXP(alpha*a*psi)-EXP(alpha*(2*OldTau+b*psi)))*(alpha^2)*(psi^2))</f>
        <v>0.011547561828455</v>
      </c>
      <c r="G7" s="12" t="n">
        <f aca="false">(EXP(alpha*(zeta+(2*b-a)*psi))*(-1+EXP(alpha*(-1)*Size*psi))*(EXP(alpha*(2*(Tau+OldTau)+a*psi))-EXP(alpha*(2*(Tau+OldTau)+b*psi))))/(((EXP(alpha*a*psi)-EXP(alpha*(2*OldTau+b*psi)))^2)*(alpha^2)*(psi^2))</f>
        <v>0.0004553534755102</v>
      </c>
      <c r="H7" s="9" t="n">
        <f aca="false">-Beta/alpha</f>
        <v>180</v>
      </c>
      <c r="I7" s="9" t="n">
        <f aca="false">(-EXP(alpha*zeta)*Beta*(-1+EXP(alpha*Size*psi)-Size*alpha*psi))/((alpha^3)*(psi^2))</f>
        <v>25.0388962482082</v>
      </c>
      <c r="J7" s="9" t="n">
        <f aca="false">Beta*Theta</f>
        <v>14.4</v>
      </c>
      <c r="K7" s="9" t="n">
        <f aca="false">Beta*Theta</f>
        <v>14.4</v>
      </c>
      <c r="L7" s="9" t="n">
        <f aca="false">kappa</f>
        <v>90</v>
      </c>
      <c r="M7" s="9" t="n">
        <f aca="false">Gamma*Size</f>
        <v>0</v>
      </c>
      <c r="N7" s="9" t="n">
        <f aca="false">Size*Beta*Phi</f>
        <v>3.24</v>
      </c>
      <c r="O7" s="9" t="n">
        <f aca="false">-(EXP(alpha*a*psi)+EXP(alpha*b*psi)*(-1+Size*psi*alpha))*(Beta*Phi)/((alpha*psi)*(EXP(alpha*a*psi)-EXP(alpha*b*psi)))</f>
        <v>1.57951517936842</v>
      </c>
      <c r="P7" s="9" t="n">
        <f aca="false">(EXP(alpha*(zeta-a*psi))*Beta*Phi*(-EXP(alpha*a*psi)*(-2+(-1)*Size*alpha*psi)+EXP(alpha*b*psi)*(-2+Size*alpha*psi)))/((alpha^3)*(psi^3))</f>
        <v>0.146515554131081</v>
      </c>
      <c r="Q7" s="9" t="n">
        <f aca="false">Tau*Beta</f>
        <v>106.014941377343</v>
      </c>
      <c r="R7" s="9" t="n">
        <f aca="false">Tau*Beta</f>
        <v>106.014941377343</v>
      </c>
      <c r="S7" s="13" t="n">
        <f aca="false">Tau</f>
        <v>0.588971896540793</v>
      </c>
      <c r="T7" s="9" t="n">
        <f aca="false">Profit+Utility</f>
        <v>-60.8677198565872</v>
      </c>
      <c r="U7" s="9" t="n">
        <f aca="false">(2*ij*BRIJ)+(2)*jj*BRJJ</f>
        <v>2.54497672461416</v>
      </c>
      <c r="V7" s="9" t="n">
        <f aca="false">2*(ij*BCCIJ)+(2*jj*BCCJJ)+BCS+jj*BCPTJJ+2*(ij*BCPTIJ)+BCPTII+BCk</f>
        <v>90.5301539585314</v>
      </c>
      <c r="W7" s="9" t="n">
        <f aca="false">ij*BUTIJ+BUTII</f>
        <v>27.11745737733</v>
      </c>
      <c r="X7" s="9" t="n">
        <f aca="false">Revenue-Cost</f>
        <v>-87.9851772339173</v>
      </c>
    </row>
    <row r="8" customFormat="false" ht="13" hidden="false" customHeight="false" outlineLevel="0" collapsed="false">
      <c r="A8" s="2" t="n">
        <v>0.588971896540793</v>
      </c>
      <c r="B8" s="2" t="n">
        <v>3</v>
      </c>
      <c r="C8" s="2" t="n">
        <v>1</v>
      </c>
      <c r="D8" s="2" t="n">
        <v>0</v>
      </c>
      <c r="E8" s="2" t="n">
        <f aca="false">Size-a</f>
        <v>1</v>
      </c>
      <c r="F8" s="12" t="n">
        <f aca="false">(EXP(alpha*(Tau+OldTau+zeta-2*a*psi))*((EXP(alpha*a*psi)-EXP(alpha*b*psi))^2))/((EXP(alpha*a*psi)-EXP(alpha*(2*OldTau+b*psi)))*(alpha^2)*(psi^2))</f>
        <v>0.00697821945543981</v>
      </c>
      <c r="G8" s="12" t="n">
        <f aca="false">(EXP(alpha*(zeta+(2*b-a)*psi))*(-1+EXP(alpha*(-1)*Size*psi))*(EXP(alpha*(2*(Tau+OldTau)+a*psi))-EXP(alpha*(2*(Tau+OldTau)+b*psi))))/(((EXP(alpha*a*psi)-EXP(alpha*(2*OldTau+b*psi)))^2)*(alpha^2)*(psi^2))</f>
        <v>0.000166286621539485</v>
      </c>
      <c r="H8" s="9" t="n">
        <f aca="false">-Beta/alpha</f>
        <v>180</v>
      </c>
      <c r="I8" s="9" t="n">
        <f aca="false">(-EXP(alpha*zeta)*Beta*(-1+EXP(alpha*Size*psi)-Size*alpha*psi))/((alpha^3)*(psi^2))</f>
        <v>25.0388962482082</v>
      </c>
      <c r="J8" s="9" t="n">
        <f aca="false">Beta*Theta</f>
        <v>14.4</v>
      </c>
      <c r="K8" s="9" t="n">
        <f aca="false">Beta*Theta</f>
        <v>14.4</v>
      </c>
      <c r="L8" s="9" t="n">
        <f aca="false">kappa</f>
        <v>90</v>
      </c>
      <c r="M8" s="9" t="n">
        <f aca="false">Gamma*Size</f>
        <v>0</v>
      </c>
      <c r="N8" s="9" t="n">
        <f aca="false">Size*Beta*Phi</f>
        <v>3.24</v>
      </c>
      <c r="O8" s="9" t="n">
        <f aca="false">-(EXP(alpha*a*psi)+EXP(alpha*b*psi)*(-1+Size*psi*alpha))*(Beta*Phi)/((alpha*psi)*(EXP(alpha*a*psi)-EXP(alpha*b*psi)))</f>
        <v>1.57951517936842</v>
      </c>
      <c r="P8" s="9" t="n">
        <f aca="false">(EXP(alpha*(zeta-a*psi))*Beta*Phi*(-EXP(alpha*a*psi)*(-2+(-1)*Size*alpha*psi)+EXP(alpha*b*psi)*(-2+Size*alpha*psi)))/((alpha^3)*(psi^3))</f>
        <v>0.146515554131081</v>
      </c>
      <c r="Q8" s="9" t="n">
        <f aca="false">Tau*Beta</f>
        <v>106.014941377343</v>
      </c>
      <c r="R8" s="9" t="n">
        <f aca="false">Tau*Beta</f>
        <v>106.014941377343</v>
      </c>
      <c r="S8" s="13" t="n">
        <f aca="false">Tau</f>
        <v>0.588971896540793</v>
      </c>
      <c r="T8" s="9" t="n">
        <f aca="false">Profit+Utility</f>
        <v>-62.5650359688822</v>
      </c>
      <c r="U8" s="9" t="n">
        <f aca="false">(2*ij*BRIJ)+(2)*jj*BRJJ</f>
        <v>1.51484878584206</v>
      </c>
      <c r="V8" s="9" t="n">
        <f aca="false">2*(ij*BCCIJ)+(2*jj*BCCJJ)+BCS+jj*BCPTJJ+2*(ij*BCPTIJ)+BCPTII+BCk</f>
        <v>90.3748605049115</v>
      </c>
      <c r="W8" s="9" t="n">
        <f aca="false">ij*BUTIJ+BUTII</f>
        <v>26.2949757501873</v>
      </c>
      <c r="X8" s="9" t="n">
        <f aca="false">Revenue-Cost</f>
        <v>-88.8600117190695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customFormat="false" ht="13" hidden="false" customHeight="false" outlineLevel="0" collapsed="false">
      <c r="A9" s="2" t="n">
        <v>0.588971896540793</v>
      </c>
      <c r="B9" s="2" t="n">
        <v>3.5</v>
      </c>
      <c r="C9" s="2" t="n">
        <v>1</v>
      </c>
      <c r="D9" s="2" t="n">
        <v>0</v>
      </c>
      <c r="E9" s="2" t="n">
        <f aca="false">Size-a</f>
        <v>1</v>
      </c>
      <c r="F9" s="12" t="n">
        <f aca="false">(EXP(alpha*(Tau+OldTau+zeta-2*a*psi))*((EXP(alpha*a*psi)-EXP(alpha*b*psi))^2))/((EXP(alpha*a*psi)-EXP(alpha*(2*OldTau+b*psi)))*(alpha^2)*(psi^2))</f>
        <v>0.00422679153655154</v>
      </c>
      <c r="G9" s="12" t="n">
        <f aca="false">(EXP(alpha*(zeta+(2*b-a)*psi))*(-1+EXP(alpha*(-1)*Size*psi))*(EXP(alpha*(2*(Tau+OldTau)+a*psi))-EXP(alpha*(2*(Tau+OldTau)+b*psi))))/(((EXP(alpha*a*psi)-EXP(alpha*(2*OldTau+b*psi)))^2)*(alpha^2)*(psi^2))</f>
        <v>6.10084120998927E-005</v>
      </c>
      <c r="H9" s="9" t="n">
        <f aca="false">-Beta/alpha</f>
        <v>180</v>
      </c>
      <c r="I9" s="9" t="n">
        <f aca="false">(-EXP(alpha*zeta)*Beta*(-1+EXP(alpha*Size*psi)-Size*alpha*psi))/((alpha^3)*(psi^2))</f>
        <v>25.0388962482082</v>
      </c>
      <c r="J9" s="9" t="n">
        <f aca="false">Beta*Theta</f>
        <v>14.4</v>
      </c>
      <c r="K9" s="9" t="n">
        <f aca="false">Beta*Theta</f>
        <v>14.4</v>
      </c>
      <c r="L9" s="9" t="n">
        <f aca="false">kappa</f>
        <v>90</v>
      </c>
      <c r="M9" s="9" t="n">
        <f aca="false">Gamma*Size</f>
        <v>0</v>
      </c>
      <c r="N9" s="9" t="n">
        <f aca="false">Size*Beta*Phi</f>
        <v>3.24</v>
      </c>
      <c r="O9" s="9" t="n">
        <f aca="false">-(EXP(alpha*a*psi)+EXP(alpha*b*psi)*(-1+Size*psi*alpha))*(Beta*Phi)/((alpha*psi)*(EXP(alpha*a*psi)-EXP(alpha*b*psi)))</f>
        <v>1.57951517936842</v>
      </c>
      <c r="P9" s="9" t="n">
        <f aca="false">(EXP(alpha*(zeta-a*psi))*Beta*Phi*(-EXP(alpha*a*psi)*(-2+(-1)*Size*alpha*psi)+EXP(alpha*b*psi)*(-2+Size*alpha*psi)))/((alpha^3)*(psi^3))</f>
        <v>0.146515554131081</v>
      </c>
      <c r="Q9" s="9" t="n">
        <f aca="false">Tau*Beta</f>
        <v>106.014941377343</v>
      </c>
      <c r="R9" s="9" t="n">
        <f aca="false">Tau*Beta</f>
        <v>106.014941377343</v>
      </c>
      <c r="S9" s="13" t="n">
        <f aca="false">Tau</f>
        <v>0.588971896540793</v>
      </c>
      <c r="T9" s="9" t="n">
        <f aca="false">Profit+Utility</f>
        <v>-63.5746939775159</v>
      </c>
      <c r="U9" s="9" t="n">
        <f aca="false">(2*ij*BRIJ)+(2)*jj*BRJJ</f>
        <v>0.909141720388109</v>
      </c>
      <c r="V9" s="9" t="n">
        <f aca="false">2*(ij*BCCIJ)+(2*jj*BCCJJ)+BCS+jj*BCPTJJ+2*(ij*BCPTIJ)+BCPTII+BCk</f>
        <v>90.2835544226915</v>
      </c>
      <c r="W9" s="9" t="n">
        <f aca="false">ij*BUTIJ+BUTII</f>
        <v>25.7997187247874</v>
      </c>
      <c r="X9" s="9" t="n">
        <f aca="false">Revenue-Cost</f>
        <v>-89.3744127023034</v>
      </c>
    </row>
    <row r="10" customFormat="false" ht="13" hidden="false" customHeight="false" outlineLevel="0" collapsed="false">
      <c r="A10" s="2" t="n">
        <v>0.588971896540793</v>
      </c>
      <c r="B10" s="2" t="n">
        <v>4</v>
      </c>
      <c r="C10" s="2" t="n">
        <v>1</v>
      </c>
      <c r="D10" s="2" t="n">
        <v>0</v>
      </c>
      <c r="E10" s="2" t="n">
        <f aca="false">Size-a</f>
        <v>1</v>
      </c>
      <c r="F10" s="10" t="n">
        <f aca="false">(EXP(alpha*(Tau+OldTau+zeta-2*a*psi))*((EXP(alpha*a*psi)-EXP(alpha*b*psi))^2))/((EXP(alpha*a*psi)-EXP(alpha*(2*OldTau+b*psi)))*(alpha^2)*(psi^2))</f>
        <v>0.00256240637716363</v>
      </c>
      <c r="G10" s="10" t="n">
        <f aca="false">(EXP(alpha*(zeta+(2*b-a)*psi))*(-1+EXP(alpha*(-1)*Size*psi))*(EXP(alpha*(2*(Tau+OldTau)+a*psi))-EXP(alpha*(2*(Tau+OldTau)+b*psi))))/(((EXP(alpha*a*psi)-EXP(alpha*(2*OldTau+b*psi)))^2)*(alpha^2)*(psi^2))</f>
        <v>2.24214696770404E-005</v>
      </c>
      <c r="H10" s="7" t="n">
        <f aca="false">-Beta/alpha</f>
        <v>180</v>
      </c>
      <c r="I10" s="7" t="n">
        <f aca="false">(-EXP(alpha*zeta)*Beta*(-1+EXP(alpha*Size*psi)-Size*alpha*psi))/((alpha^3)*(psi^2))</f>
        <v>25.0388962482082</v>
      </c>
      <c r="J10" s="7" t="n">
        <f aca="false">Beta*Theta</f>
        <v>14.4</v>
      </c>
      <c r="K10" s="7" t="n">
        <f aca="false">Beta*Theta</f>
        <v>14.4</v>
      </c>
      <c r="L10" s="7" t="n">
        <f aca="false">kappa</f>
        <v>90</v>
      </c>
      <c r="M10" s="7" t="n">
        <f aca="false">Gamma*Size</f>
        <v>0</v>
      </c>
      <c r="N10" s="7" t="n">
        <f aca="false">Size*Beta*Phi</f>
        <v>3.24</v>
      </c>
      <c r="O10" s="7" t="n">
        <f aca="false">-(EXP(alpha*a*psi)+EXP(alpha*b*psi)*(-1+Size*psi*alpha))*(Beta*Phi)/((alpha*psi)*(EXP(alpha*a*psi)-EXP(alpha*b*psi)))</f>
        <v>1.57951517936842</v>
      </c>
      <c r="P10" s="7" t="n">
        <f aca="false">(EXP(alpha*(zeta-a*psi))*Beta*Phi*(-EXP(alpha*a*psi)*(-2+(-1)*Size*alpha*psi)+EXP(alpha*b*psi)*(-2+Size*alpha*psi)))/((alpha^3)*(psi^3))</f>
        <v>0.146515554131081</v>
      </c>
      <c r="Q10" s="7" t="n">
        <f aca="false">Tau*Beta</f>
        <v>106.014941377343</v>
      </c>
      <c r="R10" s="7" t="n">
        <f aca="false">Tau*Beta</f>
        <v>106.014941377343</v>
      </c>
      <c r="S10" s="11" t="n">
        <f aca="false">Tau</f>
        <v>0.588971896540793</v>
      </c>
      <c r="T10" s="7" t="n">
        <f aca="false">Profit+Utility</f>
        <v>-64.1809358198145</v>
      </c>
      <c r="U10" s="7" t="n">
        <f aca="false">(2*ij*BRIJ)+(2)*jj*BRJJ</f>
        <v>0.548060745306673</v>
      </c>
      <c r="V10" s="9" t="n">
        <f aca="false">2*(ij*BCCIJ)+(2*jj*BCCJJ)+BCS+jj*BCPTJJ+2*(ij*BCPTIJ)+BCPTII+BCk</f>
        <v>90.2291259612187</v>
      </c>
      <c r="W10" s="7" t="n">
        <f aca="false">ij*BUTIJ+BUTII</f>
        <v>25.5001293960976</v>
      </c>
      <c r="X10" s="7" t="n">
        <f aca="false">Revenue-Cost</f>
        <v>-89.6810652159121</v>
      </c>
    </row>
    <row r="11" customFormat="false" ht="13" hidden="false" customHeight="false" outlineLevel="0" collapsed="false">
      <c r="A11" s="2" t="n">
        <v>0.588971896540793</v>
      </c>
      <c r="B11" s="2" t="n">
        <v>4.5</v>
      </c>
      <c r="C11" s="2" t="n">
        <v>1</v>
      </c>
      <c r="D11" s="2" t="n">
        <v>0</v>
      </c>
      <c r="E11" s="2" t="n">
        <f aca="false">Size-a</f>
        <v>1</v>
      </c>
      <c r="F11" s="10" t="n">
        <f aca="false">(EXP(alpha*(Tau+OldTau+zeta-2*a*psi))*((EXP(alpha*a*psi)-EXP(alpha*b*psi))^2))/((EXP(alpha*a*psi)-EXP(alpha*(2*OldTau+b*psi)))*(alpha^2)*(psi^2))</f>
        <v>0.00155389433859052</v>
      </c>
      <c r="G11" s="10" t="n">
        <f aca="false">(EXP(alpha*(zeta+(2*b-a)*psi))*(-1+EXP(alpha*(-1)*Size*psi))*(EXP(alpha*(2*(Tau+OldTau)+a*psi))-EXP(alpha*(2*(Tau+OldTau)+b*psi))))/(((EXP(alpha*a*psi)-EXP(alpha*(2*OldTau+b*psi)))^2)*(alpha^2)*(psi^2))</f>
        <v>8.24538676819499E-006</v>
      </c>
      <c r="H11" s="7" t="n">
        <f aca="false">-Beta/alpha</f>
        <v>180</v>
      </c>
      <c r="I11" s="7" t="n">
        <f aca="false">(-EXP(alpha*zeta)*Beta*(-1+EXP(alpha*Size*psi)-Size*alpha*psi))/((alpha^3)*(psi^2))</f>
        <v>25.0388962482082</v>
      </c>
      <c r="J11" s="7" t="n">
        <f aca="false">Beta*Theta</f>
        <v>14.4</v>
      </c>
      <c r="K11" s="7" t="n">
        <f aca="false">Beta*Theta</f>
        <v>14.4</v>
      </c>
      <c r="L11" s="7" t="n">
        <f aca="false">kappa</f>
        <v>90</v>
      </c>
      <c r="M11" s="7" t="n">
        <f aca="false">Gamma*Size</f>
        <v>0</v>
      </c>
      <c r="N11" s="7" t="n">
        <f aca="false">Size*Beta*Phi</f>
        <v>3.24</v>
      </c>
      <c r="O11" s="7" t="n">
        <f aca="false">-(EXP(alpha*a*psi)+EXP(alpha*b*psi)*(-1+Size*psi*alpha))*(Beta*Phi)/((alpha*psi)*(EXP(alpha*a*psi)-EXP(alpha*b*psi)))</f>
        <v>1.57951517936842</v>
      </c>
      <c r="P11" s="7" t="n">
        <f aca="false">(EXP(alpha*(zeta-a*psi))*Beta*Phi*(-EXP(alpha*a*psi)*(-2+(-1)*Size*alpha*psi)+EXP(alpha*b*psi)*(-2+Size*alpha*psi)))/((alpha^3)*(psi^3))</f>
        <v>0.146515554131081</v>
      </c>
      <c r="Q11" s="7" t="n">
        <f aca="false">Tau*Beta</f>
        <v>106.014941377343</v>
      </c>
      <c r="R11" s="7" t="n">
        <f aca="false">Tau*Beta</f>
        <v>106.014941377343</v>
      </c>
      <c r="S11" s="11" t="n">
        <f aca="false">Tau</f>
        <v>0.588971896540793</v>
      </c>
      <c r="T11" s="7" t="n">
        <f aca="false">Profit+Utility</f>
        <v>-64.5466231606957</v>
      </c>
      <c r="U11" s="11" t="n">
        <f aca="false">(2*ij*BRIJ)+(2)*jj*BRJJ</f>
        <v>0.331220302814244</v>
      </c>
      <c r="V11" s="9" t="n">
        <f aca="false">2*(ij*BCCIJ)+(2*jj*BCCJJ)+BCS+jj*BCPTJJ+2*(ij*BCPTIJ)+BCPTII+BCk</f>
        <v>90.1964406926644</v>
      </c>
      <c r="W11" s="7" t="n">
        <f aca="false">ij*BUTIJ+BUTII</f>
        <v>25.3185972291544</v>
      </c>
      <c r="X11" s="7" t="n">
        <f aca="false">Revenue-Cost</f>
        <v>-89.8652203898502</v>
      </c>
    </row>
    <row r="12" customFormat="false" ht="13" hidden="false" customHeight="false" outlineLevel="0" collapsed="false">
      <c r="A12" s="2" t="n">
        <v>0.589349332866895</v>
      </c>
      <c r="B12" s="2" t="n">
        <v>5</v>
      </c>
      <c r="C12" s="2" t="n">
        <v>1</v>
      </c>
      <c r="D12" s="2" t="n">
        <v>0</v>
      </c>
      <c r="E12" s="2" t="n">
        <f aca="false">Size-a</f>
        <v>1</v>
      </c>
      <c r="F12" s="12" t="n">
        <f aca="false">(EXP(alpha*(Tau+OldTau+zeta-2*a*psi))*((EXP(alpha*a*psi)-EXP(alpha*b*psi))^2))/((EXP(alpha*a*psi)-EXP(alpha*(2*OldTau+b*psi)))*(alpha^2)*(psi^2))</f>
        <v>0.000942065637011927</v>
      </c>
      <c r="G12" s="12" t="n">
        <f aca="false">(EXP(alpha*(zeta+(2*b-a)*psi))*(-1+EXP(alpha*(-1)*Size*psi))*(EXP(alpha*(2*(Tau+OldTau)+a*psi))-EXP(alpha*(2*(Tau+OldTau)+b*psi))))/(((EXP(alpha*a*psi)-EXP(alpha*(2*OldTau+b*psi)))^2)*(alpha^2)*(psi^2))</f>
        <v>3.03061234900463E-006</v>
      </c>
      <c r="H12" s="9" t="n">
        <f aca="false">-Beta/alpha</f>
        <v>180</v>
      </c>
      <c r="I12" s="9" t="n">
        <f aca="false">(-EXP(alpha*zeta)*Beta*(-1+EXP(alpha*Size*psi)-Size*alpha*psi))/((alpha^3)*(psi^2))</f>
        <v>25.0388962482082</v>
      </c>
      <c r="J12" s="9" t="n">
        <f aca="false">Beta*Theta</f>
        <v>14.4</v>
      </c>
      <c r="K12" s="9" t="n">
        <f aca="false">Beta*Theta</f>
        <v>14.4</v>
      </c>
      <c r="L12" s="9" t="n">
        <f aca="false">kappa</f>
        <v>90</v>
      </c>
      <c r="M12" s="9" t="n">
        <f aca="false">Gamma*Size</f>
        <v>0</v>
      </c>
      <c r="N12" s="9" t="n">
        <f aca="false">Size*Beta*Phi</f>
        <v>3.24</v>
      </c>
      <c r="O12" s="9" t="n">
        <f aca="false">-(EXP(alpha*a*psi)+EXP(alpha*b*psi)*(-1+Size*psi*alpha))*(Beta*Phi)/((alpha*psi)*(EXP(alpha*a*psi)-EXP(alpha*b*psi)))</f>
        <v>1.57951517936842</v>
      </c>
      <c r="P12" s="9" t="n">
        <f aca="false">(EXP(alpha*(zeta-a*psi))*Beta*Phi*(-EXP(alpha*a*psi)*(-2+(-1)*Size*alpha*psi)+EXP(alpha*b*psi)*(-2+Size*alpha*psi)))/((alpha^3)*(psi^3))</f>
        <v>0.146515554131081</v>
      </c>
      <c r="Q12" s="9" t="n">
        <f aca="false">Tau*Beta</f>
        <v>106.082879916041</v>
      </c>
      <c r="R12" s="9" t="n">
        <f aca="false">Tau*Beta</f>
        <v>106.082879916041</v>
      </c>
      <c r="S12" s="13" t="n">
        <f aca="false">Tau</f>
        <v>0.589349332866895</v>
      </c>
      <c r="T12" s="9" t="n">
        <f aca="false">Profit+Utility</f>
        <v>-64.7677350325135</v>
      </c>
      <c r="U12" s="13" t="n">
        <f aca="false">(2*ij*BRIJ)+(2)*jj*BRJJ</f>
        <v>0.200517063860113</v>
      </c>
      <c r="V12" s="9" t="n">
        <f aca="false">2*(ij*BCCIJ)+(2*jj*BCCJJ)+BCS+jj*BCPTJJ+2*(ij*BCPTIJ)+BCPTII+BCk</f>
        <v>90.1767201592439</v>
      </c>
      <c r="W12" s="9" t="n">
        <f aca="false">ij*BUTIJ+BUTII</f>
        <v>25.2084680628703</v>
      </c>
      <c r="X12" s="9" t="n">
        <f aca="false">Revenue-Cost</f>
        <v>-89.9762030953838</v>
      </c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  <row r="15" customFormat="false" ht="13" hidden="false" customHeight="false" outlineLevel="0" collapsed="false">
      <c r="F15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660" ySplit="0" topLeftCell="V1" activePane="topLeft" state="split"/>
      <selection pane="topLeft" activeCell="A2" activeCellId="0" sqref="A2"/>
      <selection pane="topRight" activeCell="V1" activeCellId="0" sqref="V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4.71"/>
    <col collapsed="false" customWidth="true" hidden="false" outlineLevel="0" max="2" min="2" style="2" width="5.56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3.99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257" min="10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35</v>
      </c>
      <c r="V1" s="2" t="s">
        <v>36</v>
      </c>
      <c r="W1" s="2" t="s">
        <v>33</v>
      </c>
      <c r="X1" s="2" t="s">
        <v>34</v>
      </c>
    </row>
    <row r="2" customFormat="false" ht="13" hidden="false" customHeight="false" outlineLevel="0" collapsed="false">
      <c r="A2" s="2" t="n">
        <v>1.06954097790985</v>
      </c>
      <c r="B2" s="2" t="n">
        <v>0</v>
      </c>
      <c r="C2" s="2" t="n">
        <v>10</v>
      </c>
      <c r="D2" s="2" t="n">
        <v>0</v>
      </c>
      <c r="E2" s="2" t="n">
        <f aca="false">Size-a</f>
        <v>10</v>
      </c>
      <c r="F2" s="12" t="n">
        <f aca="false">(EXP(alpha*(Tau+OldTau+zeta-2*a*psi))*((EXP(alpha*a*psi)-EXP(alpha*b*psi))^2))/((EXP(alpha*a*psi)-EXP(alpha*(2*OldTau+b*psi)))*(alpha^2)*(psi^2))</f>
        <v>3.46328144084436</v>
      </c>
      <c r="G2" s="12" t="n">
        <f aca="false">(EXP(alpha*(zeta+(2*b-a)*psi))*(-1+EXP(alpha*(-1)*Size*psi))*(EXP(alpha*(2*(Tau+OldTau)+a*psi))-EXP(alpha*(2*(Tau+OldTau)+b*psi))))/(((EXP(alpha*a*psi)-EXP(alpha*(2*OldTau+b*psi)))^2)*(alpha^2)*(psi^2))</f>
        <v>0.341351689369196</v>
      </c>
      <c r="H2" s="9" t="n">
        <f aca="false">-Beta/alpha</f>
        <v>180</v>
      </c>
      <c r="I2" s="9" t="n">
        <f aca="false">(-EXP(alpha*zeta)*Beta*(-1+EXP(alpha*Size*psi)-Size*alpha*psi))/((alpha^3)*(psi^2))</f>
        <v>1690.92462806846</v>
      </c>
      <c r="J2" s="9" t="n">
        <f aca="false">Beta*Theta</f>
        <v>14.4</v>
      </c>
      <c r="K2" s="9" t="n">
        <f aca="false">Beta*Theta</f>
        <v>14.4</v>
      </c>
      <c r="L2" s="9" t="n">
        <f aca="false">kappa</f>
        <v>90</v>
      </c>
      <c r="M2" s="9" t="n">
        <f aca="false">Gamma*Size</f>
        <v>0</v>
      </c>
      <c r="N2" s="9" t="n">
        <f aca="false">Size*Beta*Phi</f>
        <v>32.4</v>
      </c>
      <c r="O2" s="9" t="n">
        <f aca="false">-(EXP(alpha*a*psi)+EXP(alpha*b*psi)*(-1+Size*psi*alpha))*(Beta*Phi)/((alpha*psi)*(EXP(alpha*a*psi)-EXP(alpha*b*psi)))</f>
        <v>12.2941718960407</v>
      </c>
      <c r="P2" s="9" t="n">
        <f aca="false">(EXP(alpha*(zeta-a*psi))*Beta*Phi*(-EXP(alpha*a*psi)*(-2+(-1)*Size*alpha*psi)+EXP(alpha*b*psi)*(-2+Size*alpha*psi)))/((alpha^3)*(psi^3))</f>
        <v>78.836375998096</v>
      </c>
      <c r="Q2" s="9" t="n">
        <f aca="false">Tau*Beta</f>
        <v>192.517376023773</v>
      </c>
      <c r="R2" s="9" t="n">
        <f aca="false">Tau*Beta</f>
        <v>192.517376023773</v>
      </c>
      <c r="S2" s="13" t="n">
        <f aca="false">Tau</f>
        <v>1.06954097790985</v>
      </c>
      <c r="T2" s="9" t="n">
        <f aca="false">Profit+Utility</f>
        <v>3404.60530174407</v>
      </c>
      <c r="U2" s="9" t="n">
        <f aca="false">(2*ij*BRIJ)+(2)*jj*BRJJ</f>
        <v>1464.91597392365</v>
      </c>
      <c r="V2" s="9" t="n">
        <f aca="false">2*(ij*BCCIJ)+(2*jj*BCCJJ)+BCS+jj*BCPTJJ+2*(ij*BCPTIJ)+BCPTII+BCk</f>
        <v>374.625959600024</v>
      </c>
      <c r="W2" s="9" t="n">
        <f aca="false">ij*BUTIJ+BUTII</f>
        <v>2314.31528742044</v>
      </c>
      <c r="X2" s="9" t="n">
        <f aca="false">Revenue-Cost</f>
        <v>1090.29001432363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3" hidden="false" customHeight="false" outlineLevel="0" collapsed="false">
      <c r="A3" s="2" t="n">
        <v>1.10577371588093</v>
      </c>
      <c r="B3" s="2" t="n">
        <v>0.5</v>
      </c>
      <c r="C3" s="2" t="n">
        <v>10</v>
      </c>
      <c r="D3" s="2" t="n">
        <v>0</v>
      </c>
      <c r="E3" s="2" t="n">
        <f aca="false">Size-a</f>
        <v>10</v>
      </c>
      <c r="F3" s="12" t="n">
        <f aca="false">(EXP(alpha*(Tau+OldTau+zeta-2*a*psi))*((EXP(alpha*a*psi)-EXP(alpha*b*psi))^2))/((EXP(alpha*a*psi)-EXP(alpha*(2*OldTau+b*psi)))*(alpha^2)*(psi^2))</f>
        <v>1.71455199619183</v>
      </c>
      <c r="G3" s="12" t="n">
        <f aca="false">(EXP(alpha*(zeta+(2*b-a)*psi))*(-1+EXP(alpha*(-1)*Size*psi))*(EXP(alpha*(2*(Tau+OldTau)+a*psi))-EXP(alpha*(2*(Tau+OldTau)+b*psi))))/(((EXP(alpha*a*psi)-EXP(alpha*(2*OldTau+b*psi)))^2)*(alpha^2)*(psi^2))</f>
        <v>0.0836619158870666</v>
      </c>
      <c r="H3" s="9" t="n">
        <f aca="false">-Beta/alpha</f>
        <v>180</v>
      </c>
      <c r="I3" s="9" t="n">
        <f aca="false">(-EXP(alpha*zeta)*Beta*(-1+EXP(alpha*Size*psi)-Size*alpha*psi))/((alpha^3)*(psi^2))</f>
        <v>1690.92462806846</v>
      </c>
      <c r="J3" s="9" t="n">
        <f aca="false">Beta*Theta</f>
        <v>14.4</v>
      </c>
      <c r="K3" s="9" t="n">
        <f aca="false">Beta*Theta</f>
        <v>14.4</v>
      </c>
      <c r="L3" s="9" t="n">
        <f aca="false">kappa</f>
        <v>90</v>
      </c>
      <c r="M3" s="9" t="n">
        <f aca="false">Gamma*Size</f>
        <v>0</v>
      </c>
      <c r="N3" s="9" t="n">
        <f aca="false">Size*Beta*Phi</f>
        <v>32.4</v>
      </c>
      <c r="O3" s="9" t="n">
        <f aca="false">-(EXP(alpha*a*psi)+EXP(alpha*b*psi)*(-1+Size*psi*alpha))*(Beta*Phi)/((alpha*psi)*(EXP(alpha*a*psi)-EXP(alpha*b*psi)))</f>
        <v>12.2941718960407</v>
      </c>
      <c r="P3" s="9" t="n">
        <f aca="false">(EXP(alpha*(zeta-a*psi))*Beta*Phi*(-EXP(alpha*a*psi)*(-2+(-1)*Size*alpha*psi)+EXP(alpha*b*psi)*(-2+Size*alpha*psi)))/((alpha^3)*(psi^3))</f>
        <v>78.836375998096</v>
      </c>
      <c r="Q3" s="9" t="n">
        <f aca="false">Tau*Beta</f>
        <v>199.039268858568</v>
      </c>
      <c r="R3" s="9" t="n">
        <f aca="false">Tau*Beta</f>
        <v>199.039268858568</v>
      </c>
      <c r="S3" s="13" t="n">
        <f aca="false">Tau</f>
        <v>1.10577371588093</v>
      </c>
      <c r="T3" s="9" t="n">
        <f aca="false">Profit+Utility</f>
        <v>2449.88077533349</v>
      </c>
      <c r="U3" s="9" t="n">
        <f aca="false">(2*ij*BRIJ)+(2)*jj*BRJJ</f>
        <v>715.830364622978</v>
      </c>
      <c r="V3" s="9" t="n">
        <f aca="false">2*(ij*BCCIJ)+(2*jj*BCCJJ)+BCS+jj*BCPTJJ+2*(ij*BCPTIJ)+BCPTII+BCk</f>
        <v>265.493576672473</v>
      </c>
      <c r="W3" s="9" t="n">
        <f aca="false">ij*BUTIJ+BUTII</f>
        <v>1999.54398738299</v>
      </c>
      <c r="X3" s="9" t="n">
        <f aca="false">Revenue-Cost</f>
        <v>450.336787950504</v>
      </c>
    </row>
    <row r="4" customFormat="false" ht="13" hidden="false" customHeight="false" outlineLevel="0" collapsed="false">
      <c r="A4" s="2" t="n">
        <v>1.12334493824018</v>
      </c>
      <c r="B4" s="2" t="n">
        <v>1</v>
      </c>
      <c r="C4" s="2" t="n">
        <v>10</v>
      </c>
      <c r="D4" s="2" t="n">
        <v>0</v>
      </c>
      <c r="E4" s="2" t="n">
        <f aca="false">Size-a</f>
        <v>10</v>
      </c>
      <c r="F4" s="12" t="n">
        <f aca="false">(EXP(alpha*(Tau+OldTau+zeta-2*a*psi))*((EXP(alpha*a*psi)-EXP(alpha*b*psi))^2))/((EXP(alpha*a*psi)-EXP(alpha*(2*OldTau+b*psi)))*(alpha^2)*(psi^2))</f>
        <v>0.967144687043924</v>
      </c>
      <c r="G4" s="12" t="n">
        <f aca="false">(EXP(alpha*(zeta+(2*b-a)*psi))*(-1+EXP(alpha*(-1)*Size*psi))*(EXP(alpha*(2*(Tau+OldTau)+a*psi))-EXP(alpha*(2*(Tau+OldTau)+b*psi))))/(((EXP(alpha*a*psi)-EXP(alpha*(2*OldTau+b*psi)))^2)*(alpha^2)*(psi^2))</f>
        <v>0.0266200818291161</v>
      </c>
      <c r="H4" s="9" t="n">
        <f aca="false">-Beta/alpha</f>
        <v>180</v>
      </c>
      <c r="I4" s="9" t="n">
        <f aca="false">(-EXP(alpha*zeta)*Beta*(-1+EXP(alpha*Size*psi)-Size*alpha*psi))/((alpha^3)*(psi^2))</f>
        <v>1690.92462806846</v>
      </c>
      <c r="J4" s="9" t="n">
        <f aca="false">Beta*Theta</f>
        <v>14.4</v>
      </c>
      <c r="K4" s="9" t="n">
        <f aca="false">Beta*Theta</f>
        <v>14.4</v>
      </c>
      <c r="L4" s="9" t="n">
        <f aca="false">kappa</f>
        <v>90</v>
      </c>
      <c r="M4" s="9" t="n">
        <f aca="false">Gamma*Size</f>
        <v>0</v>
      </c>
      <c r="N4" s="9" t="n">
        <f aca="false">Size*Beta*Phi</f>
        <v>32.4</v>
      </c>
      <c r="O4" s="9" t="n">
        <f aca="false">-(EXP(alpha*a*psi)+EXP(alpha*b*psi)*(-1+Size*psi*alpha))*(Beta*Phi)/((alpha*psi)*(EXP(alpha*a*psi)-EXP(alpha*b*psi)))</f>
        <v>12.2941718960407</v>
      </c>
      <c r="P4" s="9" t="n">
        <f aca="false">(EXP(alpha*(zeta-a*psi))*Beta*Phi*(-EXP(alpha*a*psi)*(-2+(-1)*Size*alpha*psi)+EXP(alpha*b*psi)*(-2+Size*alpha*psi)))/((alpha^3)*(psi^3))</f>
        <v>78.836375998096</v>
      </c>
      <c r="Q4" s="9" t="n">
        <f aca="false">Tau*Beta</f>
        <v>202.202088883233</v>
      </c>
      <c r="R4" s="9" t="n">
        <f aca="false">Tau*Beta</f>
        <v>202.202088883233</v>
      </c>
      <c r="S4" s="13" t="n">
        <f aca="false">Tau</f>
        <v>1.12334493824018</v>
      </c>
      <c r="T4" s="9" t="n">
        <f aca="false">Profit+Utility</f>
        <v>2044.79351793112</v>
      </c>
      <c r="U4" s="13" t="n">
        <f aca="false">(2*ij*BRIJ)+(2)*jj*BRJJ</f>
        <v>401.882624249384</v>
      </c>
      <c r="V4" s="9" t="n">
        <f aca="false">2*(ij*BCCIJ)+(2*jj*BCCJJ)+BCS+jj*BCPTJJ+2*(ij*BCPTIJ)+BCPTII+BCk</f>
        <v>222.099778054624</v>
      </c>
      <c r="W4" s="9" t="n">
        <f aca="false">ij*BUTIJ+BUTII</f>
        <v>1865.01067173636</v>
      </c>
      <c r="X4" s="9" t="n">
        <f aca="false">Revenue-Cost</f>
        <v>179.78284619476</v>
      </c>
    </row>
    <row r="5" customFormat="false" ht="13" hidden="false" customHeight="false" outlineLevel="0" collapsed="false">
      <c r="A5" s="2" t="n">
        <v>1.13328124530176</v>
      </c>
      <c r="B5" s="2" t="n">
        <v>1.5</v>
      </c>
      <c r="C5" s="2" t="n">
        <v>10</v>
      </c>
      <c r="D5" s="2" t="n">
        <v>0</v>
      </c>
      <c r="E5" s="2" t="n">
        <f aca="false">Size-a</f>
        <v>10</v>
      </c>
      <c r="F5" s="10" t="n">
        <f aca="false">(EXP(alpha*(Tau+OldTau+zeta-2*a*psi))*((EXP(alpha*a*psi)-EXP(alpha*b*psi))^2))/((EXP(alpha*a*psi)-EXP(alpha*(2*OldTau+b*psi)))*(alpha^2)*(psi^2))</f>
        <v>0.569591961731516</v>
      </c>
      <c r="G5" s="10" t="n">
        <f aca="false">(EXP(alpha*(zeta+(2*b-a)*psi))*(-1+EXP(alpha*(-1)*Size*psi))*(EXP(alpha*(2*(Tau+OldTau)+a*psi))-EXP(alpha*(2*(Tau+OldTau)+b*psi))))/(((EXP(alpha*a*psi)-EXP(alpha*(2*OldTau+b*psi)))^2)*(alpha^2)*(psi^2))</f>
        <v>0.00923324137266178</v>
      </c>
      <c r="H5" s="7" t="n">
        <f aca="false">-Beta/alpha</f>
        <v>180</v>
      </c>
      <c r="I5" s="7" t="n">
        <f aca="false">(-EXP(alpha*zeta)*Beta*(-1+EXP(alpha*Size*psi)-Size*alpha*psi))/((alpha^3)*(psi^2))</f>
        <v>1690.92462806846</v>
      </c>
      <c r="J5" s="7" t="n">
        <f aca="false">Beta*Theta</f>
        <v>14.4</v>
      </c>
      <c r="K5" s="7" t="n">
        <f aca="false">Beta*Theta</f>
        <v>14.4</v>
      </c>
      <c r="L5" s="7" t="n">
        <f aca="false">kappa</f>
        <v>90</v>
      </c>
      <c r="M5" s="7" t="n">
        <f aca="false">Gamma*Size</f>
        <v>0</v>
      </c>
      <c r="N5" s="7" t="n">
        <f aca="false">Size*Beta*Phi</f>
        <v>32.4</v>
      </c>
      <c r="O5" s="7" t="n">
        <f aca="false">-(EXP(alpha*a*psi)+EXP(alpha*b*psi)*(-1+Size*psi*alpha))*(Beta*Phi)/((alpha*psi)*(EXP(alpha*a*psi)-EXP(alpha*b*psi)))</f>
        <v>12.2941718960407</v>
      </c>
      <c r="P5" s="7" t="n">
        <f aca="false">(EXP(alpha*(zeta-a*psi))*Beta*Phi*(-EXP(alpha*a*psi)*(-2+(-1)*Size*alpha*psi)+EXP(alpha*b*psi)*(-2+Size*alpha*psi)))/((alpha^3)*(psi^3))</f>
        <v>78.836375998096</v>
      </c>
      <c r="Q5" s="7" t="n">
        <f aca="false">Tau*Beta</f>
        <v>203.990624154317</v>
      </c>
      <c r="R5" s="7" t="n">
        <f aca="false">Tau*Beta</f>
        <v>203.990624154317</v>
      </c>
      <c r="S5" s="11" t="n">
        <f aca="false">Tau</f>
        <v>1.13328124530176</v>
      </c>
      <c r="T5" s="7" t="n">
        <f aca="false">Profit+Utility</f>
        <v>1829.78998825084</v>
      </c>
      <c r="U5" s="7" t="n">
        <f aca="false">(2*ij*BRIJ)+(2)*jj*BRJJ</f>
        <v>236.149828914941</v>
      </c>
      <c r="V5" s="9" t="n">
        <f aca="false">2*(ij*BCCIJ)+(2*jj*BCCJJ)+BCS+jj*BCPTJJ+2*(ij*BCPTIJ)+BCPTII+BCk</f>
        <v>199.811021844231</v>
      </c>
      <c r="W5" s="7" t="n">
        <f aca="false">ij*BUTIJ+BUTII</f>
        <v>1793.45118118013</v>
      </c>
      <c r="X5" s="7" t="n">
        <f aca="false">Revenue-Cost</f>
        <v>36.3388070707095</v>
      </c>
    </row>
    <row r="6" customFormat="false" ht="13" hidden="false" customHeight="false" outlineLevel="0" collapsed="false">
      <c r="A6" s="2" t="n">
        <v>1.13919387091577</v>
      </c>
      <c r="B6" s="2" t="n">
        <v>2</v>
      </c>
      <c r="C6" s="2" t="n">
        <v>10</v>
      </c>
      <c r="D6" s="2" t="n">
        <v>0</v>
      </c>
      <c r="E6" s="2" t="n">
        <f aca="false">Size-a</f>
        <v>10</v>
      </c>
      <c r="F6" s="10" t="n">
        <f aca="false">(EXP(alpha*(Tau+OldTau+zeta-2*a*psi))*((EXP(alpha*a*psi)-EXP(alpha*b*psi))^2))/((EXP(alpha*a*psi)-EXP(alpha*(2*OldTau+b*psi)))*(alpha^2)*(psi^2))</f>
        <v>0.341016752996274</v>
      </c>
      <c r="G6" s="10" t="n">
        <f aca="false">(EXP(alpha*(zeta+(2*b-a)*psi))*(-1+EXP(alpha*(-1)*Size*psi))*(EXP(alpha*(2*(Tau+OldTau)+a*psi))-EXP(alpha*(2*(Tau+OldTau)+b*psi))))/(((EXP(alpha*a*psi)-EXP(alpha*(2*OldTau+b*psi)))^2)*(alpha^2)*(psi^2))</f>
        <v>0.00330961834558747</v>
      </c>
      <c r="H6" s="7" t="n">
        <f aca="false">-Beta/alpha</f>
        <v>180</v>
      </c>
      <c r="I6" s="7" t="n">
        <f aca="false">(-EXP(alpha*zeta)*Beta*(-1+EXP(alpha*Size*psi)-Size*alpha*psi))/((alpha^3)*(psi^2))</f>
        <v>1690.92462806846</v>
      </c>
      <c r="J6" s="7" t="n">
        <f aca="false">Beta*Theta</f>
        <v>14.4</v>
      </c>
      <c r="K6" s="7" t="n">
        <f aca="false">Beta*Theta</f>
        <v>14.4</v>
      </c>
      <c r="L6" s="7" t="n">
        <f aca="false">kappa</f>
        <v>90</v>
      </c>
      <c r="M6" s="7" t="n">
        <f aca="false">Gamma*Size</f>
        <v>0</v>
      </c>
      <c r="N6" s="7" t="n">
        <f aca="false">Size*Beta*Phi</f>
        <v>32.4</v>
      </c>
      <c r="O6" s="7" t="n">
        <f aca="false">-(EXP(alpha*a*psi)+EXP(alpha*b*psi)*(-1+Size*psi*alpha))*(Beta*Phi)/((alpha*psi)*(EXP(alpha*a*psi)-EXP(alpha*b*psi)))</f>
        <v>12.2941718960407</v>
      </c>
      <c r="P6" s="7" t="n">
        <f aca="false">(EXP(alpha*(zeta-a*psi))*Beta*Phi*(-EXP(alpha*a*psi)*(-2+(-1)*Size*alpha*psi)+EXP(alpha*b*psi)*(-2+Size*alpha*psi)))/((alpha^3)*(psi^3))</f>
        <v>78.836375998096</v>
      </c>
      <c r="Q6" s="7" t="n">
        <f aca="false">Tau*Beta</f>
        <v>205.054896764839</v>
      </c>
      <c r="R6" s="7" t="n">
        <f aca="false">Tau*Beta</f>
        <v>205.054896764839</v>
      </c>
      <c r="S6" s="11" t="n">
        <f aca="false">Tau</f>
        <v>1.13919387091577</v>
      </c>
      <c r="T6" s="7" t="n">
        <f aca="false">Profit+Utility</f>
        <v>1706.27401637695</v>
      </c>
      <c r="U6" s="7" t="n">
        <f aca="false">(2*ij*BRIJ)+(2)*jj*BRJJ</f>
        <v>141.211617057834</v>
      </c>
      <c r="V6" s="9" t="n">
        <f aca="false">2*(ij*BCCIJ)+(2*jj*BCCJJ)+BCS+jj*BCPTJJ+2*(ij*BCPTIJ)+BCPTII+BCk</f>
        <v>187.24524428867</v>
      </c>
      <c r="W6" s="7" t="n">
        <f aca="false">ij*BUTIJ+BUTII</f>
        <v>1752.30764360779</v>
      </c>
      <c r="X6" s="7" t="n">
        <f aca="false">Revenue-Cost</f>
        <v>-46.0336272308364</v>
      </c>
    </row>
    <row r="7" customFormat="false" ht="13" hidden="false" customHeight="false" outlineLevel="0" collapsed="false">
      <c r="A7" s="2" t="n">
        <v>1.14276953203344</v>
      </c>
      <c r="B7" s="2" t="n">
        <v>2.5</v>
      </c>
      <c r="C7" s="2" t="n">
        <v>10</v>
      </c>
      <c r="D7" s="2" t="n">
        <v>0</v>
      </c>
      <c r="E7" s="2" t="n">
        <f aca="false">Size-a</f>
        <v>10</v>
      </c>
      <c r="F7" s="10" t="n">
        <f aca="false">(EXP(alpha*(Tau+OldTau+zeta-2*a*psi))*((EXP(alpha*a*psi)-EXP(alpha*b*psi))^2))/((EXP(alpha*a*psi)-EXP(alpha*(2*OldTau+b*psi)))*(alpha^2)*(psi^2))</f>
        <v>0.205565633908891</v>
      </c>
      <c r="G7" s="10" t="n">
        <f aca="false">(EXP(alpha*(zeta+(2*b-a)*psi))*(-1+EXP(alpha*(-1)*Size*psi))*(EXP(alpha*(2*(Tau+OldTau)+a*psi))-EXP(alpha*(2*(Tau+OldTau)+b*psi))))/(((EXP(alpha*a*psi)-EXP(alpha*(2*OldTau+b*psi)))^2)*(alpha^2)*(psi^2))</f>
        <v>0.00120261747173567</v>
      </c>
      <c r="H7" s="7" t="n">
        <f aca="false">-Beta/alpha</f>
        <v>180</v>
      </c>
      <c r="I7" s="7" t="n">
        <f aca="false">(-EXP(alpha*zeta)*Beta*(-1+EXP(alpha*Size*psi)-Size*alpha*psi))/((alpha^3)*(psi^2))</f>
        <v>1690.92462806846</v>
      </c>
      <c r="J7" s="7" t="n">
        <f aca="false">Beta*Theta</f>
        <v>14.4</v>
      </c>
      <c r="K7" s="7" t="n">
        <f aca="false">Beta*Theta</f>
        <v>14.4</v>
      </c>
      <c r="L7" s="7" t="n">
        <f aca="false">kappa</f>
        <v>90</v>
      </c>
      <c r="M7" s="7" t="n">
        <f aca="false">Gamma*Size</f>
        <v>0</v>
      </c>
      <c r="N7" s="7" t="n">
        <f aca="false">Size*Beta*Phi</f>
        <v>32.4</v>
      </c>
      <c r="O7" s="7" t="n">
        <f aca="false">-(EXP(alpha*a*psi)+EXP(alpha*b*psi)*(-1+Size*psi*alpha))*(Beta*Phi)/((alpha*psi)*(EXP(alpha*a*psi)-EXP(alpha*b*psi)))</f>
        <v>12.2941718960407</v>
      </c>
      <c r="P7" s="7" t="n">
        <f aca="false">(EXP(alpha*(zeta-a*psi))*Beta*Phi*(-EXP(alpha*a*psi)*(-2+(-1)*Size*alpha*psi)+EXP(alpha*b*psi)*(-2+Size*alpha*psi)))/((alpha^3)*(psi^3))</f>
        <v>78.836375998096</v>
      </c>
      <c r="Q7" s="7" t="n">
        <f aca="false">Tau*Beta</f>
        <v>205.69851576602</v>
      </c>
      <c r="R7" s="7" t="n">
        <f aca="false">Tau*Beta</f>
        <v>205.69851576602</v>
      </c>
      <c r="S7" s="11" t="n">
        <f aca="false">Tau</f>
        <v>1.14276953203344</v>
      </c>
      <c r="T7" s="7" t="n">
        <f aca="false">Profit+Utility</f>
        <v>1633.10550208279</v>
      </c>
      <c r="U7" s="7" t="n">
        <f aca="false">(2*ij*BRIJ)+(2)*jj*BRJJ</f>
        <v>85.0638448330603</v>
      </c>
      <c r="V7" s="9" t="n">
        <f aca="false">2*(ij*BCCIJ)+(2*jj*BCCJJ)+BCS+jj*BCPTJJ+2*(ij*BCPTIJ)+BCPTII+BCk</f>
        <v>179.884784922331</v>
      </c>
      <c r="W7" s="7" t="n">
        <f aca="false">ij*BUTIJ+BUTII</f>
        <v>1727.92644217206</v>
      </c>
      <c r="X7" s="7" t="n">
        <f aca="false">Revenue-Cost</f>
        <v>-94.8209400892709</v>
      </c>
    </row>
    <row r="8" customFormat="false" ht="13" hidden="false" customHeight="false" outlineLevel="0" collapsed="false">
      <c r="A8" s="2" t="n">
        <v>1.14494121549499</v>
      </c>
      <c r="B8" s="2" t="n">
        <v>3</v>
      </c>
      <c r="C8" s="2" t="n">
        <v>10</v>
      </c>
      <c r="D8" s="2" t="n">
        <v>0</v>
      </c>
      <c r="E8" s="2" t="n">
        <f aca="false">Size-a</f>
        <v>10</v>
      </c>
      <c r="F8" s="10" t="n">
        <f aca="false">(EXP(alpha*(Tau+OldTau+zeta-2*a*psi))*((EXP(alpha*a*psi)-EXP(alpha*b*psi))^2))/((EXP(alpha*a*psi)-EXP(alpha*(2*OldTau+b*psi)))*(alpha^2)*(psi^2))</f>
        <v>0.124293083428085</v>
      </c>
      <c r="G8" s="10" t="n">
        <f aca="false">(EXP(alpha*(zeta+(2*b-a)*psi))*(-1+EXP(alpha*(-1)*Size*psi))*(EXP(alpha*(2*(Tau+OldTau)+a*psi))-EXP(alpha*(2*(Tau+OldTau)+b*psi))))/(((EXP(alpha*a*psi)-EXP(alpha*(2*OldTau+b*psi)))^2)*(alpha^2)*(psi^2))</f>
        <v>0.000439663496506174</v>
      </c>
      <c r="H8" s="7" t="n">
        <f aca="false">-Beta/alpha</f>
        <v>180</v>
      </c>
      <c r="I8" s="7" t="n">
        <f aca="false">(-EXP(alpha*zeta)*Beta*(-1+EXP(alpha*Size*psi)-Size*alpha*psi))/((alpha^3)*(psi^2))</f>
        <v>1690.92462806846</v>
      </c>
      <c r="J8" s="7" t="n">
        <f aca="false">Beta*Theta</f>
        <v>14.4</v>
      </c>
      <c r="K8" s="7" t="n">
        <f aca="false">Beta*Theta</f>
        <v>14.4</v>
      </c>
      <c r="L8" s="7" t="n">
        <f aca="false">kappa</f>
        <v>90</v>
      </c>
      <c r="M8" s="7" t="n">
        <f aca="false">Gamma*Size</f>
        <v>0</v>
      </c>
      <c r="N8" s="7" t="n">
        <f aca="false">Size*Beta*Phi</f>
        <v>32.4</v>
      </c>
      <c r="O8" s="7" t="n">
        <f aca="false">-(EXP(alpha*a*psi)+EXP(alpha*b*psi)*(-1+Size*psi*alpha))*(Beta*Phi)/((alpha*psi)*(EXP(alpha*a*psi)-EXP(alpha*b*psi)))</f>
        <v>12.2941718960407</v>
      </c>
      <c r="P8" s="7" t="n">
        <f aca="false">(EXP(alpha*(zeta-a*psi))*Beta*Phi*(-EXP(alpha*a*psi)*(-2+(-1)*Size*alpha*psi)+EXP(alpha*b*psi)*(-2+Size*alpha*psi)))/((alpha^3)*(psi^3))</f>
        <v>78.836375998096</v>
      </c>
      <c r="Q8" s="7" t="n">
        <f aca="false">Tau*Beta</f>
        <v>206.089418789099</v>
      </c>
      <c r="R8" s="7" t="n">
        <f aca="false">Tau*Beta</f>
        <v>206.089418789099</v>
      </c>
      <c r="S8" s="11" t="n">
        <f aca="false">Tau</f>
        <v>1.14494121549499</v>
      </c>
      <c r="T8" s="7" t="n">
        <f aca="false">Profit+Utility</f>
        <v>1589.21049644771</v>
      </c>
      <c r="U8" s="7" t="n">
        <f aca="false">(2*ij*BRIJ)+(2)*jj*BRJJ</f>
        <v>51.4121986353135</v>
      </c>
      <c r="V8" s="9" t="n">
        <f aca="false">2*(ij*BCCIJ)+(2*jj*BCCJJ)+BCS+jj*BCPTJJ+2*(ij*BCPTIJ)+BCPTII+BCk</f>
        <v>175.499085273119</v>
      </c>
      <c r="W8" s="7" t="n">
        <f aca="false">ij*BUTIJ+BUTII</f>
        <v>1713.29738308551</v>
      </c>
      <c r="X8" s="7" t="n">
        <f aca="false">Revenue-Cost</f>
        <v>-124.086886637805</v>
      </c>
    </row>
    <row r="9" customFormat="false" ht="13" hidden="false" customHeight="false" outlineLevel="0" collapsed="false">
      <c r="A9" s="2" t="n">
        <v>1.14626100909033</v>
      </c>
      <c r="B9" s="2" t="n">
        <v>3.5</v>
      </c>
      <c r="C9" s="2" t="n">
        <v>10</v>
      </c>
      <c r="D9" s="2" t="n">
        <v>0</v>
      </c>
      <c r="E9" s="2" t="n">
        <f aca="false">Size-a</f>
        <v>10</v>
      </c>
      <c r="F9" s="10" t="n">
        <f aca="false">(EXP(alpha*(Tau+OldTau+zeta-2*a*psi))*((EXP(alpha*a*psi)-EXP(alpha*b*psi))^2))/((EXP(alpha*a*psi)-EXP(alpha*(2*OldTau+b*psi)))*(alpha^2)*(psi^2))</f>
        <v>0.0752618081973241</v>
      </c>
      <c r="G9" s="10" t="n">
        <f aca="false">(EXP(alpha*(zeta+(2*b-a)*psi))*(-1+EXP(alpha*(-1)*Size*psi))*(EXP(alpha*(2*(Tau+OldTau)+a*psi))-EXP(alpha*(2*(Tau+OldTau)+b*psi))))/(((EXP(alpha*a*psi)-EXP(alpha*(2*OldTau+b*psi)))^2)*(alpha^2)*(psi^2))</f>
        <v>0.000161203988101054</v>
      </c>
      <c r="H9" s="7" t="n">
        <f aca="false">-Beta/alpha</f>
        <v>180</v>
      </c>
      <c r="I9" s="7" t="n">
        <f aca="false">(-EXP(alpha*zeta)*Beta*(-1+EXP(alpha*Size*psi)-Size*alpha*psi))/((alpha^3)*(psi^2))</f>
        <v>1690.92462806846</v>
      </c>
      <c r="J9" s="7" t="n">
        <f aca="false">Beta*Theta</f>
        <v>14.4</v>
      </c>
      <c r="K9" s="7" t="n">
        <f aca="false">Beta*Theta</f>
        <v>14.4</v>
      </c>
      <c r="L9" s="7" t="n">
        <f aca="false">kappa</f>
        <v>90</v>
      </c>
      <c r="M9" s="7" t="n">
        <f aca="false">Gamma*Size</f>
        <v>0</v>
      </c>
      <c r="N9" s="7" t="n">
        <f aca="false">Size*Beta*Phi</f>
        <v>32.4</v>
      </c>
      <c r="O9" s="7" t="n">
        <f aca="false">-(EXP(alpha*a*psi)+EXP(alpha*b*psi)*(-1+Size*psi*alpha))*(Beta*Phi)/((alpha*psi)*(EXP(alpha*a*psi)-EXP(alpha*b*psi)))</f>
        <v>12.2941718960407</v>
      </c>
      <c r="P9" s="7" t="n">
        <f aca="false">(EXP(alpha*(zeta-a*psi))*Beta*Phi*(-EXP(alpha*a*psi)*(-2+(-1)*Size*alpha*psi)+EXP(alpha*b*psi)*(-2+Size*alpha*psi)))/((alpha^3)*(psi^3))</f>
        <v>78.836375998096</v>
      </c>
      <c r="Q9" s="7" t="n">
        <f aca="false">Tau*Beta</f>
        <v>206.32698163626</v>
      </c>
      <c r="R9" s="7" t="n">
        <f aca="false">Tau*Beta</f>
        <v>206.32698163626</v>
      </c>
      <c r="S9" s="11" t="n">
        <f aca="false">Tau</f>
        <v>1.14626100909033</v>
      </c>
      <c r="T9" s="7" t="n">
        <f aca="false">Profit+Utility</f>
        <v>1562.73101347162</v>
      </c>
      <c r="U9" s="7" t="n">
        <f aca="false">(2*ij*BRIJ)+(2)*jj*BRJJ</f>
        <v>31.1236049002672</v>
      </c>
      <c r="V9" s="9" t="n">
        <f aca="false">2*(ij*BCCIJ)+(2*jj*BCCJJ)+BCS+jj*BCPTJJ+2*(ij*BCPTIJ)+BCPTII+BCk</f>
        <v>172.86434497262</v>
      </c>
      <c r="W9" s="7" t="n">
        <f aca="false">ij*BUTIJ+BUTII</f>
        <v>1704.47175354398</v>
      </c>
      <c r="X9" s="7" t="n">
        <f aca="false">Revenue-Cost</f>
        <v>-141.740740072353</v>
      </c>
    </row>
    <row r="10" customFormat="false" ht="13" hidden="false" customHeight="false" outlineLevel="0" collapsed="false">
      <c r="A10" s="2" t="n">
        <v>1.14706329015564</v>
      </c>
      <c r="B10" s="2" t="n">
        <v>4</v>
      </c>
      <c r="C10" s="2" t="n">
        <v>10</v>
      </c>
      <c r="D10" s="2" t="n">
        <v>0</v>
      </c>
      <c r="E10" s="2" t="n">
        <f aca="false">Size-a</f>
        <v>10</v>
      </c>
      <c r="F10" s="10" t="n">
        <f aca="false">(EXP(alpha*(Tau+OldTau+zeta-2*a*psi))*((EXP(alpha*a*psi)-EXP(alpha*b*psi))^2))/((EXP(alpha*a*psi)-EXP(alpha*(2*OldTau+b*psi)))*(alpha^2)*(psi^2))</f>
        <v>0.0456061189664537</v>
      </c>
      <c r="G10" s="10" t="n">
        <f aca="false">(EXP(alpha*(zeta+(2*b-a)*psi))*(-1+EXP(alpha*(-1)*Size*psi))*(EXP(alpha*(2*(Tau+OldTau)+a*psi))-EXP(alpha*(2*(Tau+OldTau)+b*psi))))/(((EXP(alpha*a*psi)-EXP(alpha*(2*OldTau+b*psi)))^2)*(alpha^2)*(psi^2))</f>
        <v>5.91933224358794E-005</v>
      </c>
      <c r="H10" s="7" t="n">
        <f aca="false">-Beta/alpha</f>
        <v>180</v>
      </c>
      <c r="I10" s="7" t="n">
        <f aca="false">(-EXP(alpha*zeta)*Beta*(-1+EXP(alpha*Size*psi)-Size*alpha*psi))/((alpha^3)*(psi^2))</f>
        <v>1690.92462806846</v>
      </c>
      <c r="J10" s="7" t="n">
        <f aca="false">Beta*Theta</f>
        <v>14.4</v>
      </c>
      <c r="K10" s="7" t="n">
        <f aca="false">Beta*Theta</f>
        <v>14.4</v>
      </c>
      <c r="L10" s="7" t="n">
        <f aca="false">kappa</f>
        <v>90</v>
      </c>
      <c r="M10" s="7" t="n">
        <f aca="false">Gamma*Size</f>
        <v>0</v>
      </c>
      <c r="N10" s="7" t="n">
        <f aca="false">Size*Beta*Phi</f>
        <v>32.4</v>
      </c>
      <c r="O10" s="7" t="n">
        <f aca="false">-(EXP(alpha*a*psi)+EXP(alpha*b*psi)*(-1+Size*psi*alpha))*(Beta*Phi)/((alpha*psi)*(EXP(alpha*a*psi)-EXP(alpha*b*psi)))</f>
        <v>12.2941718960407</v>
      </c>
      <c r="P10" s="7" t="n">
        <f aca="false">(EXP(alpha*(zeta-a*psi))*Beta*Phi*(-EXP(alpha*a*psi)*(-2+(-1)*Size*alpha*psi)+EXP(alpha*b*psi)*(-2+Size*alpha*psi)))/((alpha^3)*(psi^3))</f>
        <v>78.836375998096</v>
      </c>
      <c r="Q10" s="7" t="n">
        <f aca="false">Tau*Beta</f>
        <v>206.471392228014</v>
      </c>
      <c r="R10" s="7" t="n">
        <f aca="false">Tau*Beta</f>
        <v>206.471392228014</v>
      </c>
      <c r="S10" s="11" t="n">
        <f aca="false">Tau</f>
        <v>1.14706329015564</v>
      </c>
      <c r="T10" s="7" t="n">
        <f aca="false">Profit+Utility</f>
        <v>1546.71605690422</v>
      </c>
      <c r="U10" s="7" t="n">
        <f aca="false">(2*ij*BRIJ)+(2)*jj*BRJJ</f>
        <v>18.8571612096282</v>
      </c>
      <c r="V10" s="9" t="n">
        <f aca="false">2*(ij*BCCIJ)+(2*jj*BCCJJ)+BCS+jj*BCPTJJ+2*(ij*BCPTIJ)+BCPTII+BCk</f>
        <v>171.274833787833</v>
      </c>
      <c r="W10" s="7" t="n">
        <f aca="false">ij*BUTIJ+BUTII</f>
        <v>1699.13372948242</v>
      </c>
      <c r="X10" s="7" t="n">
        <f aca="false">Revenue-Cost</f>
        <v>-152.417672578204</v>
      </c>
    </row>
    <row r="11" customFormat="false" ht="13" hidden="false" customHeight="false" outlineLevel="0" collapsed="false">
      <c r="A11" s="2" t="n">
        <v>1.14755026022571</v>
      </c>
      <c r="B11" s="2" t="n">
        <v>4.5</v>
      </c>
      <c r="C11" s="2" t="n">
        <v>10</v>
      </c>
      <c r="D11" s="2" t="n">
        <v>0</v>
      </c>
      <c r="E11" s="2" t="n">
        <f aca="false">Size-a</f>
        <v>10</v>
      </c>
      <c r="F11" s="10" t="n">
        <f aca="false">(EXP(alpha*(Tau+OldTau+zeta-2*a*psi))*((EXP(alpha*a*psi)-EXP(alpha*b*psi))^2))/((EXP(alpha*a*psi)-EXP(alpha*(2*OldTau+b*psi)))*(alpha^2)*(psi^2))</f>
        <v>0.0276467341620946</v>
      </c>
      <c r="G11" s="10" t="n">
        <f aca="false">(EXP(alpha*(zeta+(2*b-a)*psi))*(-1+EXP(alpha*(-1)*Size*psi))*(EXP(alpha*(2*(Tau+OldTau)+a*psi))-EXP(alpha*(2*(Tau+OldTau)+b*psi))))/(((EXP(alpha*a*psi)-EXP(alpha*(2*OldTau+b*psi)))^2)*(alpha^2)*(psi^2))</f>
        <v>2.17527494946146E-005</v>
      </c>
      <c r="H11" s="7" t="n">
        <f aca="false">-Beta/alpha</f>
        <v>180</v>
      </c>
      <c r="I11" s="7" t="n">
        <f aca="false">(-EXP(alpha*zeta)*Beta*(-1+EXP(alpha*Size*psi)-Size*alpha*psi))/((alpha^3)*(psi^2))</f>
        <v>1690.92462806846</v>
      </c>
      <c r="J11" s="7" t="n">
        <f aca="false">Beta*Theta</f>
        <v>14.4</v>
      </c>
      <c r="K11" s="7" t="n">
        <f aca="false">Beta*Theta</f>
        <v>14.4</v>
      </c>
      <c r="L11" s="7" t="n">
        <f aca="false">kappa</f>
        <v>90</v>
      </c>
      <c r="M11" s="7" t="n">
        <f aca="false">Gamma*Size</f>
        <v>0</v>
      </c>
      <c r="N11" s="7" t="n">
        <f aca="false">Size*Beta*Phi</f>
        <v>32.4</v>
      </c>
      <c r="O11" s="7" t="n">
        <f aca="false">-(EXP(alpha*a*psi)+EXP(alpha*b*psi)*(-1+Size*psi*alpha))*(Beta*Phi)/((alpha*psi)*(EXP(alpha*a*psi)-EXP(alpha*b*psi)))</f>
        <v>12.2941718960407</v>
      </c>
      <c r="P11" s="7" t="n">
        <f aca="false">(EXP(alpha*(zeta-a*psi))*Beta*Phi*(-EXP(alpha*a*psi)*(-2+(-1)*Size*alpha*psi)+EXP(alpha*b*psi)*(-2+Size*alpha*psi)))/((alpha^3)*(psi^3))</f>
        <v>78.836375998096</v>
      </c>
      <c r="Q11" s="7" t="n">
        <f aca="false">Tau*Beta</f>
        <v>206.559046840628</v>
      </c>
      <c r="R11" s="7" t="n">
        <f aca="false">Tau*Beta</f>
        <v>206.559046840628</v>
      </c>
      <c r="S11" s="11" t="n">
        <f aca="false">Tau</f>
        <v>1.14755026022571</v>
      </c>
      <c r="T11" s="7" t="n">
        <f aca="false">Profit+Utility</f>
        <v>1537.01767217106</v>
      </c>
      <c r="U11" s="7" t="n">
        <f aca="false">(2*ij*BRIJ)+(2)*jj*BRJJ</f>
        <v>11.4303525679605</v>
      </c>
      <c r="V11" s="9" t="n">
        <f aca="false">2*(ij*BCCIJ)+(2*jj*BCCJJ)+BCS+jj*BCPTJJ+2*(ij*BCPTIJ)+BCPTII+BCk</f>
        <v>170.313720614539</v>
      </c>
      <c r="W11" s="7" t="n">
        <f aca="false">ij*BUTIJ+BUTII</f>
        <v>1695.90104021764</v>
      </c>
      <c r="X11" s="7" t="n">
        <f aca="false">Revenue-Cost</f>
        <v>-158.883368046579</v>
      </c>
    </row>
    <row r="12" customFormat="false" ht="13" hidden="false" customHeight="false" outlineLevel="0" collapsed="false">
      <c r="A12" s="2" t="n">
        <v>1.14784553639248</v>
      </c>
      <c r="B12" s="2" t="n">
        <v>5</v>
      </c>
      <c r="C12" s="2" t="n">
        <v>10</v>
      </c>
      <c r="D12" s="2" t="n">
        <v>0</v>
      </c>
      <c r="E12" s="2" t="n">
        <f aca="false">Size-a</f>
        <v>10</v>
      </c>
      <c r="F12" s="10" t="n">
        <f aca="false">(EXP(alpha*(Tau+OldTau+zeta-2*a*psi))*((EXP(alpha*a*psi)-EXP(alpha*b*psi))^2))/((EXP(alpha*a*psi)-EXP(alpha*(2*OldTau+b*psi)))*(alpha^2)*(psi^2))</f>
        <v>0.0167633494787722</v>
      </c>
      <c r="G12" s="10" t="n">
        <f aca="false">(EXP(alpha*(zeta+(2*b-a)*psi))*(-1+EXP(alpha*(-1)*Size*psi))*(EXP(alpha*(2*(Tau+OldTau)+a*psi))-EXP(alpha*(2*(Tau+OldTau)+b*psi))))/(((EXP(alpha*a*psi)-EXP(alpha*(2*OldTau+b*psi)))^2)*(alpha^2)*(psi^2))</f>
        <v>7.99738647268197E-006</v>
      </c>
      <c r="H12" s="7" t="n">
        <f aca="false">-Beta/alpha</f>
        <v>180</v>
      </c>
      <c r="I12" s="7" t="n">
        <f aca="false">(-EXP(alpha*zeta)*Beta*(-1+EXP(alpha*Size*psi)-Size*alpha*psi))/((alpha^3)*(psi^2))</f>
        <v>1690.92462806846</v>
      </c>
      <c r="J12" s="7" t="n">
        <f aca="false">Beta*Theta</f>
        <v>14.4</v>
      </c>
      <c r="K12" s="7" t="n">
        <f aca="false">Beta*Theta</f>
        <v>14.4</v>
      </c>
      <c r="L12" s="7" t="n">
        <f aca="false">kappa</f>
        <v>90</v>
      </c>
      <c r="M12" s="7" t="n">
        <f aca="false">Gamma*Size</f>
        <v>0</v>
      </c>
      <c r="N12" s="7" t="n">
        <f aca="false">Size*Beta*Phi</f>
        <v>32.4</v>
      </c>
      <c r="O12" s="7" t="n">
        <f aca="false">-(EXP(alpha*a*psi)+EXP(alpha*b*psi)*(-1+Size*psi*alpha))*(Beta*Phi)/((alpha*psi)*(EXP(alpha*a*psi)-EXP(alpha*b*psi)))</f>
        <v>12.2941718960407</v>
      </c>
      <c r="P12" s="7" t="n">
        <f aca="false">(EXP(alpha*(zeta-a*psi))*Beta*Phi*(-EXP(alpha*a*psi)*(-2+(-1)*Size*alpha*psi)+EXP(alpha*b*psi)*(-2+Size*alpha*psi)))/((alpha^3)*(psi^3))</f>
        <v>78.836375998096</v>
      </c>
      <c r="Q12" s="7" t="n">
        <f aca="false">Tau*Beta</f>
        <v>206.612196550647</v>
      </c>
      <c r="R12" s="7" t="n">
        <f aca="false">Tau*Beta</f>
        <v>206.612196550647</v>
      </c>
      <c r="S12" s="11" t="n">
        <f aca="false">Tau</f>
        <v>1.14784553639248</v>
      </c>
      <c r="T12" s="7" t="n">
        <f aca="false">Profit+Utility</f>
        <v>1531.14052770129</v>
      </c>
      <c r="U12" s="7" t="n">
        <f aca="false">(2*ij*BRIJ)+(2)*jj*BRJJ</f>
        <v>6.93032962988209</v>
      </c>
      <c r="V12" s="9" t="n">
        <f aca="false">2*(ij*BCCIJ)+(2*jj*BCCJJ)+BCS+jj*BCPTJJ+2*(ij*BCPTIJ)+BCPTII+BCk</f>
        <v>169.731832903228</v>
      </c>
      <c r="W12" s="7" t="n">
        <f aca="false">ij*BUTIJ+BUTII</f>
        <v>1693.94203097464</v>
      </c>
      <c r="X12" s="7" t="n">
        <f aca="false">Revenue-Cost</f>
        <v>-162.801503273345</v>
      </c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  <row r="15" customFormat="false" ht="13" hidden="false" customHeight="false" outlineLevel="0" collapsed="false">
      <c r="F15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920" ySplit="0" topLeftCell="V1" activePane="topLeft" state="split"/>
      <selection pane="topLeft" activeCell="C4" activeCellId="0" sqref="C4"/>
      <selection pane="topRight" activeCell="V1" activeCellId="0" sqref="V1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4.71"/>
    <col collapsed="false" customWidth="true" hidden="false" outlineLevel="0" max="2" min="2" style="2" width="5.56"/>
    <col collapsed="false" customWidth="true" hidden="false" outlineLevel="0" max="3" min="3" style="2" width="4.85"/>
    <col collapsed="false" customWidth="true" hidden="false" outlineLevel="0" max="4" min="4" style="2" width="3.56"/>
    <col collapsed="false" customWidth="true" hidden="false" outlineLevel="0" max="5" min="5" style="2" width="3.99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257" min="10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35</v>
      </c>
      <c r="V1" s="2" t="s">
        <v>36</v>
      </c>
      <c r="W1" s="2" t="s">
        <v>33</v>
      </c>
      <c r="X1" s="2" t="s">
        <v>34</v>
      </c>
    </row>
    <row r="2" customFormat="false" ht="13" hidden="false" customHeight="false" outlineLevel="0" collapsed="false">
      <c r="A2" s="2" t="n">
        <v>0.656444685897722</v>
      </c>
      <c r="B2" s="2" t="n">
        <v>0</v>
      </c>
      <c r="C2" s="2" t="n">
        <v>1</v>
      </c>
      <c r="D2" s="2" t="n">
        <v>0</v>
      </c>
      <c r="E2" s="2" t="n">
        <f aca="false">Size-a</f>
        <v>1</v>
      </c>
      <c r="F2" s="12" t="n">
        <f aca="false">(EXP(alpha*(Tau+OldTau+zeta-2*a*psi))*((EXP(alpha*a*psi)-EXP(alpha*b*psi))^2))/((EXP(alpha*a*psi)-EXP(alpha*(2*OldTau+b*psi)))*(alpha^2)*(psi^2))</f>
        <v>0.9385798192765</v>
      </c>
      <c r="G2" s="12" t="n">
        <f aca="false">(EXP(alpha*(zeta+(2*b-a)*psi))*(-1+EXP(alpha*(-1)*Size*psi))*(EXP(alpha*(2*(Tau+OldTau)+a*psi))-EXP(alpha*(2*(Tau+OldTau)+b*psi))))/(((EXP(alpha*a*psi)-EXP(alpha*(2*OldTau+b*psi)))^2)*(alpha^2)*(psi^2))</f>
        <v>3.00822618570484</v>
      </c>
      <c r="H2" s="9" t="n">
        <f aca="false">-Beta/alpha</f>
        <v>180</v>
      </c>
      <c r="I2" s="9" t="n">
        <f aca="false">(-EXP(alpha*zeta)*Beta*(-1+EXP(alpha*Size*psi)-Size*alpha*psi))/((alpha^3)*(psi^2))</f>
        <v>25.0388962482082</v>
      </c>
      <c r="J2" s="9" t="n">
        <f aca="false">Beta*Theta</f>
        <v>14.4</v>
      </c>
      <c r="K2" s="9" t="n">
        <f aca="false">Beta*Theta</f>
        <v>14.4</v>
      </c>
      <c r="L2" s="9" t="n">
        <f aca="false">kappa</f>
        <v>90</v>
      </c>
      <c r="M2" s="9" t="n">
        <f aca="false">Gamma*Size</f>
        <v>0</v>
      </c>
      <c r="N2" s="9" t="n">
        <f aca="false">Size*Beta*Phi</f>
        <v>3.24</v>
      </c>
      <c r="O2" s="9" t="n">
        <f aca="false">-(EXP(alpha*a*psi)+EXP(alpha*b*psi)*(-1+Size*psi*alpha))*(Beta*Phi)/((alpha*psi)*(EXP(alpha*a*psi)-EXP(alpha*b*psi)))</f>
        <v>1.57951517936842</v>
      </c>
      <c r="P2" s="9" t="n">
        <f aca="false">(EXP(alpha*(zeta-a*psi))*Beta*Phi*(-EXP(alpha*a*psi)*(-2+(-1)*Size*alpha*psi)+EXP(alpha*b*psi)*(-2+Size*alpha*psi)))/((alpha^3)*(psi^3))</f>
        <v>0.146515554131081</v>
      </c>
      <c r="Q2" s="9" t="n">
        <f aca="false">Tau*Beta</f>
        <v>118.16004346159</v>
      </c>
      <c r="R2" s="9" t="n">
        <f aca="false">Tau*Beta</f>
        <v>118.16004346159</v>
      </c>
      <c r="S2" s="13" t="n">
        <f aca="false">Tau</f>
        <v>0.656444685897722</v>
      </c>
      <c r="T2" s="9" t="n">
        <f aca="false">Profit+Utility</f>
        <v>910.166618401628</v>
      </c>
      <c r="U2" s="9" t="n">
        <f aca="false">(2*ij*BRIJ)+(2)*jj*BRJJ</f>
        <v>932.709538166119</v>
      </c>
      <c r="V2" s="9" t="n">
        <f aca="false">2*(ij*BCCIJ)+(2*jj*BCCJJ)+BCS+jj*BCPTJJ+2*(ij*BCPTIJ)+BCPTII+BCk</f>
        <v>216.52618348247</v>
      </c>
      <c r="W2" s="9" t="n">
        <f aca="false">ij*BUTIJ+BUTII</f>
        <v>193.983263717978</v>
      </c>
      <c r="X2" s="9" t="n">
        <f aca="false">Revenue-Cost</f>
        <v>716.183354683649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3" hidden="false" customHeight="false" outlineLevel="0" collapsed="false">
      <c r="A3" s="2" t="n">
        <v>0.89691323176841</v>
      </c>
      <c r="B3" s="2" t="n">
        <v>0.5</v>
      </c>
      <c r="C3" s="2" t="n">
        <v>1</v>
      </c>
      <c r="D3" s="2" t="n">
        <v>0</v>
      </c>
      <c r="E3" s="2" t="n">
        <f aca="false">Size-a</f>
        <v>1</v>
      </c>
      <c r="F3" s="12" t="n">
        <f aca="false">(EXP(alpha*(Tau+OldTau+zeta-2*a*psi))*((EXP(alpha*a*psi)-EXP(alpha*b*psi))^2))/((EXP(alpha*a*psi)-EXP(alpha*(2*OldTau+b*psi)))*(alpha^2)*(psi^2))</f>
        <v>0.0912356244815265</v>
      </c>
      <c r="G3" s="12" t="n">
        <f aca="false">(EXP(alpha*(zeta+(2*b-a)*psi))*(-1+EXP(alpha*(-1)*Size*psi))*(EXP(alpha*(2*(Tau+OldTau)+a*psi))-EXP(alpha*(2*(Tau+OldTau)+b*psi))))/(((EXP(alpha*a*psi)-EXP(alpha*(2*OldTau+b*psi)))^2)*(alpha^2)*(psi^2))</f>
        <v>0.0284247701298041</v>
      </c>
      <c r="H3" s="9" t="n">
        <f aca="false">-Beta/alpha</f>
        <v>180</v>
      </c>
      <c r="I3" s="9" t="n">
        <f aca="false">(-EXP(alpha*zeta)*Beta*(-1+EXP(alpha*Size*psi)-Size*alpha*psi))/((alpha^3)*(psi^2))</f>
        <v>25.0388962482082</v>
      </c>
      <c r="J3" s="9" t="n">
        <f aca="false">Beta*Theta</f>
        <v>14.4</v>
      </c>
      <c r="K3" s="9" t="n">
        <f aca="false">Beta*Theta</f>
        <v>14.4</v>
      </c>
      <c r="L3" s="9" t="n">
        <f aca="false">kappa</f>
        <v>90</v>
      </c>
      <c r="M3" s="9" t="n">
        <f aca="false">Gamma*Size</f>
        <v>0</v>
      </c>
      <c r="N3" s="9" t="n">
        <f aca="false">Size*Beta*Phi</f>
        <v>3.24</v>
      </c>
      <c r="O3" s="9" t="n">
        <f aca="false">-(EXP(alpha*a*psi)+EXP(alpha*b*psi)*(-1+Size*psi*alpha))*(Beta*Phi)/((alpha*psi)*(EXP(alpha*a*psi)-EXP(alpha*b*psi)))</f>
        <v>1.57951517936842</v>
      </c>
      <c r="P3" s="9" t="n">
        <f aca="false">(EXP(alpha*(zeta-a*psi))*Beta*Phi*(-EXP(alpha*a*psi)*(-2+(-1)*Size*alpha*psi)+EXP(alpha*b*psi)*(-2+Size*alpha*psi)))/((alpha^3)*(psi^3))</f>
        <v>0.146515554131081</v>
      </c>
      <c r="Q3" s="9" t="n">
        <f aca="false">Tau*Beta</f>
        <v>161.444381718314</v>
      </c>
      <c r="R3" s="9" t="n">
        <f aca="false">Tau*Beta</f>
        <v>161.444381718314</v>
      </c>
      <c r="S3" s="13" t="n">
        <f aca="false">Tau</f>
        <v>0.89691323176841</v>
      </c>
      <c r="T3" s="9" t="n">
        <f aca="false">Profit+Utility</f>
        <v>-13.8747417784191</v>
      </c>
      <c r="U3" s="9" t="n">
        <f aca="false">(2*ij*BRIJ)+(2)*jj*BRJJ</f>
        <v>38.6369968483915</v>
      </c>
      <c r="V3" s="9" t="n">
        <f aca="false">2*(ij*BCCIJ)+(2*jj*BCCJJ)+BCS+jj*BCPTJJ+2*(ij*BCPTIJ)+BCPTII+BCk</f>
        <v>93.9730472816934</v>
      </c>
      <c r="W3" s="9" t="n">
        <f aca="false">ij*BUTIJ+BUTII</f>
        <v>41.4613086548829</v>
      </c>
      <c r="X3" s="9" t="n">
        <f aca="false">Revenue-Cost</f>
        <v>-55.336050433302</v>
      </c>
    </row>
    <row r="4" customFormat="false" ht="13" hidden="false" customHeight="false" outlineLevel="0" collapsed="false">
      <c r="A4" s="2" t="n">
        <v>0.983088330594785</v>
      </c>
      <c r="B4" s="2" t="n">
        <v>1</v>
      </c>
      <c r="C4" s="2" t="n">
        <v>1</v>
      </c>
      <c r="D4" s="2" t="n">
        <v>0</v>
      </c>
      <c r="E4" s="2" t="n">
        <f aca="false">Size-a</f>
        <v>1</v>
      </c>
      <c r="F4" s="12" t="n">
        <f aca="false">(EXP(alpha*(Tau+OldTau+zeta-2*a*psi))*((EXP(alpha*a*psi)-EXP(alpha*b*psi))^2))/((EXP(alpha*a*psi)-EXP(alpha*(2*OldTau+b*psi)))*(alpha^2)*(psi^2))</f>
        <v>0.0392671249337752</v>
      </c>
      <c r="G4" s="12" t="n">
        <f aca="false">(EXP(alpha*(zeta+(2*b-a)*psi))*(-1+EXP(alpha*(-1)*Size*psi))*(EXP(alpha*(2*(Tau+OldTau)+a*psi))-EXP(alpha*(2*(Tau+OldTau)+b*psi))))/(((EXP(alpha*a*psi)-EXP(alpha*(2*OldTau+b*psi)))^2)*(alpha^2)*(psi^2))</f>
        <v>0.00526533819818761</v>
      </c>
      <c r="H4" s="9" t="n">
        <f aca="false">-Beta/alpha</f>
        <v>180</v>
      </c>
      <c r="I4" s="9" t="n">
        <f aca="false">(-EXP(alpha*zeta)*Beta*(-1+EXP(alpha*Size*psi)-Size*alpha*psi))/((alpha^3)*(psi^2))</f>
        <v>25.0388962482082</v>
      </c>
      <c r="J4" s="9" t="n">
        <f aca="false">Beta*Theta</f>
        <v>14.4</v>
      </c>
      <c r="K4" s="9" t="n">
        <f aca="false">Beta*Theta</f>
        <v>14.4</v>
      </c>
      <c r="L4" s="9" t="n">
        <f aca="false">kappa</f>
        <v>90</v>
      </c>
      <c r="M4" s="9" t="n">
        <f aca="false">Gamma*Size</f>
        <v>0</v>
      </c>
      <c r="N4" s="9" t="n">
        <f aca="false">Size*Beta*Phi</f>
        <v>3.24</v>
      </c>
      <c r="O4" s="9" t="n">
        <f aca="false">-(EXP(alpha*a*psi)+EXP(alpha*b*psi)*(-1+Size*psi*alpha))*(Beta*Phi)/((alpha*psi)*(EXP(alpha*a*psi)-EXP(alpha*b*psi)))</f>
        <v>1.57951517936842</v>
      </c>
      <c r="P4" s="9" t="n">
        <f aca="false">(EXP(alpha*(zeta-a*psi))*Beta*Phi*(-EXP(alpha*a*psi)*(-2+(-1)*Size*alpha*psi)+EXP(alpha*b*psi)*(-2+Size*alpha*psi)))/((alpha^3)*(psi^3))</f>
        <v>0.146515554131081</v>
      </c>
      <c r="Q4" s="9" t="n">
        <f aca="false">Tau*Beta</f>
        <v>176.955899507061</v>
      </c>
      <c r="R4" s="9" t="n">
        <f aca="false">Tau*Beta</f>
        <v>176.955899507061</v>
      </c>
      <c r="S4" s="13" t="n">
        <f aca="false">Tau</f>
        <v>0.983088330594785</v>
      </c>
      <c r="T4" s="9" t="n">
        <f aca="false">Profit+Utility</f>
        <v>-43.7026133500091</v>
      </c>
      <c r="U4" s="13" t="n">
        <f aca="false">(2*ij*BRIJ)+(2)*jj*BRJJ</f>
        <v>15.7605641415631</v>
      </c>
      <c r="V4" s="9" t="n">
        <f aca="false">2*(ij*BCCIJ)+(2*jj*BCCJJ)+BCS+jj*BCPTJJ+2*(ij*BCPTIJ)+BCPTII+BCk</f>
        <v>91.5701562278598</v>
      </c>
      <c r="W4" s="9" t="n">
        <f aca="false">ij*BUTIJ+BUTII</f>
        <v>32.1069787362877</v>
      </c>
      <c r="X4" s="9" t="n">
        <f aca="false">Revenue-Cost</f>
        <v>-75.8095920862968</v>
      </c>
    </row>
    <row r="5" customFormat="false" ht="13" hidden="false" customHeight="false" outlineLevel="0" collapsed="false">
      <c r="A5" s="2" t="n">
        <v>1.02592355648114</v>
      </c>
      <c r="B5" s="2" t="n">
        <v>1.5</v>
      </c>
      <c r="C5" s="2" t="n">
        <v>1</v>
      </c>
      <c r="D5" s="2" t="n">
        <v>0</v>
      </c>
      <c r="E5" s="2" t="n">
        <f aca="false">Size-a</f>
        <v>1</v>
      </c>
      <c r="F5" s="10" t="n">
        <f aca="false">(EXP(alpha*(Tau+OldTau+zeta-2*a*psi))*((EXP(alpha*a*psi)-EXP(alpha*b*psi))^2))/((EXP(alpha*a*psi)-EXP(alpha*(2*OldTau+b*psi)))*(alpha^2)*(psi^2))</f>
        <v>0.0210627010432986</v>
      </c>
      <c r="G5" s="10" t="n">
        <f aca="false">(EXP(alpha*(zeta+(2*b-a)*psi))*(-1+EXP(alpha*(-1)*Size*psi))*(EXP(alpha*(2*(Tau+OldTau)+a*psi))-EXP(alpha*(2*(Tau+OldTau)+b*psi))))/(((EXP(alpha*a*psi)-EXP(alpha*(2*OldTau+b*psi)))^2)*(alpha^2)*(psi^2))</f>
        <v>0.00151494264287132</v>
      </c>
      <c r="H5" s="7" t="n">
        <f aca="false">-Beta/alpha</f>
        <v>180</v>
      </c>
      <c r="I5" s="7" t="n">
        <f aca="false">(-EXP(alpha*zeta)*Beta*(-1+EXP(alpha*Size*psi)-Size*alpha*psi))/((alpha^3)*(psi^2))</f>
        <v>25.0388962482082</v>
      </c>
      <c r="J5" s="7" t="n">
        <f aca="false">Beta*Theta</f>
        <v>14.4</v>
      </c>
      <c r="K5" s="7" t="n">
        <f aca="false">Beta*Theta</f>
        <v>14.4</v>
      </c>
      <c r="L5" s="7" t="n">
        <f aca="false">kappa</f>
        <v>90</v>
      </c>
      <c r="M5" s="7" t="n">
        <f aca="false">Gamma*Size</f>
        <v>0</v>
      </c>
      <c r="N5" s="7" t="n">
        <f aca="false">Size*Beta*Phi</f>
        <v>3.24</v>
      </c>
      <c r="O5" s="7" t="n">
        <f aca="false">-(EXP(alpha*a*psi)+EXP(alpha*b*psi)*(-1+Size*psi*alpha))*(Beta*Phi)/((alpha*psi)*(EXP(alpha*a*psi)-EXP(alpha*b*psi)))</f>
        <v>1.57951517936842</v>
      </c>
      <c r="P5" s="7" t="n">
        <f aca="false">(EXP(alpha*(zeta-a*psi))*Beta*Phi*(-EXP(alpha*a*psi)*(-2+(-1)*Size*alpha*psi)+EXP(alpha*b*psi)*(-2+Size*alpha*psi)))/((alpha^3)*(psi^3))</f>
        <v>0.146515554131081</v>
      </c>
      <c r="Q5" s="7" t="n">
        <f aca="false">Tau*Beta</f>
        <v>184.666240166605</v>
      </c>
      <c r="R5" s="7" t="n">
        <f aca="false">Tau*Beta</f>
        <v>184.666240166605</v>
      </c>
      <c r="S5" s="11" t="n">
        <f aca="false">Tau</f>
        <v>1.02592355648114</v>
      </c>
      <c r="T5" s="7" t="n">
        <f aca="false">Profit+Utility</f>
        <v>-53.699358239794</v>
      </c>
      <c r="U5" s="7" t="n">
        <f aca="false">(2*ij*BRIJ)+(2)*jj*BRJJ</f>
        <v>8.33865714269258</v>
      </c>
      <c r="V5" s="9" t="n">
        <f aca="false">2*(ij*BCCIJ)+(2*jj*BCCJJ)+BCS+jj*BCPTJJ+2*(ij*BCPTIJ)+BCPTII+BCk</f>
        <v>90.8681978184885</v>
      </c>
      <c r="W5" s="7" t="n">
        <f aca="false">ij*BUTIJ+BUTII</f>
        <v>28.8301824360019</v>
      </c>
      <c r="X5" s="7" t="n">
        <f aca="false">Revenue-Cost</f>
        <v>-82.5295406757959</v>
      </c>
    </row>
    <row r="6" customFormat="false" ht="13" hidden="false" customHeight="false" outlineLevel="0" collapsed="false">
      <c r="A6" s="2" t="n">
        <v>1.05056530152919</v>
      </c>
      <c r="B6" s="2" t="n">
        <v>2</v>
      </c>
      <c r="C6" s="2" t="n">
        <v>1</v>
      </c>
      <c r="D6" s="2" t="n">
        <v>0</v>
      </c>
      <c r="E6" s="2" t="n">
        <f aca="false">Size-a</f>
        <v>1</v>
      </c>
      <c r="F6" s="10" t="n">
        <f aca="false">(EXP(alpha*(Tau+OldTau+zeta-2*a*psi))*((EXP(alpha*a*psi)-EXP(alpha*b*psi))^2))/((EXP(alpha*a*psi)-EXP(alpha*(2*OldTau+b*psi)))*(alpha^2)*(psi^2))</f>
        <v>0.0121211834766146</v>
      </c>
      <c r="G6" s="10" t="n">
        <f aca="false">(EXP(alpha*(zeta+(2*b-a)*psi))*(-1+EXP(alpha*(-1)*Size*psi))*(EXP(alpha*(2*(Tau+OldTau)+a*psi))-EXP(alpha*(2*(Tau+OldTau)+b*psi))))/(((EXP(alpha*a*psi)-EXP(alpha*(2*OldTau+b*psi)))^2)*(alpha^2)*(psi^2))</f>
        <v>0.000501716187544228</v>
      </c>
      <c r="H6" s="7" t="n">
        <f aca="false">-Beta/alpha</f>
        <v>180</v>
      </c>
      <c r="I6" s="7" t="n">
        <f aca="false">(-EXP(alpha*zeta)*Beta*(-1+EXP(alpha*Size*psi)-Size*alpha*psi))/((alpha^3)*(psi^2))</f>
        <v>25.0388962482082</v>
      </c>
      <c r="J6" s="7" t="n">
        <f aca="false">Beta*Theta</f>
        <v>14.4</v>
      </c>
      <c r="K6" s="7" t="n">
        <f aca="false">Beta*Theta</f>
        <v>14.4</v>
      </c>
      <c r="L6" s="7" t="n">
        <f aca="false">kappa</f>
        <v>90</v>
      </c>
      <c r="M6" s="7" t="n">
        <f aca="false">Gamma*Size</f>
        <v>0</v>
      </c>
      <c r="N6" s="7" t="n">
        <f aca="false">Size*Beta*Phi</f>
        <v>3.24</v>
      </c>
      <c r="O6" s="7" t="n">
        <f aca="false">-(EXP(alpha*a*psi)+EXP(alpha*b*psi)*(-1+Size*psi*alpha))*(Beta*Phi)/((alpha*psi)*(EXP(alpha*a*psi)-EXP(alpha*b*psi)))</f>
        <v>1.57951517936842</v>
      </c>
      <c r="P6" s="7" t="n">
        <f aca="false">(EXP(alpha*(zeta-a*psi))*Beta*Phi*(-EXP(alpha*a*psi)*(-2+(-1)*Size*alpha*psi)+EXP(alpha*b*psi)*(-2+Size*alpha*psi)))/((alpha^3)*(psi^3))</f>
        <v>0.146515554131081</v>
      </c>
      <c r="Q6" s="7" t="n">
        <f aca="false">Tau*Beta</f>
        <v>189.101754275254</v>
      </c>
      <c r="R6" s="7" t="n">
        <f aca="false">Tau*Beta</f>
        <v>189.101754275254</v>
      </c>
      <c r="S6" s="11" t="n">
        <f aca="false">Tau</f>
        <v>1.05056530152919</v>
      </c>
      <c r="T6" s="7" t="n">
        <f aca="false">Profit+Utility</f>
        <v>-58.5552375964282</v>
      </c>
      <c r="U6" s="7" t="n">
        <f aca="false">(2*ij*BRIJ)+(2)*jj*BRJJ</f>
        <v>4.77402494106593</v>
      </c>
      <c r="V6" s="9" t="n">
        <f aca="false">2*(ij*BCCIJ)+(2*jj*BCCJJ)+BCS+jj*BCPTJJ+2*(ij*BCPTIJ)+BCPTII+BCk</f>
        <v>90.5499718114929</v>
      </c>
      <c r="W6" s="7" t="n">
        <f aca="false">ij*BUTIJ+BUTII</f>
        <v>27.2207092739988</v>
      </c>
      <c r="X6" s="7" t="n">
        <f aca="false">Revenue-Cost</f>
        <v>-85.775946870427</v>
      </c>
    </row>
    <row r="7" customFormat="false" ht="13" hidden="false" customHeight="false" outlineLevel="0" collapsed="false">
      <c r="A7" s="2" t="n">
        <v>1.0654426061564</v>
      </c>
      <c r="B7" s="2" t="n">
        <v>2.5</v>
      </c>
      <c r="C7" s="2" t="n">
        <v>1</v>
      </c>
      <c r="D7" s="2" t="n">
        <v>0</v>
      </c>
      <c r="E7" s="2" t="n">
        <f aca="false">Size-a</f>
        <v>1</v>
      </c>
      <c r="F7" s="10" t="n">
        <f aca="false">(EXP(alpha*(Tau+OldTau+zeta-2*a*psi))*((EXP(alpha*a*psi)-EXP(alpha*b*psi))^2))/((EXP(alpha*a*psi)-EXP(alpha*(2*OldTau+b*psi)))*(alpha^2)*(psi^2))</f>
        <v>0.00717070235994025</v>
      </c>
      <c r="G7" s="10" t="n">
        <f aca="false">(EXP(alpha*(zeta+(2*b-a)*psi))*(-1+EXP(alpha*(-1)*Size*psi))*(EXP(alpha*(2*(Tau+OldTau)+a*psi))-EXP(alpha*(2*(Tau+OldTau)+b*psi))))/(((EXP(alpha*a*psi)-EXP(alpha*(2*OldTau+b*psi)))^2)*(alpha^2)*(psi^2))</f>
        <v>0.000175586634919248</v>
      </c>
      <c r="H7" s="7" t="n">
        <f aca="false">-Beta/alpha</f>
        <v>180</v>
      </c>
      <c r="I7" s="7" t="n">
        <f aca="false">(-EXP(alpha*zeta)*Beta*(-1+EXP(alpha*Size*psi)-Size*alpha*psi))/((alpha^3)*(psi^2))</f>
        <v>25.0388962482082</v>
      </c>
      <c r="J7" s="7" t="n">
        <f aca="false">Beta*Theta</f>
        <v>14.4</v>
      </c>
      <c r="K7" s="7" t="n">
        <f aca="false">Beta*Theta</f>
        <v>14.4</v>
      </c>
      <c r="L7" s="7" t="n">
        <f aca="false">kappa</f>
        <v>90</v>
      </c>
      <c r="M7" s="7" t="n">
        <f aca="false">Gamma*Size</f>
        <v>0</v>
      </c>
      <c r="N7" s="7" t="n">
        <f aca="false">Size*Beta*Phi</f>
        <v>3.24</v>
      </c>
      <c r="O7" s="7" t="n">
        <f aca="false">-(EXP(alpha*a*psi)+EXP(alpha*b*psi)*(-1+Size*psi*alpha))*(Beta*Phi)/((alpha*psi)*(EXP(alpha*a*psi)-EXP(alpha*b*psi)))</f>
        <v>1.57951517936842</v>
      </c>
      <c r="P7" s="7" t="n">
        <f aca="false">(EXP(alpha*(zeta-a*psi))*Beta*Phi*(-EXP(alpha*a*psi)*(-2+(-1)*Size*alpha*psi)+EXP(alpha*b*psi)*(-2+Size*alpha*psi)))/((alpha^3)*(psi^3))</f>
        <v>0.146515554131081</v>
      </c>
      <c r="Q7" s="7" t="n">
        <f aca="false">Tau*Beta</f>
        <v>191.779669108151</v>
      </c>
      <c r="R7" s="7" t="n">
        <f aca="false">Tau*Beta</f>
        <v>191.779669108151</v>
      </c>
      <c r="S7" s="11" t="n">
        <f aca="false">Tau</f>
        <v>1.0654426061564</v>
      </c>
      <c r="T7" s="7" t="n">
        <f aca="false">Profit+Utility</f>
        <v>-61.2339496261173</v>
      </c>
      <c r="U7" s="7" t="n">
        <f aca="false">(2*ij*BRIJ)+(2)*jj*BRJJ</f>
        <v>2.81773774521402</v>
      </c>
      <c r="V7" s="9" t="n">
        <f aca="false">2*(ij*BCCIJ)+(2*jj*BCCJJ)+BCS+jj*BCPTJJ+2*(ij*BCPTIJ)+BCPTII+BCk</f>
        <v>90.3813100443287</v>
      </c>
      <c r="W7" s="7" t="n">
        <f aca="false">ij*BUTIJ+BUTII</f>
        <v>26.3296226729974</v>
      </c>
      <c r="X7" s="7" t="n">
        <f aca="false">Revenue-Cost</f>
        <v>-87.5635722991147</v>
      </c>
    </row>
    <row r="8" customFormat="false" ht="13" hidden="false" customHeight="false" outlineLevel="0" collapsed="false">
      <c r="A8" s="2" t="n">
        <v>1.07453680709188</v>
      </c>
      <c r="B8" s="2" t="n">
        <v>3</v>
      </c>
      <c r="C8" s="2" t="n">
        <v>1</v>
      </c>
      <c r="D8" s="2" t="n">
        <v>0</v>
      </c>
      <c r="E8" s="2" t="n">
        <f aca="false">Size-a</f>
        <v>1</v>
      </c>
      <c r="F8" s="10" t="n">
        <f aca="false">(EXP(alpha*(Tau+OldTau+zeta-2*a*psi))*((EXP(alpha*a*psi)-EXP(alpha*b*psi))^2))/((EXP(alpha*a*psi)-EXP(alpha*(2*OldTau+b*psi)))*(alpha^2)*(psi^2))</f>
        <v>0.00429404372122025</v>
      </c>
      <c r="G8" s="10" t="n">
        <f aca="false">(EXP(alpha*(zeta+(2*b-a)*psi))*(-1+EXP(alpha*(-1)*Size*psi))*(EXP(alpha*(2*(Tau+OldTau)+a*psi))-EXP(alpha*(2*(Tau+OldTau)+b*psi))))/(((EXP(alpha*a*psi)-EXP(alpha*(2*OldTau+b*psi)))^2)*(alpha^2)*(psi^2))</f>
        <v>6.29652580093551E-005</v>
      </c>
      <c r="H8" s="7" t="n">
        <f aca="false">-Beta/alpha</f>
        <v>180</v>
      </c>
      <c r="I8" s="7" t="n">
        <f aca="false">(-EXP(alpha*zeta)*Beta*(-1+EXP(alpha*Size*psi)-Size*alpha*psi))/((alpha^3)*(psi^2))</f>
        <v>25.0388962482082</v>
      </c>
      <c r="J8" s="7" t="n">
        <f aca="false">Beta*Theta</f>
        <v>14.4</v>
      </c>
      <c r="K8" s="7" t="n">
        <f aca="false">Beta*Theta</f>
        <v>14.4</v>
      </c>
      <c r="L8" s="7" t="n">
        <f aca="false">kappa</f>
        <v>90</v>
      </c>
      <c r="M8" s="7" t="n">
        <f aca="false">Gamma*Size</f>
        <v>0</v>
      </c>
      <c r="N8" s="7" t="n">
        <f aca="false">Size*Beta*Phi</f>
        <v>3.24</v>
      </c>
      <c r="O8" s="7" t="n">
        <f aca="false">-(EXP(alpha*a*psi)+EXP(alpha*b*psi)*(-1+Size*psi*alpha))*(Beta*Phi)/((alpha*psi)*(EXP(alpha*a*psi)-EXP(alpha*b*psi)))</f>
        <v>1.57951517936842</v>
      </c>
      <c r="P8" s="7" t="n">
        <f aca="false">(EXP(alpha*(zeta-a*psi))*Beta*Phi*(-EXP(alpha*a*psi)*(-2+(-1)*Size*alpha*psi)+EXP(alpha*b*psi)*(-2+Size*alpha*psi)))/((alpha^3)*(psi^3))</f>
        <v>0.146515554131081</v>
      </c>
      <c r="Q8" s="7" t="n">
        <f aca="false">Tau*Beta</f>
        <v>193.416625276538</v>
      </c>
      <c r="R8" s="7" t="n">
        <f aca="false">Tau*Beta</f>
        <v>193.416625276538</v>
      </c>
      <c r="S8" s="11" t="n">
        <f aca="false">Tau</f>
        <v>1.07453680709188</v>
      </c>
      <c r="T8" s="7" t="n">
        <f aca="false">Profit+Utility</f>
        <v>-62.7885063704938</v>
      </c>
      <c r="U8" s="7" t="n">
        <f aca="false">(2*ij*BRIJ)+(2)*jj*BRJJ</f>
        <v>1.68543594612433</v>
      </c>
      <c r="V8" s="9" t="n">
        <f aca="false">2*(ij*BCCIJ)+(2*jj*BCCJJ)+BCS+jj*BCPTJJ+2*(ij*BCPTIJ)+BCPTII+BCk</f>
        <v>90.2857664346459</v>
      </c>
      <c r="W8" s="7" t="n">
        <f aca="false">ij*BUTIJ+BUTII</f>
        <v>25.8118241180278</v>
      </c>
      <c r="X8" s="7" t="n">
        <f aca="false">Revenue-Cost</f>
        <v>-88.6003304885216</v>
      </c>
    </row>
    <row r="9" customFormat="false" ht="13" hidden="false" customHeight="false" outlineLevel="0" collapsed="false">
      <c r="A9" s="2" t="n">
        <v>1.08079608061397</v>
      </c>
      <c r="B9" s="2" t="n">
        <v>3.5</v>
      </c>
      <c r="C9" s="2" t="n">
        <v>1</v>
      </c>
      <c r="D9" s="2" t="n">
        <v>0</v>
      </c>
      <c r="E9" s="2" t="n">
        <f aca="false">Size-a</f>
        <v>1</v>
      </c>
      <c r="F9" s="10" t="n">
        <f aca="false">(EXP(alpha*(Tau+OldTau+zeta-2*a*psi))*((EXP(alpha*a*psi)-EXP(alpha*b*psi))^2))/((EXP(alpha*a*psi)-EXP(alpha*(2*OldTau+b*psi)))*(alpha^2)*(psi^2))</f>
        <v>0.00258472474115778</v>
      </c>
      <c r="G9" s="10" t="n">
        <f aca="false">(EXP(alpha*(zeta+(2*b-a)*psi))*(-1+EXP(alpha*(-1)*Size*psi))*(EXP(alpha*(2*(Tau+OldTau)+a*psi))-EXP(alpha*(2*(Tau+OldTau)+b*psi))))/(((EXP(alpha*a*psi)-EXP(alpha*(2*OldTau+b*psi)))^2)*(alpha^2)*(psi^2))</f>
        <v>2.28137492114202E-005</v>
      </c>
      <c r="H9" s="7" t="n">
        <f aca="false">-Beta/alpha</f>
        <v>180</v>
      </c>
      <c r="I9" s="7" t="n">
        <f aca="false">(-EXP(alpha*zeta)*Beta*(-1+EXP(alpha*Size*psi)-Size*alpha*psi))/((alpha^3)*(psi^2))</f>
        <v>25.0388962482082</v>
      </c>
      <c r="J9" s="7" t="n">
        <f aca="false">Beta*Theta</f>
        <v>14.4</v>
      </c>
      <c r="K9" s="7" t="n">
        <f aca="false">Beta*Theta</f>
        <v>14.4</v>
      </c>
      <c r="L9" s="7" t="n">
        <f aca="false">kappa</f>
        <v>90</v>
      </c>
      <c r="M9" s="7" t="n">
        <f aca="false">Gamma*Size</f>
        <v>0</v>
      </c>
      <c r="N9" s="7" t="n">
        <f aca="false">Size*Beta*Phi</f>
        <v>3.24</v>
      </c>
      <c r="O9" s="7" t="n">
        <f aca="false">-(EXP(alpha*a*psi)+EXP(alpha*b*psi)*(-1+Size*psi*alpha))*(Beta*Phi)/((alpha*psi)*(EXP(alpha*a*psi)-EXP(alpha*b*psi)))</f>
        <v>1.57951517936842</v>
      </c>
      <c r="P9" s="7" t="n">
        <f aca="false">(EXP(alpha*(zeta-a*psi))*Beta*Phi*(-EXP(alpha*a*psi)*(-2+(-1)*Size*alpha*psi)+EXP(alpha*b*psi)*(-2+Size*alpha*psi)))/((alpha^3)*(psi^3))</f>
        <v>0.146515554131081</v>
      </c>
      <c r="Q9" s="7" t="n">
        <f aca="false">Tau*Beta</f>
        <v>194.543294510515</v>
      </c>
      <c r="R9" s="7" t="n">
        <f aca="false">Tau*Beta</f>
        <v>194.543294510515</v>
      </c>
      <c r="S9" s="11" t="n">
        <f aca="false">Tau</f>
        <v>1.08079608061397</v>
      </c>
      <c r="T9" s="7" t="n">
        <f aca="false">Profit+Utility</f>
        <v>-63.7111468445521</v>
      </c>
      <c r="U9" s="7" t="n">
        <f aca="false">(2*ij*BRIJ)+(2)*jj*BRJJ</f>
        <v>1.0145582569588</v>
      </c>
      <c r="V9" s="9" t="n">
        <f aca="false">2*(ij*BCCIJ)+(2*jj*BCCJJ)+BCS+jj*BCPTJJ+2*(ij*BCPTIJ)+BCPTII+BCk</f>
        <v>90.2298518031275</v>
      </c>
      <c r="W9" s="7" t="n">
        <f aca="false">ij*BUTIJ+BUTII</f>
        <v>25.5041467016166</v>
      </c>
      <c r="X9" s="7" t="n">
        <f aca="false">Revenue-Cost</f>
        <v>-89.2152935461687</v>
      </c>
    </row>
    <row r="10" customFormat="false" ht="13" hidden="false" customHeight="false" outlineLevel="0" collapsed="false">
      <c r="A10" s="2" t="n">
        <v>1.08420655473874</v>
      </c>
      <c r="B10" s="2" t="n">
        <v>4</v>
      </c>
      <c r="C10" s="2" t="n">
        <v>1</v>
      </c>
      <c r="D10" s="2" t="n">
        <v>0</v>
      </c>
      <c r="E10" s="2" t="n">
        <f aca="false">Size-a</f>
        <v>1</v>
      </c>
      <c r="F10" s="10" t="n">
        <f aca="false">(EXP(alpha*(Tau+OldTau+zeta-2*a*psi))*((EXP(alpha*a*psi)-EXP(alpha*b*psi))^2))/((EXP(alpha*a*psi)-EXP(alpha*(2*OldTau+b*psi)))*(alpha^2)*(psi^2))</f>
        <v>0.00156160189450526</v>
      </c>
      <c r="G10" s="10" t="n">
        <f aca="false">(EXP(alpha*(zeta+(2*b-a)*psi))*(-1+EXP(alpha*(-1)*Size*psi))*(EXP(alpha*(2*(Tau+OldTau)+a*psi))-EXP(alpha*(2*(Tau+OldTau)+b*psi))))/(((EXP(alpha*a*psi)-EXP(alpha*(2*OldTau+b*psi)))^2)*(alpha^2)*(psi^2))</f>
        <v>8.327386414237E-006</v>
      </c>
      <c r="H10" s="7" t="n">
        <f aca="false">-Beta/alpha</f>
        <v>180</v>
      </c>
      <c r="I10" s="7" t="n">
        <f aca="false">(-EXP(alpha*zeta)*Beta*(-1+EXP(alpha*Size*psi)-Size*alpha*psi))/((alpha^3)*(psi^2))</f>
        <v>25.0388962482082</v>
      </c>
      <c r="J10" s="7" t="n">
        <f aca="false">Beta*Theta</f>
        <v>14.4</v>
      </c>
      <c r="K10" s="7" t="n">
        <f aca="false">Beta*Theta</f>
        <v>14.4</v>
      </c>
      <c r="L10" s="7" t="n">
        <f aca="false">kappa</f>
        <v>90</v>
      </c>
      <c r="M10" s="7" t="n">
        <f aca="false">Gamma*Size</f>
        <v>0</v>
      </c>
      <c r="N10" s="7" t="n">
        <f aca="false">Size*Beta*Phi</f>
        <v>3.24</v>
      </c>
      <c r="O10" s="7" t="n">
        <f aca="false">-(EXP(alpha*a*psi)+EXP(alpha*b*psi)*(-1+Size*psi*alpha))*(Beta*Phi)/((alpha*psi)*(EXP(alpha*a*psi)-EXP(alpha*b*psi)))</f>
        <v>1.57951517936842</v>
      </c>
      <c r="P10" s="7" t="n">
        <f aca="false">(EXP(alpha*(zeta-a*psi))*Beta*Phi*(-EXP(alpha*a*psi)*(-2+(-1)*Size*alpha*psi)+EXP(alpha*b*psi)*(-2+Size*alpha*psi)))/((alpha^3)*(psi^3))</f>
        <v>0.146515554131081</v>
      </c>
      <c r="Q10" s="7" t="n">
        <f aca="false">Tau*Beta</f>
        <v>195.157179852972</v>
      </c>
      <c r="R10" s="7" t="n">
        <f aca="false">Tau*Beta</f>
        <v>195.157179852972</v>
      </c>
      <c r="S10" s="11" t="n">
        <f aca="false">Tau</f>
        <v>1.08420655473874</v>
      </c>
      <c r="T10" s="7" t="n">
        <f aca="false">Profit+Utility</f>
        <v>-64.2639391146618</v>
      </c>
      <c r="U10" s="7" t="n">
        <f aca="false">(2*ij*BRIJ)+(2)*jj*BRJJ</f>
        <v>0.612765942065708</v>
      </c>
      <c r="V10" s="9" t="n">
        <f aca="false">2*(ij*BCCIJ)+(2*jj*BCCJJ)+BCS+jj*BCPTJJ+2*(ij*BCPTIJ)+BCPTII+BCk</f>
        <v>90.1966896459466</v>
      </c>
      <c r="W10" s="7" t="n">
        <f aca="false">ij*BUTIJ+BUTII</f>
        <v>25.3199845892191</v>
      </c>
      <c r="X10" s="7" t="n">
        <f aca="false">Revenue-Cost</f>
        <v>-89.5839237038808</v>
      </c>
    </row>
    <row r="11" customFormat="false" ht="13" hidden="false" customHeight="false" outlineLevel="0" collapsed="false">
      <c r="A11" s="2" t="n">
        <v>1.08628461621193</v>
      </c>
      <c r="B11" s="2" t="n">
        <v>4.5</v>
      </c>
      <c r="C11" s="2" t="n">
        <v>1</v>
      </c>
      <c r="D11" s="2" t="n">
        <v>0</v>
      </c>
      <c r="E11" s="2" t="n">
        <f aca="false">Size-a</f>
        <v>1</v>
      </c>
      <c r="F11" s="10" t="n">
        <f aca="false">(EXP(alpha*(Tau+OldTau+zeta-2*a*psi))*((EXP(alpha*a*psi)-EXP(alpha*b*psi))^2))/((EXP(alpha*a*psi)-EXP(alpha*(2*OldTau+b*psi)))*(alpha^2)*(psi^2))</f>
        <v>0.000945020684637817</v>
      </c>
      <c r="G11" s="10" t="n">
        <f aca="false">(EXP(alpha*(zeta+(2*b-a)*psi))*(-1+EXP(alpha*(-1)*Size*psi))*(EXP(alpha*(2*(Tau+OldTau)+a*psi))-EXP(alpha*(2*(Tau+OldTau)+b*psi))))/(((EXP(alpha*a*psi)-EXP(alpha*(2*OldTau+b*psi)))^2)*(alpha^2)*(psi^2))</f>
        <v>3.04965486436689E-006</v>
      </c>
      <c r="H11" s="7" t="n">
        <f aca="false">-Beta/alpha</f>
        <v>180</v>
      </c>
      <c r="I11" s="7" t="n">
        <f aca="false">(-EXP(alpha*zeta)*Beta*(-1+EXP(alpha*Size*psi)-Size*alpha*psi))/((alpha^3)*(psi^2))</f>
        <v>25.0388962482082</v>
      </c>
      <c r="J11" s="7" t="n">
        <f aca="false">Beta*Theta</f>
        <v>14.4</v>
      </c>
      <c r="K11" s="7" t="n">
        <f aca="false">Beta*Theta</f>
        <v>14.4</v>
      </c>
      <c r="L11" s="7" t="n">
        <f aca="false">kappa</f>
        <v>90</v>
      </c>
      <c r="M11" s="7" t="n">
        <f aca="false">Gamma*Size</f>
        <v>0</v>
      </c>
      <c r="N11" s="7" t="n">
        <f aca="false">Size*Beta*Phi</f>
        <v>3.24</v>
      </c>
      <c r="O11" s="7" t="n">
        <f aca="false">-(EXP(alpha*a*psi)+EXP(alpha*b*psi)*(-1+Size*psi*alpha))*(Beta*Phi)/((alpha*psi)*(EXP(alpha*a*psi)-EXP(alpha*b*psi)))</f>
        <v>1.57951517936842</v>
      </c>
      <c r="P11" s="7" t="n">
        <f aca="false">(EXP(alpha*(zeta-a*psi))*Beta*Phi*(-EXP(alpha*a*psi)*(-2+(-1)*Size*alpha*psi)+EXP(alpha*b*psi)*(-2+Size*alpha*psi)))/((alpha^3)*(psi^3))</f>
        <v>0.146515554131081</v>
      </c>
      <c r="Q11" s="7" t="n">
        <f aca="false">Tau*Beta</f>
        <v>195.531230918147</v>
      </c>
      <c r="R11" s="7" t="n">
        <f aca="false">Tau*Beta</f>
        <v>195.531230918147</v>
      </c>
      <c r="S11" s="11" t="n">
        <f aca="false">Tau</f>
        <v>1.08628461621193</v>
      </c>
      <c r="T11" s="7" t="n">
        <f aca="false">Profit+Utility</f>
        <v>-64.5970605174203</v>
      </c>
      <c r="U11" s="7" t="n">
        <f aca="false">(2*ij*BRIJ)+(2)*jj*BRJJ</f>
        <v>0.370754720959696</v>
      </c>
      <c r="V11" s="9" t="n">
        <f aca="false">2*(ij*BCCIJ)+(2*jj*BCCJJ)+BCS+jj*BCPTJJ+2*(ij*BCPTIJ)+BCPTII+BCk</f>
        <v>90.1768152098229</v>
      </c>
      <c r="W11" s="7" t="n">
        <f aca="false">ij*BUTIJ+BUTII</f>
        <v>25.208999971443</v>
      </c>
      <c r="X11" s="7" t="n">
        <f aca="false">Revenue-Cost</f>
        <v>-89.8060604888632</v>
      </c>
    </row>
    <row r="12" customFormat="false" ht="13" hidden="false" customHeight="false" outlineLevel="0" collapsed="false">
      <c r="A12" s="2" t="n">
        <v>1.08754879005182</v>
      </c>
      <c r="B12" s="2" t="n">
        <v>5</v>
      </c>
      <c r="C12" s="2" t="n">
        <v>1</v>
      </c>
      <c r="D12" s="2" t="n">
        <v>0</v>
      </c>
      <c r="E12" s="2" t="n">
        <f aca="false">Size-a</f>
        <v>1</v>
      </c>
      <c r="F12" s="10" t="n">
        <f aca="false">(EXP(alpha*(Tau+OldTau+zeta-2*a*psi))*((EXP(alpha*a*psi)-EXP(alpha*b*psi))^2))/((EXP(alpha*a*psi)-EXP(alpha*(2*OldTau+b*psi)))*(alpha^2)*(psi^2))</f>
        <v>0.000572421434284687</v>
      </c>
      <c r="G12" s="10" t="n">
        <f aca="false">(EXP(alpha*(zeta+(2*b-a)*psi))*(-1+EXP(alpha*(-1)*Size*psi))*(EXP(alpha*(2*(Tau+OldTau)+a*psi))-EXP(alpha*(2*(Tau+OldTau)+b*psi))))/(((EXP(alpha*a*psi)-EXP(alpha*(2*OldTau+b*psi)))^2)*(alpha^2)*(psi^2))</f>
        <v>1.11892206524158E-006</v>
      </c>
      <c r="H12" s="7" t="n">
        <f aca="false">-Beta/alpha</f>
        <v>180</v>
      </c>
      <c r="I12" s="7" t="n">
        <f aca="false">(-EXP(alpha*zeta)*Beta*(-1+EXP(alpha*Size*psi)-Size*alpha*psi))/((alpha^3)*(psi^2))</f>
        <v>25.0388962482082</v>
      </c>
      <c r="J12" s="7" t="n">
        <f aca="false">Beta*Theta</f>
        <v>14.4</v>
      </c>
      <c r="K12" s="7" t="n">
        <f aca="false">Beta*Theta</f>
        <v>14.4</v>
      </c>
      <c r="L12" s="7" t="n">
        <f aca="false">kappa</f>
        <v>90</v>
      </c>
      <c r="M12" s="7" t="n">
        <f aca="false">Gamma*Size</f>
        <v>0</v>
      </c>
      <c r="N12" s="7" t="n">
        <f aca="false">Size*Beta*Phi</f>
        <v>3.24</v>
      </c>
      <c r="O12" s="7" t="n">
        <f aca="false">-(EXP(alpha*a*psi)+EXP(alpha*b*psi)*(-1+Size*psi*alpha))*(Beta*Phi)/((alpha*psi)*(EXP(alpha*a*psi)-EXP(alpha*b*psi)))</f>
        <v>1.57951517936842</v>
      </c>
      <c r="P12" s="7" t="n">
        <f aca="false">(EXP(alpha*(zeta-a*psi))*Beta*Phi*(-EXP(alpha*a*psi)*(-2+(-1)*Size*alpha*psi)+EXP(alpha*b*psi)*(-2+Size*alpha*psi)))/((alpha^3)*(psi^3))</f>
        <v>0.146515554131081</v>
      </c>
      <c r="Q12" s="7" t="n">
        <f aca="false">Tau*Beta</f>
        <v>195.758782209327</v>
      </c>
      <c r="R12" s="7" t="n">
        <f aca="false">Tau*Beta</f>
        <v>195.758782209327</v>
      </c>
      <c r="S12" s="11" t="n">
        <f aca="false">Tau</f>
        <v>1.08754879005182</v>
      </c>
      <c r="T12" s="7" t="n">
        <f aca="false">Profit+Utility</f>
        <v>-64.798362208597</v>
      </c>
      <c r="U12" s="7" t="n">
        <f aca="false">(2*ij*BRIJ)+(2)*jj*BRJJ</f>
        <v>0.224551123413932</v>
      </c>
      <c r="V12" s="9" t="n">
        <f aca="false">2*(ij*BCCIJ)+(2*jj*BCCJJ)+BCS+jj*BCPTJJ+2*(ij*BCPTIJ)+BCPTII+BCk</f>
        <v>90.1648454383903</v>
      </c>
      <c r="W12" s="7" t="n">
        <f aca="false">ij*BUTIJ+BUTII</f>
        <v>25.1419321063794</v>
      </c>
      <c r="X12" s="7" t="n">
        <f aca="false">Revenue-Cost</f>
        <v>-89.9402943149764</v>
      </c>
    </row>
    <row r="13" customFormat="false" ht="13" hidden="false" customHeight="false" outlineLevel="0" collapsed="false">
      <c r="F13" s="2"/>
    </row>
    <row r="14" customFormat="false" ht="13" hidden="false" customHeight="false" outlineLevel="0" collapsed="false">
      <c r="F14" s="2"/>
    </row>
    <row r="15" customFormat="false" ht="13" hidden="false" customHeight="false" outlineLevel="0" collapsed="false">
      <c r="F15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J36" activeCellId="0" sqref="J36"/>
    </sheetView>
  </sheetViews>
  <sheetFormatPr defaultColWidth="11.0546875" defaultRowHeight="13" customHeight="false" zeroHeight="false" outlineLevelRow="0" outlineLevelCol="0"/>
  <sheetData>
    <row r="1" customFormat="false" ht="13" hidden="false" customHeight="false" outlineLevel="0" collapsed="false">
      <c r="A1" s="2" t="s">
        <v>14</v>
      </c>
      <c r="B1" s="2" t="s">
        <v>45</v>
      </c>
      <c r="C1" s="2" t="s">
        <v>46</v>
      </c>
      <c r="D1" s="2" t="s">
        <v>47</v>
      </c>
      <c r="E1" s="2" t="s">
        <v>48</v>
      </c>
    </row>
    <row r="2" customFormat="false" ht="13" hidden="false" customHeight="false" outlineLevel="0" collapsed="false">
      <c r="A2" s="13" t="n">
        <v>0</v>
      </c>
      <c r="B2" s="13" t="n">
        <f aca="false">'P-React-JS=10'!A2</f>
        <v>1.06954097790985</v>
      </c>
      <c r="C2" s="13" t="n">
        <f aca="false">'W-React-JS=10'!A2</f>
        <v>0.653294561493362</v>
      </c>
      <c r="D2" s="13" t="n">
        <f aca="false">'P-React-JS=1'!A2</f>
        <v>0.656444685897722</v>
      </c>
      <c r="E2" s="13" t="n">
        <f aca="false">'W-React-JS=1'!A2</f>
        <v>0.588971896540793</v>
      </c>
    </row>
    <row r="3" customFormat="false" ht="13" hidden="false" customHeight="false" outlineLevel="0" collapsed="false">
      <c r="A3" s="13" t="n">
        <v>0.5</v>
      </c>
      <c r="B3" s="13" t="n">
        <f aca="false">'P-React-JS=10'!A3</f>
        <v>1.10577371588093</v>
      </c>
      <c r="C3" s="13" t="n">
        <f aca="false">'W-React-JS=10'!A3</f>
        <v>0.651193068385082</v>
      </c>
      <c r="D3" s="13" t="n">
        <f aca="false">'P-React-JS=1'!A3</f>
        <v>0.89691323176841</v>
      </c>
      <c r="E3" s="13" t="n">
        <f aca="false">'W-React-JS=1'!A3</f>
        <v>0.588878310545447</v>
      </c>
    </row>
    <row r="4" customFormat="false" ht="13" hidden="false" customHeight="false" outlineLevel="0" collapsed="false">
      <c r="A4" s="13" t="n">
        <v>1</v>
      </c>
      <c r="B4" s="13" t="n">
        <f aca="false">'P-React-JS=10'!A4</f>
        <v>1.12334493824018</v>
      </c>
      <c r="C4" s="13" t="n">
        <f aca="false">'W-React-JS=10'!A4</f>
        <v>0.650063303222383</v>
      </c>
      <c r="D4" s="13" t="n">
        <f aca="false">'P-React-JS=1'!A4</f>
        <v>0.983088330594785</v>
      </c>
      <c r="E4" s="13" t="n">
        <f aca="false">'W-React-JS=1'!A4</f>
        <v>0.588839118548493</v>
      </c>
    </row>
    <row r="5" customFormat="false" ht="13" hidden="false" customHeight="false" outlineLevel="0" collapsed="false">
      <c r="A5" s="11" t="n">
        <v>1.5</v>
      </c>
      <c r="B5" s="13" t="n">
        <f aca="false">'P-React-JS=10'!A5</f>
        <v>1.13328124530176</v>
      </c>
      <c r="C5" s="13" t="n">
        <f aca="false">'W-React-JS=10'!A5</f>
        <v>0.649385642252832</v>
      </c>
      <c r="D5" s="13" t="n">
        <f aca="false">'P-React-JS=1'!A5</f>
        <v>1.02592355648114</v>
      </c>
      <c r="E5" s="13" t="n">
        <f aca="false">'W-React-JS=1'!A5</f>
        <v>0.588816078074345</v>
      </c>
    </row>
    <row r="6" customFormat="false" ht="13" hidden="false" customHeight="false" outlineLevel="0" collapsed="false">
      <c r="A6" s="11" t="n">
        <v>2</v>
      </c>
      <c r="B6" s="13" t="n">
        <f aca="false">'P-React-JS=10'!A6</f>
        <v>1.13919387091577</v>
      </c>
      <c r="C6" s="13" t="n">
        <f aca="false">'W-React-JS=10'!A6</f>
        <v>0.648967816523326</v>
      </c>
      <c r="D6" s="13" t="n">
        <f aca="false">'P-React-JS=1'!A6</f>
        <v>1.05056530152919</v>
      </c>
      <c r="E6" s="13" t="n">
        <f aca="false">'W-React-JS=1'!A6</f>
        <v>0.588801224657779</v>
      </c>
    </row>
    <row r="7" customFormat="false" ht="13" hidden="false" customHeight="false" outlineLevel="0" collapsed="false">
      <c r="A7" s="11" t="n">
        <v>2.5</v>
      </c>
      <c r="B7" s="13" t="n">
        <f aca="false">'P-React-JS=10'!A7</f>
        <v>1.14276953203344</v>
      </c>
      <c r="C7" s="13" t="n">
        <f aca="false">'W-React-JS=10'!A7</f>
        <v>0.648709872054374</v>
      </c>
      <c r="D7" s="13" t="n">
        <f aca="false">'P-React-JS=1'!A7</f>
        <v>1.0654426061564</v>
      </c>
      <c r="E7" s="13" t="n">
        <f aca="false">'W-React-JS=1'!A7</f>
        <v>0.588971896540793</v>
      </c>
    </row>
    <row r="8" customFormat="false" ht="13" hidden="false" customHeight="false" outlineLevel="0" collapsed="false">
      <c r="A8" s="11" t="n">
        <v>3</v>
      </c>
      <c r="B8" s="13" t="n">
        <f aca="false">'P-React-JS=10'!A8</f>
        <v>1.14494121549499</v>
      </c>
      <c r="C8" s="13" t="n">
        <f aca="false">'W-React-JS=10'!A8</f>
        <v>0.648551118720517</v>
      </c>
      <c r="D8" s="13" t="n">
        <f aca="false">'P-React-JS=1'!A8</f>
        <v>1.07453680709188</v>
      </c>
      <c r="E8" s="13" t="n">
        <f aca="false">'W-React-JS=1'!A8</f>
        <v>0.588971896540793</v>
      </c>
    </row>
    <row r="9" customFormat="false" ht="13" hidden="false" customHeight="false" outlineLevel="0" collapsed="false">
      <c r="A9" s="11" t="n">
        <v>3.5</v>
      </c>
      <c r="B9" s="13" t="n">
        <f aca="false">'P-React-JS=10'!A9</f>
        <v>1.14626100909033</v>
      </c>
      <c r="C9" s="13" t="n">
        <f aca="false">'W-React-JS=10'!A9</f>
        <v>0.648453669941319</v>
      </c>
      <c r="D9" s="13" t="n">
        <f aca="false">'P-React-JS=1'!A9</f>
        <v>1.08079608061397</v>
      </c>
      <c r="E9" s="13" t="n">
        <f aca="false">'W-React-JS=1'!A9</f>
        <v>0.588971896540793</v>
      </c>
    </row>
    <row r="10" customFormat="false" ht="13" hidden="false" customHeight="false" outlineLevel="0" collapsed="false">
      <c r="A10" s="11" t="n">
        <v>4</v>
      </c>
      <c r="B10" s="13" t="n">
        <f aca="false">'P-React-JS=10'!A10</f>
        <v>1.14706329015564</v>
      </c>
      <c r="C10" s="13" t="n">
        <f aca="false">'W-React-JS=10'!A10</f>
        <v>0.649010744656215</v>
      </c>
      <c r="D10" s="13" t="n">
        <f aca="false">'P-React-JS=1'!A10</f>
        <v>1.08420655473874</v>
      </c>
      <c r="E10" s="13" t="n">
        <f aca="false">'W-React-JS=1'!A10</f>
        <v>0.588971896540793</v>
      </c>
    </row>
    <row r="11" customFormat="false" ht="13" hidden="false" customHeight="false" outlineLevel="0" collapsed="false">
      <c r="A11" s="11" t="n">
        <v>4.5</v>
      </c>
      <c r="B11" s="13" t="n">
        <f aca="false">'P-React-JS=10'!A11</f>
        <v>1.14755026022571</v>
      </c>
      <c r="C11" s="13" t="n">
        <f aca="false">'W-React-JS=10'!A11</f>
        <v>0.648998009564206</v>
      </c>
      <c r="D11" s="13" t="n">
        <f aca="false">'P-React-JS=1'!A11</f>
        <v>1.08628461621193</v>
      </c>
      <c r="E11" s="13" t="n">
        <f aca="false">'W-React-JS=1'!A11</f>
        <v>0.588971896540793</v>
      </c>
    </row>
    <row r="12" customFormat="false" ht="13" hidden="false" customHeight="false" outlineLevel="0" collapsed="false">
      <c r="A12" s="11" t="n">
        <v>5</v>
      </c>
      <c r="B12" s="13" t="n">
        <f aca="false">'P-React-JS=10'!A12</f>
        <v>1.14784553639248</v>
      </c>
      <c r="C12" s="13" t="n">
        <f aca="false">'W-React-JS=10'!A12</f>
        <v>0.648975305075598</v>
      </c>
      <c r="D12" s="13" t="n">
        <f aca="false">'P-React-JS=1'!A12</f>
        <v>1.08754879005182</v>
      </c>
      <c r="E12" s="13" t="n">
        <f aca="false">'W-React-JS=1'!A12</f>
        <v>0.589349332866895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3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57" activeCellId="0" sqref="A57"/>
    </sheetView>
  </sheetViews>
  <sheetFormatPr defaultColWidth="8.28125" defaultRowHeight="13" customHeight="false" zeroHeight="false" outlineLevelRow="0" outlineLevelCol="0"/>
  <cols>
    <col collapsed="false" customWidth="true" hidden="false" outlineLevel="0" max="1" min="1" style="2" width="4.71"/>
    <col collapsed="false" customWidth="true" hidden="false" outlineLevel="0" max="2" min="2" style="2" width="5.56"/>
    <col collapsed="false" customWidth="true" hidden="false" outlineLevel="0" max="3" min="3" style="2" width="7.56"/>
    <col collapsed="false" customWidth="true" hidden="false" outlineLevel="0" max="4" min="4" style="2" width="7.71"/>
    <col collapsed="false" customWidth="true" hidden="false" outlineLevel="0" max="5" min="5" style="2" width="9.42"/>
    <col collapsed="false" customWidth="false" hidden="false" outlineLevel="0" max="6" min="6" style="3" width="8.28"/>
    <col collapsed="false" customWidth="false" hidden="false" outlineLevel="0" max="8" min="7" style="2" width="8.28"/>
    <col collapsed="false" customWidth="true" hidden="false" outlineLevel="0" max="9" min="9" style="2" width="10.14"/>
    <col collapsed="false" customWidth="false" hidden="false" outlineLevel="0" max="257" min="10" style="2" width="8.28"/>
  </cols>
  <sheetData>
    <row r="1" customFormat="false" ht="13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3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35</v>
      </c>
      <c r="V1" s="2" t="s">
        <v>36</v>
      </c>
      <c r="W1" s="2" t="s">
        <v>33</v>
      </c>
      <c r="X1" s="2" t="s">
        <v>34</v>
      </c>
    </row>
    <row r="2" customFormat="false" ht="13" hidden="false" customHeight="false" outlineLevel="0" collapsed="false">
      <c r="A2" s="2" t="n">
        <v>0.588971375654211</v>
      </c>
      <c r="B2" s="2" t="n">
        <v>0</v>
      </c>
      <c r="C2" s="2" t="n">
        <v>1</v>
      </c>
      <c r="D2" s="2" t="n">
        <v>0</v>
      </c>
      <c r="E2" s="2" t="n">
        <f aca="false">Size-a</f>
        <v>1</v>
      </c>
      <c r="F2" s="12" t="n">
        <f aca="false">(EXP(alpha*(Tau+OldTau+zeta-2*a*psi))*((EXP(alpha*a*psi)-EXP(alpha*b*psi))^2))/((EXP(alpha*a*psi)-EXP(alpha*(2*OldTau+b*psi)))*(alpha^2)*(psi^2))</f>
        <v>1.00409429232014</v>
      </c>
      <c r="G2" s="12" t="n">
        <f aca="false">(EXP(alpha*(zeta+(2*b-a)*psi))*(-1+EXP(alpha*(-1)*Size*psi))*(EXP(alpha*(2*(Tau+OldTau)+a*psi))-EXP(alpha*(2*(Tau+OldTau)+b*psi))))/(((EXP(alpha*a*psi)-EXP(alpha*(2*OldTau+b*psi)))^2)*(alpha^2)*(psi^2))</f>
        <v>3.44284174306748</v>
      </c>
      <c r="H2" s="9" t="n">
        <f aca="false">-Beta/alpha</f>
        <v>180</v>
      </c>
      <c r="I2" s="9" t="n">
        <f aca="false">(-EXP(alpha*zeta)*Beta*(-1+EXP(alpha*Size*psi)-Size*alpha*psi))/((alpha^3)*(psi^2))</f>
        <v>25.0388962482082</v>
      </c>
      <c r="J2" s="9" t="n">
        <f aca="false">Beta*Theta</f>
        <v>14.4</v>
      </c>
      <c r="K2" s="9" t="n">
        <f aca="false">Beta*Theta</f>
        <v>14.4</v>
      </c>
      <c r="L2" s="9" t="n">
        <f aca="false">kappa</f>
        <v>90</v>
      </c>
      <c r="M2" s="9" t="n">
        <f aca="false">Gamma*Size</f>
        <v>0</v>
      </c>
      <c r="N2" s="9" t="n">
        <f aca="false">Size*Beta*Phi</f>
        <v>3.24</v>
      </c>
      <c r="O2" s="9" t="n">
        <f aca="false">-(EXP(alpha*a*psi)+EXP(alpha*b*psi)*(-1+Size*psi*alpha))*(Beta*Phi)/((alpha*psi)*(EXP(alpha*a*psi)-EXP(alpha*b*psi)))</f>
        <v>1.57951517936842</v>
      </c>
      <c r="P2" s="9" t="n">
        <f aca="false">(EXP(alpha*(zeta-a*psi))*Beta*Phi*(-EXP(alpha*a*psi)*(-2+(-1)*Size*alpha*psi)+EXP(alpha*b*psi)*(-2+Size*alpha*psi)))/((alpha^3)*(psi^3))</f>
        <v>0.146515554131081</v>
      </c>
      <c r="Q2" s="9" t="n">
        <f aca="false">Tau*Beta</f>
        <v>106.014847617758</v>
      </c>
      <c r="R2" s="9" t="n">
        <f aca="false">Tau*Beta</f>
        <v>106.014847617758</v>
      </c>
      <c r="S2" s="13" t="n">
        <f aca="false">Tau</f>
        <v>0.588971375654211</v>
      </c>
      <c r="T2" s="9" t="n">
        <f aca="false">Profit+Utility</f>
        <v>916.113316207598</v>
      </c>
      <c r="U2" s="9" t="n">
        <f aca="false">(2*ij*BRIJ)+(2)*jj*BRJJ</f>
        <v>942.882492315071</v>
      </c>
      <c r="V2" s="9" t="n">
        <f aca="false">2*(ij*BCCIJ)+(2*jj*BCCJJ)+BCS+jj*BCPTJJ+2*(ij*BCPTIJ)+BCPTII+BCk</f>
        <v>232.545044973307</v>
      </c>
      <c r="W2" s="9" t="n">
        <f aca="false">ij*BUTIJ+BUTII</f>
        <v>205.775868865834</v>
      </c>
      <c r="X2" s="9" t="n">
        <f aca="false">Revenue-Cost</f>
        <v>710.337447341764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3" hidden="false" customHeight="false" outlineLevel="0" collapsed="false">
      <c r="A3" s="2" t="n">
        <v>0.588869351470994</v>
      </c>
      <c r="B3" s="2" t="n">
        <f aca="false">A2</f>
        <v>0.588971375654211</v>
      </c>
      <c r="C3" s="2" t="n">
        <v>1</v>
      </c>
      <c r="D3" s="2" t="n">
        <v>0</v>
      </c>
      <c r="E3" s="2" t="n">
        <f aca="false">Size-a</f>
        <v>1</v>
      </c>
      <c r="F3" s="12" t="n">
        <f aca="false">(EXP(alpha*(Tau+OldTau+zeta-2*a*psi))*((EXP(alpha*a*psi)-EXP(alpha*b*psi))^2))/((EXP(alpha*a*psi)-EXP(alpha*(2*OldTau+b*psi)))*(alpha^2)*(psi^2))</f>
        <v>0.105604797327932</v>
      </c>
      <c r="G3" s="12" t="n">
        <f aca="false">(EXP(alpha*(zeta+(2*b-a)*psi))*(-1+EXP(alpha*(-1)*Size*psi))*(EXP(alpha*(2*(Tau+OldTau)+a*psi))-EXP(alpha*(2*(Tau+OldTau)+b*psi))))/(((EXP(alpha*a*psi)-EXP(alpha*(2*OldTau+b*psi)))^2)*(alpha^2)*(psi^2))</f>
        <v>0.0380833687627616</v>
      </c>
      <c r="H3" s="9" t="n">
        <f aca="false">-Beta/alpha</f>
        <v>180</v>
      </c>
      <c r="I3" s="9" t="n">
        <f aca="false">(-EXP(alpha*zeta)*Beta*(-1+EXP(alpha*Size*psi)-Size*alpha*psi))/((alpha^3)*(psi^2))</f>
        <v>25.0388962482082</v>
      </c>
      <c r="J3" s="9" t="n">
        <f aca="false">Beta*Theta</f>
        <v>14.4</v>
      </c>
      <c r="K3" s="9" t="n">
        <f aca="false">Beta*Theta</f>
        <v>14.4</v>
      </c>
      <c r="L3" s="9" t="n">
        <f aca="false">kappa</f>
        <v>90</v>
      </c>
      <c r="M3" s="9" t="n">
        <f aca="false">Gamma*Size</f>
        <v>0</v>
      </c>
      <c r="N3" s="9" t="n">
        <f aca="false">Size*Beta*Phi</f>
        <v>3.24</v>
      </c>
      <c r="O3" s="9" t="n">
        <f aca="false">-(EXP(alpha*a*psi)+EXP(alpha*b*psi)*(-1+Size*psi*alpha))*(Beta*Phi)/((alpha*psi)*(EXP(alpha*a*psi)-EXP(alpha*b*psi)))</f>
        <v>1.57951517936842</v>
      </c>
      <c r="P3" s="9" t="n">
        <f aca="false">(EXP(alpha*(zeta-a*psi))*Beta*Phi*(-EXP(alpha*a*psi)*(-2+(-1)*Size*alpha*psi)+EXP(alpha*b*psi)*(-2+Size*alpha*psi)))/((alpha^3)*(psi^3))</f>
        <v>0.146515554131081</v>
      </c>
      <c r="Q3" s="9" t="n">
        <f aca="false">Tau*Beta</f>
        <v>105.996483264779</v>
      </c>
      <c r="R3" s="9" t="n">
        <f aca="false">Tau*Beta</f>
        <v>105.996483264779</v>
      </c>
      <c r="S3" s="13" t="n">
        <f aca="false">Tau</f>
        <v>0.588869351470994</v>
      </c>
      <c r="T3" s="9" t="n">
        <f aca="false">Profit+Utility</f>
        <v>-20.2330932611277</v>
      </c>
      <c r="U3" s="9" t="n">
        <f aca="false">(2*ij*BRIJ)+(2)*jj*BRJJ</f>
        <v>30.460880584758</v>
      </c>
      <c r="V3" s="9" t="n">
        <f aca="false">2*(ij*BCCIJ)+(2*jj*BCCJJ)+BCS+jj*BCPTJJ+2*(ij*BCPTIJ)+BCPTII+BCk</f>
        <v>94.7417336131216</v>
      </c>
      <c r="W3" s="9" t="n">
        <f aca="false">ij*BUTIJ+BUTII</f>
        <v>44.0477597672359</v>
      </c>
      <c r="X3" s="9" t="n">
        <f aca="false">Revenue-Cost</f>
        <v>-64.2808530283637</v>
      </c>
    </row>
    <row r="4" customFormat="false" ht="13" hidden="false" customHeight="false" outlineLevel="0" collapsed="false">
      <c r="A4" s="2" t="n">
        <v>0.588869361069848</v>
      </c>
      <c r="B4" s="2" t="n">
        <f aca="false">A3</f>
        <v>0.588869351470994</v>
      </c>
      <c r="C4" s="2" t="n">
        <v>1</v>
      </c>
      <c r="D4" s="2" t="n">
        <v>0</v>
      </c>
      <c r="E4" s="2" t="n">
        <f aca="false">Size-a</f>
        <v>1</v>
      </c>
      <c r="F4" s="12" t="n">
        <f aca="false">(EXP(alpha*(Tau+OldTau+zeta-2*a*psi))*((EXP(alpha*a*psi)-EXP(alpha*b*psi))^2))/((EXP(alpha*a*psi)-EXP(alpha*(2*OldTau+b*psi)))*(alpha^2)*(psi^2))</f>
        <v>0.105623343320861</v>
      </c>
      <c r="G4" s="12" t="n">
        <f aca="false">(EXP(alpha*(zeta+(2*b-a)*psi))*(-1+EXP(alpha*(-1)*Size*psi))*(EXP(alpha*(2*(Tau+OldTau)+a*psi))-EXP(alpha*(2*(Tau+OldTau)+b*psi))))/(((EXP(alpha*a*psi)-EXP(alpha*(2*OldTau+b*psi)))^2)*(alpha^2)*(psi^2))</f>
        <v>0.0380967461078111</v>
      </c>
      <c r="H4" s="9" t="n">
        <f aca="false">-Beta/alpha</f>
        <v>180</v>
      </c>
      <c r="I4" s="9" t="n">
        <f aca="false">(-EXP(alpha*zeta)*Beta*(-1+EXP(alpha*Size*psi)-Size*alpha*psi))/((alpha^3)*(psi^2))</f>
        <v>25.0388962482082</v>
      </c>
      <c r="J4" s="9" t="n">
        <f aca="false">Beta*Theta</f>
        <v>14.4</v>
      </c>
      <c r="K4" s="9" t="n">
        <f aca="false">Beta*Theta</f>
        <v>14.4</v>
      </c>
      <c r="L4" s="9" t="n">
        <f aca="false">kappa</f>
        <v>90</v>
      </c>
      <c r="M4" s="9" t="n">
        <f aca="false">Gamma*Size</f>
        <v>0</v>
      </c>
      <c r="N4" s="9" t="n">
        <f aca="false">Size*Beta*Phi</f>
        <v>3.24</v>
      </c>
      <c r="O4" s="9" t="n">
        <f aca="false">-(EXP(alpha*a*psi)+EXP(alpha*b*psi)*(-1+Size*psi*alpha))*(Beta*Phi)/((alpha*psi)*(EXP(alpha*a*psi)-EXP(alpha*b*psi)))</f>
        <v>1.57951517936842</v>
      </c>
      <c r="P4" s="9" t="n">
        <f aca="false">(EXP(alpha*(zeta-a*psi))*Beta*Phi*(-EXP(alpha*a*psi)*(-2+(-1)*Size*alpha*psi)+EXP(alpha*b*psi)*(-2+Size*alpha*psi)))/((alpha^3)*(psi^3))</f>
        <v>0.146515554131081</v>
      </c>
      <c r="Q4" s="9" t="n">
        <f aca="false">Tau*Beta</f>
        <v>105.996484992573</v>
      </c>
      <c r="R4" s="9" t="n">
        <f aca="false">Tau*Beta</f>
        <v>105.996484992573</v>
      </c>
      <c r="S4" s="13" t="n">
        <f aca="false">Tau</f>
        <v>0.588869361069848</v>
      </c>
      <c r="T4" s="9" t="n">
        <f aca="false">Profit+Utility</f>
        <v>-20.2240082847301</v>
      </c>
      <c r="U4" s="13" t="n">
        <f aca="false">(2*ij*BRIJ)+(2)*jj*BRJJ</f>
        <v>30.4676486045148</v>
      </c>
      <c r="V4" s="9" t="n">
        <f aca="false">2*(ij*BCCIJ)+(2*jj*BCCJJ)+BCS+jj*BCPTJJ+2*(ij*BCPTIJ)+BCPTII+BCk</f>
        <v>94.742754935208</v>
      </c>
      <c r="W4" s="9" t="n">
        <f aca="false">ij*BUTIJ+BUTII</f>
        <v>44.0510980459631</v>
      </c>
      <c r="X4" s="9" t="n">
        <f aca="false">Revenue-Cost</f>
        <v>-64.2751063306932</v>
      </c>
    </row>
    <row r="5" customFormat="false" ht="13" hidden="false" customHeight="false" outlineLevel="0" collapsed="false">
      <c r="A5" s="2" t="n">
        <v>0.588869361069394</v>
      </c>
      <c r="B5" s="2" t="n">
        <f aca="false">A4</f>
        <v>0.588869361069848</v>
      </c>
      <c r="C5" s="2" t="n">
        <v>1</v>
      </c>
      <c r="D5" s="2" t="n">
        <v>0</v>
      </c>
      <c r="E5" s="2" t="n">
        <f aca="false">Size-a</f>
        <v>1</v>
      </c>
      <c r="F5" s="10" t="n">
        <f aca="false">(EXP(alpha*(Tau+OldTau+zeta-2*a*psi))*((EXP(alpha*a*psi)-EXP(alpha*b*psi))^2))/((EXP(alpha*a*psi)-EXP(alpha*(2*OldTau+b*psi)))*(alpha^2)*(psi^2))</f>
        <v>0.105623341575675</v>
      </c>
      <c r="G5" s="10" t="n">
        <f aca="false">(EXP(alpha*(zeta+(2*b-a)*psi))*(-1+EXP(alpha*(-1)*Size*psi))*(EXP(alpha*(2*(Tau+OldTau)+a*psi))-EXP(alpha*(2*(Tau+OldTau)+b*psi))))/(((EXP(alpha*a*psi)-EXP(alpha*(2*OldTau+b*psi)))^2)*(alpha^2)*(psi^2))</f>
        <v>0.0380967448488871</v>
      </c>
      <c r="H5" s="7" t="n">
        <f aca="false">-Beta/alpha</f>
        <v>180</v>
      </c>
      <c r="I5" s="7" t="n">
        <f aca="false">(-EXP(alpha*zeta)*Beta*(-1+EXP(alpha*Size*psi)-Size*alpha*psi))/((alpha^3)*(psi^2))</f>
        <v>25.0388962482082</v>
      </c>
      <c r="J5" s="7" t="n">
        <f aca="false">Beta*Theta</f>
        <v>14.4</v>
      </c>
      <c r="K5" s="7" t="n">
        <f aca="false">Beta*Theta</f>
        <v>14.4</v>
      </c>
      <c r="L5" s="7" t="n">
        <f aca="false">kappa</f>
        <v>90</v>
      </c>
      <c r="M5" s="7" t="n">
        <f aca="false">Gamma*Size</f>
        <v>0</v>
      </c>
      <c r="N5" s="7" t="n">
        <f aca="false">Size*Beta*Phi</f>
        <v>3.24</v>
      </c>
      <c r="O5" s="7" t="n">
        <f aca="false">-(EXP(alpha*a*psi)+EXP(alpha*b*psi)*(-1+Size*psi*alpha))*(Beta*Phi)/((alpha*psi)*(EXP(alpha*a*psi)-EXP(alpha*b*psi)))</f>
        <v>1.57951517936842</v>
      </c>
      <c r="P5" s="7" t="n">
        <f aca="false">(EXP(alpha*(zeta-a*psi))*Beta*Phi*(-EXP(alpha*a*psi)*(-2+(-1)*Size*alpha*psi)+EXP(alpha*b*psi)*(-2+Size*alpha*psi)))/((alpha^3)*(psi^3))</f>
        <v>0.146515554131081</v>
      </c>
      <c r="Q5" s="7" t="n">
        <f aca="false">Tau*Beta</f>
        <v>105.996484992491</v>
      </c>
      <c r="R5" s="7" t="n">
        <f aca="false">Tau*Beta</f>
        <v>105.996484992491</v>
      </c>
      <c r="S5" s="11" t="n">
        <f aca="false">Tau</f>
        <v>0.588869361069394</v>
      </c>
      <c r="T5" s="7" t="n">
        <f aca="false">Profit+Utility</f>
        <v>-20.2240091396266</v>
      </c>
      <c r="U5" s="7" t="n">
        <f aca="false">(2*ij*BRIJ)+(2)*jj*BRJJ</f>
        <v>30.4676479676413</v>
      </c>
      <c r="V5" s="9" t="n">
        <f aca="false">2*(ij*BCCIJ)+(2*jj*BCCJJ)+BCS+jj*BCPTJJ+2*(ij*BCPTIJ)+BCPTII+BCk</f>
        <v>94.7427548390977</v>
      </c>
      <c r="W5" s="7" t="n">
        <f aca="false">ij*BUTIJ+BUTII</f>
        <v>44.0510977318297</v>
      </c>
      <c r="X5" s="7" t="n">
        <f aca="false">Revenue-Cost</f>
        <v>-64.2751068714564</v>
      </c>
    </row>
    <row r="6" customFormat="false" ht="13" hidden="false" customHeight="false" outlineLevel="0" collapsed="false">
      <c r="A6" s="2" t="n">
        <v>0.588869361067716</v>
      </c>
      <c r="B6" s="2" t="n">
        <f aca="false">A5</f>
        <v>0.588869361069394</v>
      </c>
      <c r="C6" s="2" t="n">
        <v>1</v>
      </c>
      <c r="D6" s="2" t="n">
        <v>0</v>
      </c>
      <c r="E6" s="2" t="n">
        <f aca="false">Size-a</f>
        <v>1</v>
      </c>
      <c r="F6" s="10" t="n">
        <f aca="false">(EXP(alpha*(Tau+OldTau+zeta-2*a*psi))*((EXP(alpha*a*psi)-EXP(alpha*b*psi))^2))/((EXP(alpha*a*psi)-EXP(alpha*(2*OldTau+b*psi)))*(alpha^2)*(psi^2))</f>
        <v>0.105623341575935</v>
      </c>
      <c r="G6" s="10" t="n">
        <f aca="false">(EXP(alpha*(zeta+(2*b-a)*psi))*(-1+EXP(alpha*(-1)*Size*psi))*(EXP(alpha*(2*(Tau+OldTau)+a*psi))-EXP(alpha*(2*(Tau+OldTau)+b*psi))))/(((EXP(alpha*a*psi)-EXP(alpha*(2*OldTau+b*psi)))^2)*(alpha^2)*(psi^2))</f>
        <v>0.0380967448490746</v>
      </c>
      <c r="H6" s="7" t="n">
        <f aca="false">-Beta/alpha</f>
        <v>180</v>
      </c>
      <c r="I6" s="7" t="n">
        <f aca="false">(-EXP(alpha*zeta)*Beta*(-1+EXP(alpha*Size*psi)-Size*alpha*psi))/((alpha^3)*(psi^2))</f>
        <v>25.0388962482082</v>
      </c>
      <c r="J6" s="7" t="n">
        <f aca="false">Beta*Theta</f>
        <v>14.4</v>
      </c>
      <c r="K6" s="7" t="n">
        <f aca="false">Beta*Theta</f>
        <v>14.4</v>
      </c>
      <c r="L6" s="7" t="n">
        <f aca="false">kappa</f>
        <v>90</v>
      </c>
      <c r="M6" s="7" t="n">
        <f aca="false">Gamma*Size</f>
        <v>0</v>
      </c>
      <c r="N6" s="7" t="n">
        <f aca="false">Size*Beta*Phi</f>
        <v>3.24</v>
      </c>
      <c r="O6" s="7" t="n">
        <f aca="false">-(EXP(alpha*a*psi)+EXP(alpha*b*psi)*(-1+Size*psi*alpha))*(Beta*Phi)/((alpha*psi)*(EXP(alpha*a*psi)-EXP(alpha*b*psi)))</f>
        <v>1.57951517936842</v>
      </c>
      <c r="P6" s="7" t="n">
        <f aca="false">(EXP(alpha*(zeta-a*psi))*Beta*Phi*(-EXP(alpha*a*psi)*(-2+(-1)*Size*alpha*psi)+EXP(alpha*b*psi)*(-2+Size*alpha*psi)))/((alpha^3)*(psi^3))</f>
        <v>0.146515554131081</v>
      </c>
      <c r="Q6" s="7" t="n">
        <f aca="false">Tau*Beta</f>
        <v>105.996484992189</v>
      </c>
      <c r="R6" s="7" t="n">
        <f aca="false">Tau*Beta</f>
        <v>105.996484992189</v>
      </c>
      <c r="S6" s="11" t="n">
        <f aca="false">Tau</f>
        <v>0.588869361067716</v>
      </c>
      <c r="T6" s="7" t="n">
        <f aca="false">Profit+Utility</f>
        <v>-20.2240091395862</v>
      </c>
      <c r="U6" s="7" t="n">
        <f aca="false">(2*ij*BRIJ)+(2)*jj*BRJJ</f>
        <v>30.4676479676493</v>
      </c>
      <c r="V6" s="9" t="n">
        <f aca="false">2*(ij*BCCIJ)+(2*jj*BCCJJ)+BCS+jj*BCPTJJ+2*(ij*BCPTIJ)+BCPTII+BCk</f>
        <v>94.742754839112</v>
      </c>
      <c r="W6" s="7" t="n">
        <f aca="false">ij*BUTIJ+BUTII</f>
        <v>44.0510977318765</v>
      </c>
      <c r="X6" s="7" t="n">
        <f aca="false">Revenue-Cost</f>
        <v>-64.2751068714627</v>
      </c>
    </row>
    <row r="7" customFormat="false" ht="13" hidden="false" customHeight="false" outlineLevel="0" collapsed="false">
      <c r="F7" s="10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1"/>
      <c r="T7" s="7"/>
      <c r="U7" s="7"/>
      <c r="V7" s="9"/>
      <c r="W7" s="7"/>
      <c r="X7" s="7"/>
    </row>
    <row r="8" customFormat="false" ht="13" hidden="false" customHeight="false" outlineLevel="0" collapsed="false">
      <c r="A8" s="2" t="n">
        <v>0.588839093238567</v>
      </c>
      <c r="B8" s="2" t="n">
        <v>1</v>
      </c>
      <c r="C8" s="2" t="n">
        <v>1</v>
      </c>
      <c r="D8" s="2" t="n">
        <v>0</v>
      </c>
      <c r="E8" s="2" t="n">
        <f aca="false">Size-a</f>
        <v>1</v>
      </c>
      <c r="F8" s="10" t="n">
        <f aca="false">(EXP(alpha*(Tau+OldTau+zeta-2*a*psi))*((EXP(alpha*a*psi)-EXP(alpha*b*psi))^2))/((EXP(alpha*a*psi)-EXP(alpha*(2*OldTau+b*psi)))*(alpha^2)*(psi^2))</f>
        <v>0.0582437558200129</v>
      </c>
      <c r="G8" s="10" t="n">
        <f aca="false">(EXP(alpha*(zeta+(2*b-a)*psi))*(-1+EXP(alpha*(-1)*Size*psi))*(EXP(alpha*(2*(Tau+OldTau)+a*psi))-EXP(alpha*(2*(Tau+OldTau)+b*psi))))/(((EXP(alpha*a*psi)-EXP(alpha*(2*OldTau+b*psi)))^2)*(alpha^2)*(psi^2))</f>
        <v>0.0115842203038887</v>
      </c>
      <c r="H8" s="7" t="n">
        <f aca="false">-Beta/alpha</f>
        <v>180</v>
      </c>
      <c r="I8" s="7" t="n">
        <f aca="false">(-EXP(alpha*zeta)*Beta*(-1+EXP(alpha*Size*psi)-Size*alpha*psi))/((alpha^3)*(psi^2))</f>
        <v>25.0388962482082</v>
      </c>
      <c r="J8" s="7" t="n">
        <f aca="false">Beta*Theta</f>
        <v>14.4</v>
      </c>
      <c r="K8" s="7" t="n">
        <f aca="false">Beta*Theta</f>
        <v>14.4</v>
      </c>
      <c r="L8" s="7" t="n">
        <f aca="false">kappa</f>
        <v>90</v>
      </c>
      <c r="M8" s="7" t="n">
        <f aca="false">Gamma*Size</f>
        <v>0</v>
      </c>
      <c r="N8" s="7" t="n">
        <f aca="false">Size*Beta*Phi</f>
        <v>3.24</v>
      </c>
      <c r="O8" s="7" t="n">
        <f aca="false">-(EXP(alpha*a*psi)+EXP(alpha*b*psi)*(-1+Size*psi*alpha))*(Beta*Phi)/((alpha*psi)*(EXP(alpha*a*psi)-EXP(alpha*b*psi)))</f>
        <v>1.57951517936842</v>
      </c>
      <c r="P8" s="7" t="n">
        <f aca="false">(EXP(alpha*(zeta-a*psi))*Beta*Phi*(-EXP(alpha*a*psi)*(-2+(-1)*Size*alpha*psi)+EXP(alpha*b*psi)*(-2+Size*alpha*psi)))/((alpha^3)*(psi^3))</f>
        <v>0.146515554131081</v>
      </c>
      <c r="Q8" s="7" t="n">
        <f aca="false">Tau*Beta</f>
        <v>105.991036782942</v>
      </c>
      <c r="R8" s="7" t="n">
        <f aca="false">Tau*Beta</f>
        <v>105.991036782942</v>
      </c>
      <c r="S8" s="11" t="n">
        <f aca="false">Tau</f>
        <v>0.588839093238567</v>
      </c>
      <c r="T8" s="7" t="n">
        <f aca="false">Profit+Utility</f>
        <v>-42.0540364656621</v>
      </c>
      <c r="U8" s="7" t="n">
        <f aca="false">(2*ij*BRIJ)+(2)*jj*BRJJ</f>
        <v>14.8022791716537</v>
      </c>
      <c r="V8" s="9" t="n">
        <f aca="false">2*(ij*BCCIJ)+(2*jj*BCCJJ)+BCS+jj*BCPTJJ+2*(ij*BCPTIJ)+BCPTII+BCk</f>
        <v>92.3790879331263</v>
      </c>
      <c r="W8" s="7" t="n">
        <f aca="false">ij*BUTIJ+BUTII</f>
        <v>35.5227722958105</v>
      </c>
      <c r="X8" s="7" t="n">
        <f aca="false">Revenue-Cost</f>
        <v>-77.5768087614726</v>
      </c>
    </row>
    <row r="9" customFormat="false" ht="13" hidden="false" customHeight="false" outlineLevel="0" collapsed="false">
      <c r="A9" s="2" t="n">
        <v>0.588869363917959</v>
      </c>
      <c r="B9" s="2" t="n">
        <f aca="false">A8</f>
        <v>0.588839093238567</v>
      </c>
      <c r="C9" s="2" t="n">
        <v>1</v>
      </c>
      <c r="D9" s="2" t="n">
        <v>0</v>
      </c>
      <c r="E9" s="2" t="n">
        <f aca="false">Size-a</f>
        <v>1</v>
      </c>
      <c r="F9" s="10" t="n">
        <f aca="false">(EXP(alpha*(Tau+OldTau+zeta-2*a*psi))*((EXP(alpha*a*psi)-EXP(alpha*b*psi))^2))/((EXP(alpha*a*psi)-EXP(alpha*(2*OldTau+b*psi)))*(alpha^2)*(psi^2))</f>
        <v>0.105628844714314</v>
      </c>
      <c r="G9" s="10" t="n">
        <f aca="false">(EXP(alpha*(zeta+(2*b-a)*psi))*(-1+EXP(alpha*(-1)*Size*psi))*(EXP(alpha*(2*(Tau+OldTau)+a*psi))-EXP(alpha*(2*(Tau+OldTau)+b*psi))))/(((EXP(alpha*a*psi)-EXP(alpha*(2*OldTau+b*psi)))^2)*(alpha^2)*(psi^2))</f>
        <v>0.03810071475037</v>
      </c>
      <c r="H9" s="7" t="n">
        <f aca="false">-Beta/alpha</f>
        <v>180</v>
      </c>
      <c r="I9" s="7" t="n">
        <f aca="false">(-EXP(alpha*zeta)*Beta*(-1+EXP(alpha*Size*psi)-Size*alpha*psi))/((alpha^3)*(psi^2))</f>
        <v>25.0388962482082</v>
      </c>
      <c r="J9" s="7" t="n">
        <f aca="false">Beta*Theta</f>
        <v>14.4</v>
      </c>
      <c r="K9" s="7" t="n">
        <f aca="false">Beta*Theta</f>
        <v>14.4</v>
      </c>
      <c r="L9" s="7" t="n">
        <f aca="false">kappa</f>
        <v>90</v>
      </c>
      <c r="M9" s="7" t="n">
        <f aca="false">Gamma*Size</f>
        <v>0</v>
      </c>
      <c r="N9" s="7" t="n">
        <f aca="false">Size*Beta*Phi</f>
        <v>3.24</v>
      </c>
      <c r="O9" s="7" t="n">
        <f aca="false">-(EXP(alpha*a*psi)+EXP(alpha*b*psi)*(-1+Size*psi*alpha))*(Beta*Phi)/((alpha*psi)*(EXP(alpha*a*psi)-EXP(alpha*b*psi)))</f>
        <v>1.57951517936842</v>
      </c>
      <c r="P9" s="7" t="n">
        <f aca="false">(EXP(alpha*(zeta-a*psi))*Beta*Phi*(-EXP(alpha*a*psi)*(-2+(-1)*Size*alpha*psi)+EXP(alpha*b*psi)*(-2+Size*alpha*psi)))/((alpha^3)*(psi^3))</f>
        <v>0.146515554131081</v>
      </c>
      <c r="Q9" s="7" t="n">
        <f aca="false">Tau*Beta</f>
        <v>105.996485505233</v>
      </c>
      <c r="R9" s="7" t="n">
        <f aca="false">Tau*Beta</f>
        <v>105.996485505233</v>
      </c>
      <c r="S9" s="11" t="n">
        <f aca="false">Tau</f>
        <v>0.588869363917959</v>
      </c>
      <c r="T9" s="7" t="n">
        <f aca="false">Profit+Utility</f>
        <v>-20.2213132799875</v>
      </c>
      <c r="U9" s="7" t="n">
        <f aca="false">(2*ij*BRIJ)+(2)*jj*BRJJ</f>
        <v>30.4696563329437</v>
      </c>
      <c r="V9" s="9" t="n">
        <f aca="false">2*(ij*BCCIJ)+(2*jj*BCCJJ)+BCS+jj*BCPTJJ+2*(ij*BCPTIJ)+BCPTII+BCk</f>
        <v>94.743057909716</v>
      </c>
      <c r="W9" s="7" t="n">
        <f aca="false">ij*BUTIJ+BUTII</f>
        <v>44.0520882967847</v>
      </c>
      <c r="X9" s="7" t="n">
        <f aca="false">Revenue-Cost</f>
        <v>-64.2734015767723</v>
      </c>
    </row>
    <row r="10" customFormat="false" ht="13" hidden="false" customHeight="false" outlineLevel="0" collapsed="false">
      <c r="A10" s="2" t="n">
        <v>0.588869361067688</v>
      </c>
      <c r="B10" s="2" t="n">
        <f aca="false">A9</f>
        <v>0.588869363917959</v>
      </c>
      <c r="C10" s="2" t="n">
        <v>1</v>
      </c>
      <c r="D10" s="2" t="n">
        <v>0</v>
      </c>
      <c r="E10" s="2" t="n">
        <f aca="false">Size-a</f>
        <v>1</v>
      </c>
      <c r="F10" s="10" t="n">
        <f aca="false">(EXP(alpha*(Tau+OldTau+zeta-2*a*psi))*((EXP(alpha*a*psi)-EXP(alpha*b*psi))^2))/((EXP(alpha*a*psi)-EXP(alpha*(2*OldTau+b*psi)))*(alpha^2)*(psi^2))</f>
        <v>0.105623341058021</v>
      </c>
      <c r="G10" s="10" t="n">
        <f aca="false">(EXP(alpha*(zeta+(2*b-a)*psi))*(-1+EXP(alpha*(-1)*Size*psi))*(EXP(alpha*(2*(Tau+OldTau)+a*psi))-EXP(alpha*(2*(Tau+OldTau)+b*psi))))/(((EXP(alpha*a*psi)-EXP(alpha*(2*OldTau+b*psi)))^2)*(alpha^2)*(psi^2))</f>
        <v>0.0380967444754669</v>
      </c>
      <c r="H10" s="7" t="n">
        <f aca="false">-Beta/alpha</f>
        <v>180</v>
      </c>
      <c r="I10" s="7" t="n">
        <f aca="false">(-EXP(alpha*zeta)*Beta*(-1+EXP(alpha*Size*psi)-Size*alpha*psi))/((alpha^3)*(psi^2))</f>
        <v>25.0388962482082</v>
      </c>
      <c r="J10" s="7" t="n">
        <f aca="false">Beta*Theta</f>
        <v>14.4</v>
      </c>
      <c r="K10" s="7" t="n">
        <f aca="false">Beta*Theta</f>
        <v>14.4</v>
      </c>
      <c r="L10" s="7" t="n">
        <f aca="false">kappa</f>
        <v>90</v>
      </c>
      <c r="M10" s="7" t="n">
        <f aca="false">Gamma*Size</f>
        <v>0</v>
      </c>
      <c r="N10" s="7" t="n">
        <f aca="false">Size*Beta*Phi</f>
        <v>3.24</v>
      </c>
      <c r="O10" s="7" t="n">
        <f aca="false">-(EXP(alpha*a*psi)+EXP(alpha*b*psi)*(-1+Size*psi*alpha))*(Beta*Phi)/((alpha*psi)*(EXP(alpha*a*psi)-EXP(alpha*b*psi)))</f>
        <v>1.57951517936842</v>
      </c>
      <c r="P10" s="7" t="n">
        <f aca="false">(EXP(alpha*(zeta-a*psi))*Beta*Phi*(-EXP(alpha*a*psi)*(-2+(-1)*Size*alpha*psi)+EXP(alpha*b*psi)*(-2+Size*alpha*psi)))/((alpha^3)*(psi^3))</f>
        <v>0.146515554131081</v>
      </c>
      <c r="Q10" s="7" t="n">
        <f aca="false">Tau*Beta</f>
        <v>105.996484992184</v>
      </c>
      <c r="R10" s="7" t="n">
        <f aca="false">Tau*Beta</f>
        <v>105.996484992184</v>
      </c>
      <c r="S10" s="11" t="n">
        <f aca="false">Tau</f>
        <v>0.588869361067688</v>
      </c>
      <c r="T10" s="7" t="n">
        <f aca="false">Profit+Utility</f>
        <v>-20.2240093932861</v>
      </c>
      <c r="U10" s="7" t="n">
        <f aca="false">(2*ij*BRIJ)+(2)*jj*BRJJ</f>
        <v>30.4676477786515</v>
      </c>
      <c r="V10" s="9" t="n">
        <f aca="false">2*(ij*BCCIJ)+(2*jj*BCCJJ)+BCS+jj*BCPTJJ+2*(ij*BCPTIJ)+BCPTII+BCk</f>
        <v>94.7427548105896</v>
      </c>
      <c r="W10" s="7" t="n">
        <f aca="false">ij*BUTIJ+BUTII</f>
        <v>44.051097638652</v>
      </c>
      <c r="X10" s="7" t="n">
        <f aca="false">Revenue-Cost</f>
        <v>-64.275107031938</v>
      </c>
    </row>
    <row r="11" customFormat="false" ht="13" hidden="false" customHeight="false" outlineLevel="0" collapsed="false">
      <c r="A11" s="2" t="n">
        <v>0.588869361069579</v>
      </c>
      <c r="B11" s="2" t="n">
        <f aca="false">A10</f>
        <v>0.588869361067688</v>
      </c>
      <c r="C11" s="2" t="n">
        <v>1</v>
      </c>
      <c r="D11" s="2" t="n">
        <v>0</v>
      </c>
      <c r="E11" s="2" t="n">
        <f aca="false">Size-a</f>
        <v>1</v>
      </c>
      <c r="F11" s="10" t="n">
        <f aca="false">(EXP(alpha*(Tau+OldTau+zeta-2*a*psi))*((EXP(alpha*a*psi)-EXP(alpha*b*psi))^2))/((EXP(alpha*a*psi)-EXP(alpha*(2*OldTau+b*psi)))*(alpha^2)*(psi^2))</f>
        <v>0.105623341576049</v>
      </c>
      <c r="G11" s="10" t="n">
        <f aca="false">(EXP(alpha*(zeta+(2*b-a)*psi))*(-1+EXP(alpha*(-1)*Size*psi))*(EXP(alpha*(2*(Tau+OldTau)+a*psi))-EXP(alpha*(2*(Tau+OldTau)+b*psi))))/(((EXP(alpha*a*psi)-EXP(alpha*(2*OldTau+b*psi)))^2)*(alpha^2)*(psi^2))</f>
        <v>0.0380967448491563</v>
      </c>
      <c r="H11" s="7" t="n">
        <f aca="false">-Beta/alpha</f>
        <v>180</v>
      </c>
      <c r="I11" s="7" t="n">
        <f aca="false">(-EXP(alpha*zeta)*Beta*(-1+EXP(alpha*Size*psi)-Size*alpha*psi))/((alpha^3)*(psi^2))</f>
        <v>25.0388962482082</v>
      </c>
      <c r="J11" s="7" t="n">
        <f aca="false">Beta*Theta</f>
        <v>14.4</v>
      </c>
      <c r="K11" s="7" t="n">
        <f aca="false">Beta*Theta</f>
        <v>14.4</v>
      </c>
      <c r="L11" s="7" t="n">
        <f aca="false">kappa</f>
        <v>90</v>
      </c>
      <c r="M11" s="7" t="n">
        <f aca="false">Gamma*Size</f>
        <v>0</v>
      </c>
      <c r="N11" s="7" t="n">
        <f aca="false">Size*Beta*Phi</f>
        <v>3.24</v>
      </c>
      <c r="O11" s="7" t="n">
        <f aca="false">-(EXP(alpha*a*psi)+EXP(alpha*b*psi)*(-1+Size*psi*alpha))*(Beta*Phi)/((alpha*psi)*(EXP(alpha*a*psi)-EXP(alpha*b*psi)))</f>
        <v>1.57951517936842</v>
      </c>
      <c r="P11" s="7" t="n">
        <f aca="false">(EXP(alpha*(zeta-a*psi))*Beta*Phi*(-EXP(alpha*a*psi)*(-2+(-1)*Size*alpha*psi)+EXP(alpha*b*psi)*(-2+Size*alpha*psi)))/((alpha^3)*(psi^3))</f>
        <v>0.146515554131081</v>
      </c>
      <c r="Q11" s="7" t="n">
        <f aca="false">Tau*Beta</f>
        <v>105.996484992524</v>
      </c>
      <c r="R11" s="7" t="n">
        <f aca="false">Tau*Beta</f>
        <v>105.996484992524</v>
      </c>
      <c r="S11" s="11" t="n">
        <f aca="false">Tau</f>
        <v>0.588869361069579</v>
      </c>
      <c r="T11" s="7" t="n">
        <f aca="false">Profit+Utility</f>
        <v>-20.2240091394343</v>
      </c>
      <c r="U11" s="7" t="n">
        <f aca="false">(2*ij*BRIJ)+(2)*jj*BRJJ</f>
        <v>30.467647967787</v>
      </c>
      <c r="V11" s="9" t="n">
        <f aca="false">2*(ij*BCCIJ)+(2*jj*BCCJJ)+BCS+jj*BCPTJJ+2*(ij*BCPTIJ)+BCPTII+BCk</f>
        <v>94.7427548391182</v>
      </c>
      <c r="W11" s="7" t="n">
        <f aca="false">ij*BUTIJ+BUTII</f>
        <v>44.0510977318969</v>
      </c>
      <c r="X11" s="7" t="n">
        <f aca="false">Revenue-Cost</f>
        <v>-64.2751068713312</v>
      </c>
    </row>
    <row r="12" customFormat="false" ht="13" hidden="false" customHeight="false" outlineLevel="0" collapsed="false">
      <c r="A12" s="2" t="n">
        <v>0.588869361069045</v>
      </c>
      <c r="B12" s="2" t="n">
        <f aca="false">A11</f>
        <v>0.588869361069579</v>
      </c>
      <c r="C12" s="2" t="n">
        <v>1</v>
      </c>
      <c r="D12" s="2" t="n">
        <v>0</v>
      </c>
      <c r="E12" s="2" t="n">
        <f aca="false">Size-a</f>
        <v>1</v>
      </c>
      <c r="F12" s="10" t="n">
        <f aca="false">(EXP(alpha*(Tau+OldTau+zeta-2*a*psi))*((EXP(alpha*a*psi)-EXP(alpha*b*psi))^2))/((EXP(alpha*a*psi)-EXP(alpha*(2*OldTau+b*psi)))*(alpha^2)*(psi^2))</f>
        <v>0.105623341575761</v>
      </c>
      <c r="G12" s="10" t="n">
        <f aca="false">(EXP(alpha*(zeta+(2*b-a)*psi))*(-1+EXP(alpha*(-1)*Size*psi))*(EXP(alpha*(2*(Tau+OldTau)+a*psi))-EXP(alpha*(2*(Tau+OldTau)+b*psi))))/(((EXP(alpha*a*psi)-EXP(alpha*(2*OldTau+b*psi)))^2)*(alpha^2)*(psi^2))</f>
        <v>0.038096744848949</v>
      </c>
      <c r="H12" s="7" t="n">
        <f aca="false">-Beta/alpha</f>
        <v>180</v>
      </c>
      <c r="I12" s="7" t="n">
        <f aca="false">(-EXP(alpha*zeta)*Beta*(-1+EXP(alpha*Size*psi)-Size*alpha*psi))/((alpha^3)*(psi^2))</f>
        <v>25.0388962482082</v>
      </c>
      <c r="J12" s="7" t="n">
        <f aca="false">Beta*Theta</f>
        <v>14.4</v>
      </c>
      <c r="K12" s="7" t="n">
        <f aca="false">Beta*Theta</f>
        <v>14.4</v>
      </c>
      <c r="L12" s="7" t="n">
        <f aca="false">kappa</f>
        <v>90</v>
      </c>
      <c r="M12" s="7" t="n">
        <f aca="false">Gamma*Size</f>
        <v>0</v>
      </c>
      <c r="N12" s="7" t="n">
        <f aca="false">Size*Beta*Phi</f>
        <v>3.24</v>
      </c>
      <c r="O12" s="7" t="n">
        <f aca="false">-(EXP(alpha*a*psi)+EXP(alpha*b*psi)*(-1+Size*psi*alpha))*(Beta*Phi)/((alpha*psi)*(EXP(alpha*a*psi)-EXP(alpha*b*psi)))</f>
        <v>1.57951517936842</v>
      </c>
      <c r="P12" s="7" t="n">
        <f aca="false">(EXP(alpha*(zeta-a*psi))*Beta*Phi*(-EXP(alpha*a*psi)*(-2+(-1)*Size*alpha*psi)+EXP(alpha*b*psi)*(-2+Size*alpha*psi)))/((alpha^3)*(psi^3))</f>
        <v>0.146515554131081</v>
      </c>
      <c r="Q12" s="7" t="n">
        <f aca="false">Tau*Beta</f>
        <v>105.996484992428</v>
      </c>
      <c r="R12" s="7" t="n">
        <f aca="false">Tau*Beta</f>
        <v>105.996484992428</v>
      </c>
      <c r="S12" s="11" t="n">
        <f aca="false">Tau</f>
        <v>0.588869361069045</v>
      </c>
      <c r="T12" s="7" t="n">
        <f aca="false">Profit+Utility</f>
        <v>-20.2240091396027</v>
      </c>
      <c r="U12" s="7" t="n">
        <f aca="false">(2*ij*BRIJ)+(2)*jj*BRJJ</f>
        <v>30.4676479676545</v>
      </c>
      <c r="V12" s="9" t="n">
        <f aca="false">2*(ij*BCCIJ)+(2*jj*BCCJJ)+BCS+jj*BCPTJJ+2*(ij*BCPTIJ)+BCPTII+BCk</f>
        <v>94.7427548391024</v>
      </c>
      <c r="W12" s="7" t="n">
        <f aca="false">ij*BUTIJ+BUTII</f>
        <v>44.0510977318452</v>
      </c>
      <c r="X12" s="7" t="n">
        <f aca="false">Revenue-Cost</f>
        <v>-64.2751068714479</v>
      </c>
    </row>
    <row r="13" customFormat="false" ht="13" hidden="false" customHeight="false" outlineLevel="0" collapsed="false">
      <c r="F13" s="10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1"/>
      <c r="T13" s="7"/>
      <c r="U13" s="7"/>
      <c r="V13" s="9"/>
      <c r="W13" s="7"/>
      <c r="X13" s="7"/>
    </row>
    <row r="14" customFormat="false" ht="13" hidden="false" customHeight="false" outlineLevel="0" collapsed="false">
      <c r="A14" s="2" t="n">
        <v>0.603953412384229</v>
      </c>
      <c r="B14" s="2" t="n">
        <v>10</v>
      </c>
      <c r="C14" s="2" t="n">
        <v>1</v>
      </c>
      <c r="D14" s="2" t="n">
        <v>0</v>
      </c>
      <c r="E14" s="2" t="n">
        <f aca="false">Size-a</f>
        <v>1</v>
      </c>
      <c r="F14" s="10" t="n">
        <f aca="false">(EXP(alpha*(Tau+OldTau+zeta-2*a*psi))*((EXP(alpha*a*psi)-EXP(alpha*b*psi))^2))/((EXP(alpha*a*psi)-EXP(alpha*(2*OldTau+b*psi)))*(alpha^2)*(psi^2))</f>
        <v>6.25531683627304E-006</v>
      </c>
      <c r="G14" s="10" t="n">
        <f aca="false">(EXP(alpha*(zeta+(2*b-a)*psi))*(-1+EXP(alpha*(-1)*Size*psi))*(EXP(alpha*(2*(Tau+OldTau)+a*psi))-EXP(alpha*(2*(Tau+OldTau)+b*psi))))/(((EXP(alpha*a*psi)-EXP(alpha*(2*OldTau+b*psi)))^2)*(alpha^2)*(psi^2))</f>
        <v>1.33618529222538E-010</v>
      </c>
      <c r="H14" s="7" t="n">
        <f aca="false">-Beta/alpha</f>
        <v>180</v>
      </c>
      <c r="I14" s="7" t="n">
        <f aca="false">(-EXP(alpha*zeta)*Beta*(-1+EXP(alpha*Size*psi)-Size*alpha*psi))/((alpha^3)*(psi^2))</f>
        <v>25.0388962482082</v>
      </c>
      <c r="J14" s="7" t="n">
        <f aca="false">Beta*Theta</f>
        <v>14.4</v>
      </c>
      <c r="K14" s="7" t="n">
        <f aca="false">Beta*Theta</f>
        <v>14.4</v>
      </c>
      <c r="L14" s="7" t="n">
        <f aca="false">kappa</f>
        <v>90</v>
      </c>
      <c r="M14" s="7" t="n">
        <f aca="false">Gamma*Size</f>
        <v>0</v>
      </c>
      <c r="N14" s="7" t="n">
        <f aca="false">Size*Beta*Phi</f>
        <v>3.24</v>
      </c>
      <c r="O14" s="7" t="n">
        <f aca="false">-(EXP(alpha*a*psi)+EXP(alpha*b*psi)*(-1+Size*psi*alpha))*(Beta*Phi)/((alpha*psi)*(EXP(alpha*a*psi)-EXP(alpha*b*psi)))</f>
        <v>1.57951517936842</v>
      </c>
      <c r="P14" s="7" t="n">
        <f aca="false">(EXP(alpha*(zeta-a*psi))*Beta*Phi*(-EXP(alpha*a*psi)*(-2+(-1)*Size*alpha*psi)+EXP(alpha*b*psi)*(-2+Size*alpha*psi)))/((alpha^3)*(psi^3))</f>
        <v>0.146515554131081</v>
      </c>
      <c r="Q14" s="7" t="n">
        <f aca="false">Tau*Beta</f>
        <v>108.711614229161</v>
      </c>
      <c r="R14" s="7" t="n">
        <f aca="false">Tau*Beta</f>
        <v>108.711614229161</v>
      </c>
      <c r="S14" s="11" t="n">
        <f aca="false">Tau</f>
        <v>0.603953412384229</v>
      </c>
      <c r="T14" s="7" t="n">
        <f aca="false">Profit+Utility</f>
        <v>-65.1053331868009</v>
      </c>
      <c r="U14" s="7" t="n">
        <f aca="false">(2*ij*BRIJ)+(2)*jj*BRJJ</f>
        <v>0.00136008023334419</v>
      </c>
      <c r="V14" s="9" t="n">
        <f aca="false">2*(ij*BCCIJ)+(2*jj*BCCJJ)+BCS+jj*BCPTJJ+2*(ij*BCPTIJ)+BCPTII+BCk</f>
        <v>90.1467154722729</v>
      </c>
      <c r="W14" s="7" t="n">
        <f aca="false">ij*BUTIJ+BUTII</f>
        <v>25.0400222052387</v>
      </c>
      <c r="X14" s="7" t="n">
        <f aca="false">Revenue-Cost</f>
        <v>-90.1453553920396</v>
      </c>
    </row>
    <row r="15" customFormat="false" ht="13" hidden="false" customHeight="false" outlineLevel="0" collapsed="false">
      <c r="A15" s="2" t="n">
        <v>0.588867955918557</v>
      </c>
      <c r="B15" s="2" t="n">
        <f aca="false">A14</f>
        <v>0.603953412384229</v>
      </c>
      <c r="C15" s="2" t="n">
        <v>1</v>
      </c>
      <c r="D15" s="2" t="n">
        <v>0</v>
      </c>
      <c r="E15" s="2" t="n">
        <f aca="false">Size-a</f>
        <v>1</v>
      </c>
      <c r="F15" s="10" t="n">
        <f aca="false">(EXP(alpha*(Tau+OldTau+zeta-2*a*psi))*((EXP(alpha*a*psi)-EXP(alpha*b*psi))^2))/((EXP(alpha*a*psi)-EXP(alpha*(2*OldTau+b*psi)))*(alpha^2)*(psi^2))</f>
        <v>0.102938846759666</v>
      </c>
      <c r="G15" s="10" t="n">
        <f aca="false">(EXP(alpha*(zeta+(2*b-a)*psi))*(-1+EXP(alpha*(-1)*Size*psi))*(EXP(alpha*(2*(Tau+OldTau)+a*psi))-EXP(alpha*(2*(Tau+OldTau)+b*psi))))/(((EXP(alpha*a*psi)-EXP(alpha*(2*OldTau+b*psi)))^2)*(alpha^2)*(psi^2))</f>
        <v>0.0361848402939545</v>
      </c>
      <c r="H15" s="7" t="n">
        <f aca="false">-Beta/alpha</f>
        <v>180</v>
      </c>
      <c r="I15" s="7" t="n">
        <f aca="false">(-EXP(alpha*zeta)*Beta*(-1+EXP(alpha*Size*psi)-Size*alpha*psi))/((alpha^3)*(psi^2))</f>
        <v>25.0388962482082</v>
      </c>
      <c r="J15" s="7" t="n">
        <f aca="false">Beta*Theta</f>
        <v>14.4</v>
      </c>
      <c r="K15" s="7" t="n">
        <f aca="false">Beta*Theta</f>
        <v>14.4</v>
      </c>
      <c r="L15" s="7" t="n">
        <f aca="false">kappa</f>
        <v>90</v>
      </c>
      <c r="M15" s="7" t="n">
        <f aca="false">Gamma*Size</f>
        <v>0</v>
      </c>
      <c r="N15" s="7" t="n">
        <f aca="false">Size*Beta*Phi</f>
        <v>3.24</v>
      </c>
      <c r="O15" s="7" t="n">
        <f aca="false">-(EXP(alpha*a*psi)+EXP(alpha*b*psi)*(-1+Size*psi*alpha))*(Beta*Phi)/((alpha*psi)*(EXP(alpha*a*psi)-EXP(alpha*b*psi)))</f>
        <v>1.57951517936842</v>
      </c>
      <c r="P15" s="7" t="n">
        <f aca="false">(EXP(alpha*(zeta-a*psi))*Beta*Phi*(-EXP(alpha*a*psi)*(-2+(-1)*Size*alpha*psi)+EXP(alpha*b*psi)*(-2+Size*alpha*psi)))/((alpha^3)*(psi^3))</f>
        <v>0.146515554131081</v>
      </c>
      <c r="Q15" s="7" t="n">
        <f aca="false">Tau*Beta</f>
        <v>105.99623206534</v>
      </c>
      <c r="R15" s="7" t="n">
        <f aca="false">Tau*Beta</f>
        <v>105.99623206534</v>
      </c>
      <c r="S15" s="11" t="n">
        <f aca="false">Tau</f>
        <v>0.588867955918557</v>
      </c>
      <c r="T15" s="7" t="n">
        <f aca="false">Profit+Utility</f>
        <v>-21.5346416634441</v>
      </c>
      <c r="U15" s="7" t="n">
        <f aca="false">(2*ij*BRIJ)+(2)*jj*BRJJ</f>
        <v>29.4931732374427</v>
      </c>
      <c r="V15" s="9" t="n">
        <f aca="false">2*(ij*BCCIJ)+(2*jj*BCCJJ)+BCS+jj*BCPTJJ+2*(ij*BCPTIJ)+BCPTII+BCk</f>
        <v>94.5957035658349</v>
      </c>
      <c r="W15" s="7" t="n">
        <f aca="false">ij*BUTIJ+BUTII</f>
        <v>43.5678886649481</v>
      </c>
      <c r="X15" s="7" t="n">
        <f aca="false">Revenue-Cost</f>
        <v>-65.1025303283922</v>
      </c>
    </row>
    <row r="16" customFormat="false" ht="13" hidden="false" customHeight="false" outlineLevel="0" collapsed="false">
      <c r="A16" s="2" t="n">
        <v>0.588869361200466</v>
      </c>
      <c r="B16" s="2" t="n">
        <f aca="false">A15</f>
        <v>0.588867955918557</v>
      </c>
      <c r="C16" s="2" t="n">
        <v>1</v>
      </c>
      <c r="D16" s="2" t="n">
        <v>0</v>
      </c>
      <c r="E16" s="2" t="n">
        <f aca="false">Size-a</f>
        <v>1</v>
      </c>
      <c r="F16" s="10" t="n">
        <f aca="false">(EXP(alpha*(Tau+OldTau+zeta-2*a*psi))*((EXP(alpha*a*psi)-EXP(alpha*b*psi))^2))/((EXP(alpha*a*psi)-EXP(alpha*(2*OldTau+b*psi)))*(alpha^2)*(psi^2))</f>
        <v>0.1056235970425</v>
      </c>
      <c r="G16" s="10" t="n">
        <f aca="false">(EXP(alpha*(zeta+(2*b-a)*psi))*(-1+EXP(alpha*(-1)*Size*psi))*(EXP(alpha*(2*(Tau+OldTau)+a*psi))-EXP(alpha*(2*(Tau+OldTau)+b*psi))))/(((EXP(alpha*a*psi)-EXP(alpha*(2*OldTau+b*psi)))^2)*(alpha^2)*(psi^2))</f>
        <v>0.0380969291351644</v>
      </c>
      <c r="H16" s="7" t="n">
        <f aca="false">-Beta/alpha</f>
        <v>180</v>
      </c>
      <c r="I16" s="7" t="n">
        <f aca="false">(-EXP(alpha*zeta)*Beta*(-1+EXP(alpha*Size*psi)-Size*alpha*psi))/((alpha^3)*(psi^2))</f>
        <v>25.0388962482082</v>
      </c>
      <c r="J16" s="7" t="n">
        <f aca="false">Beta*Theta</f>
        <v>14.4</v>
      </c>
      <c r="K16" s="7" t="n">
        <f aca="false">Beta*Theta</f>
        <v>14.4</v>
      </c>
      <c r="L16" s="7" t="n">
        <f aca="false">kappa</f>
        <v>90</v>
      </c>
      <c r="M16" s="7" t="n">
        <f aca="false">Gamma*Size</f>
        <v>0</v>
      </c>
      <c r="N16" s="7" t="n">
        <f aca="false">Size*Beta*Phi</f>
        <v>3.24</v>
      </c>
      <c r="O16" s="7" t="n">
        <f aca="false">-(EXP(alpha*a*psi)+EXP(alpha*b*psi)*(-1+Size*psi*alpha))*(Beta*Phi)/((alpha*psi)*(EXP(alpha*a*psi)-EXP(alpha*b*psi)))</f>
        <v>1.57951517936842</v>
      </c>
      <c r="P16" s="7" t="n">
        <f aca="false">(EXP(alpha*(zeta-a*psi))*Beta*Phi*(-EXP(alpha*a*psi)*(-2+(-1)*Size*alpha*psi)+EXP(alpha*b*psi)*(-2+Size*alpha*psi)))/((alpha^3)*(psi^3))</f>
        <v>0.146515554131081</v>
      </c>
      <c r="Q16" s="7" t="n">
        <f aca="false">Tau*Beta</f>
        <v>105.996485016084</v>
      </c>
      <c r="R16" s="7" t="n">
        <f aca="false">Tau*Beta</f>
        <v>105.996485016084</v>
      </c>
      <c r="S16" s="11" t="n">
        <f aca="false">Tau</f>
        <v>0.588869361200466</v>
      </c>
      <c r="T16" s="7" t="n">
        <f aca="false">Profit+Utility</f>
        <v>-20.2238839932548</v>
      </c>
      <c r="U16" s="7" t="n">
        <f aca="false">(2*ij*BRIJ)+(2)*jj*BRJJ</f>
        <v>30.467741198989</v>
      </c>
      <c r="V16" s="9" t="n">
        <f aca="false">2*(ij*BCCIJ)+(2*jj*BCCJJ)+BCS+jj*BCPTJJ+2*(ij*BCPTIJ)+BCPTII+BCk</f>
        <v>94.742768908102</v>
      </c>
      <c r="W16" s="7" t="n">
        <f aca="false">ij*BUTIJ+BUTII</f>
        <v>44.0511437158582</v>
      </c>
      <c r="X16" s="7" t="n">
        <f aca="false">Revenue-Cost</f>
        <v>-64.275027709113</v>
      </c>
    </row>
    <row r="17" customFormat="false" ht="13" hidden="false" customHeight="false" outlineLevel="0" collapsed="false">
      <c r="A17" s="2" t="n">
        <v>0.58886936106907</v>
      </c>
      <c r="B17" s="2" t="n">
        <f aca="false">A16</f>
        <v>0.588869361200466</v>
      </c>
      <c r="C17" s="2" t="n">
        <v>1</v>
      </c>
      <c r="D17" s="2" t="n">
        <v>0</v>
      </c>
      <c r="E17" s="2" t="n">
        <f aca="false">Size-a</f>
        <v>1</v>
      </c>
      <c r="F17" s="10" t="n">
        <f aca="false">(EXP(alpha*(Tau+OldTau+zeta-2*a*psi))*((EXP(alpha*a*psi)-EXP(alpha*b*psi))^2))/((EXP(alpha*a*psi)-EXP(alpha*(2*OldTau+b*psi)))*(alpha^2)*(psi^2))</f>
        <v>0.105623341551961</v>
      </c>
      <c r="G17" s="10" t="n">
        <f aca="false">(EXP(alpha*(zeta+(2*b-a)*psi))*(-1+EXP(alpha*(-1)*Size*psi))*(EXP(alpha*(2*(Tau+OldTau)+a*psi))-EXP(alpha*(2*(Tau+OldTau)+b*psi))))/(((EXP(alpha*a*psi)-EXP(alpha*(2*OldTau+b*psi)))^2)*(alpha^2)*(psi^2))</f>
        <v>0.0380967448317803</v>
      </c>
      <c r="H17" s="7" t="n">
        <f aca="false">-Beta/alpha</f>
        <v>180</v>
      </c>
      <c r="I17" s="7" t="n">
        <f aca="false">(-EXP(alpha*zeta)*Beta*(-1+EXP(alpha*Size*psi)-Size*alpha*psi))/((alpha^3)*(psi^2))</f>
        <v>25.0388962482082</v>
      </c>
      <c r="J17" s="7" t="n">
        <f aca="false">Beta*Theta</f>
        <v>14.4</v>
      </c>
      <c r="K17" s="7" t="n">
        <f aca="false">Beta*Theta</f>
        <v>14.4</v>
      </c>
      <c r="L17" s="7" t="n">
        <f aca="false">kappa</f>
        <v>90</v>
      </c>
      <c r="M17" s="7" t="n">
        <f aca="false">Gamma*Size</f>
        <v>0</v>
      </c>
      <c r="N17" s="7" t="n">
        <f aca="false">Size*Beta*Phi</f>
        <v>3.24</v>
      </c>
      <c r="O17" s="7" t="n">
        <f aca="false">-(EXP(alpha*a*psi)+EXP(alpha*b*psi)*(-1+Size*psi*alpha))*(Beta*Phi)/((alpha*psi)*(EXP(alpha*a*psi)-EXP(alpha*b*psi)))</f>
        <v>1.57951517936842</v>
      </c>
      <c r="P17" s="7" t="n">
        <f aca="false">(EXP(alpha*(zeta-a*psi))*Beta*Phi*(-EXP(alpha*a*psi)*(-2+(-1)*Size*alpha*psi)+EXP(alpha*b*psi)*(-2+Size*alpha*psi)))/((alpha^3)*(psi^3))</f>
        <v>0.146515554131081</v>
      </c>
      <c r="Q17" s="7" t="n">
        <f aca="false">Tau*Beta</f>
        <v>105.996484992433</v>
      </c>
      <c r="R17" s="7" t="n">
        <f aca="false">Tau*Beta</f>
        <v>105.996484992433</v>
      </c>
      <c r="S17" s="11" t="n">
        <f aca="false">Tau</f>
        <v>0.58886936106907</v>
      </c>
      <c r="T17" s="7" t="n">
        <f aca="false">Profit+Utility</f>
        <v>-20.2240091512598</v>
      </c>
      <c r="U17" s="7" t="n">
        <f aca="false">(2*ij*BRIJ)+(2)*jj*BRJJ</f>
        <v>30.4676479589707</v>
      </c>
      <c r="V17" s="9" t="n">
        <f aca="false">2*(ij*BCCIJ)+(2*jj*BCCJJ)+BCS+jj*BCPTJJ+2*(ij*BCPTIJ)+BCPTII+BCk</f>
        <v>94.7427548377917</v>
      </c>
      <c r="W17" s="7" t="n">
        <f aca="false">ij*BUTIJ+BUTII</f>
        <v>44.0510977275612</v>
      </c>
      <c r="X17" s="7" t="n">
        <f aca="false">Revenue-Cost</f>
        <v>-64.2751068788209</v>
      </c>
    </row>
    <row r="18" customFormat="false" ht="13" hidden="false" customHeight="false" outlineLevel="0" collapsed="false">
      <c r="A18" s="2" t="n">
        <v>0.588869361069265</v>
      </c>
      <c r="B18" s="2" t="n">
        <f aca="false">A17</f>
        <v>0.58886936106907</v>
      </c>
      <c r="C18" s="2" t="n">
        <v>1</v>
      </c>
      <c r="D18" s="2" t="n">
        <v>0</v>
      </c>
      <c r="E18" s="2" t="n">
        <f aca="false">Size-a</f>
        <v>1</v>
      </c>
      <c r="F18" s="10" t="n">
        <f aca="false">(EXP(alpha*(Tau+OldTau+zeta-2*a*psi))*((EXP(alpha*a*psi)-EXP(alpha*b*psi))^2))/((EXP(alpha*a*psi)-EXP(alpha*(2*OldTau+b*psi)))*(alpha^2)*(psi^2))</f>
        <v>0.105623341575831</v>
      </c>
      <c r="G18" s="10" t="n">
        <f aca="false">(EXP(alpha*(zeta+(2*b-a)*psi))*(-1+EXP(alpha*(-1)*Size*psi))*(EXP(alpha*(2*(Tau+OldTau)+a*psi))-EXP(alpha*(2*(Tau+OldTau)+b*psi))))/(((EXP(alpha*a*psi)-EXP(alpha*(2*OldTau+b*psi)))^2)*(alpha^2)*(psi^2))</f>
        <v>0.038096744848999</v>
      </c>
      <c r="H18" s="7" t="n">
        <f aca="false">-Beta/alpha</f>
        <v>180</v>
      </c>
      <c r="I18" s="7" t="n">
        <f aca="false">(-EXP(alpha*zeta)*Beta*(-1+EXP(alpha*Size*psi)-Size*alpha*psi))/((alpha^3)*(psi^2))</f>
        <v>25.0388962482082</v>
      </c>
      <c r="J18" s="7" t="n">
        <f aca="false">Beta*Theta</f>
        <v>14.4</v>
      </c>
      <c r="K18" s="7" t="n">
        <f aca="false">Beta*Theta</f>
        <v>14.4</v>
      </c>
      <c r="L18" s="7" t="n">
        <f aca="false">kappa</f>
        <v>90</v>
      </c>
      <c r="M18" s="7" t="n">
        <f aca="false">Gamma*Size</f>
        <v>0</v>
      </c>
      <c r="N18" s="7" t="n">
        <f aca="false">Size*Beta*Phi</f>
        <v>3.24</v>
      </c>
      <c r="O18" s="7" t="n">
        <f aca="false">-(EXP(alpha*a*psi)+EXP(alpha*b*psi)*(-1+Size*psi*alpha))*(Beta*Phi)/((alpha*psi)*(EXP(alpha*a*psi)-EXP(alpha*b*psi)))</f>
        <v>1.57951517936842</v>
      </c>
      <c r="P18" s="7" t="n">
        <f aca="false">(EXP(alpha*(zeta-a*psi))*Beta*Phi*(-EXP(alpha*a*psi)*(-2+(-1)*Size*alpha*psi)+EXP(alpha*b*psi)*(-2+Size*alpha*psi)))/((alpha^3)*(psi^3))</f>
        <v>0.146515554131081</v>
      </c>
      <c r="Q18" s="7" t="n">
        <f aca="false">Tau*Beta</f>
        <v>105.996484992468</v>
      </c>
      <c r="R18" s="7" t="n">
        <f aca="false">Tau*Beta</f>
        <v>105.996484992468</v>
      </c>
      <c r="S18" s="11" t="n">
        <f aca="false">Tau</f>
        <v>0.588869361069265</v>
      </c>
      <c r="T18" s="7" t="n">
        <f aca="false">Profit+Utility</f>
        <v>-20.2240091395573</v>
      </c>
      <c r="U18" s="7" t="n">
        <f aca="false">(2*ij*BRIJ)+(2)*jj*BRJJ</f>
        <v>30.4676479676912</v>
      </c>
      <c r="V18" s="9" t="n">
        <f aca="false">2*(ij*BCCIJ)+(2*jj*BCCJJ)+BCS+jj*BCPTJJ+2*(ij*BCPTIJ)+BCPTII+BCk</f>
        <v>94.7427548391062</v>
      </c>
      <c r="W18" s="7" t="n">
        <f aca="false">ij*BUTIJ+BUTII</f>
        <v>44.0510977318577</v>
      </c>
      <c r="X18" s="7" t="n">
        <f aca="false">Revenue-Cost</f>
        <v>-64.275106871415</v>
      </c>
    </row>
    <row r="20" customFormat="false" ht="13" hidden="false" customHeight="false" outlineLevel="0" collapsed="false">
      <c r="A20" s="2" t="n">
        <v>-0.135472620081743</v>
      </c>
      <c r="B20" s="2" t="n">
        <v>-1</v>
      </c>
      <c r="C20" s="2" t="n">
        <v>1</v>
      </c>
      <c r="D20" s="2" t="n">
        <v>0</v>
      </c>
      <c r="E20" s="2" t="n">
        <f aca="false">Size-a</f>
        <v>1</v>
      </c>
      <c r="F20" s="10" t="n">
        <f aca="false">(EXP(alpha*(Tau+OldTau+zeta-2*a*psi))*((EXP(alpha*a*psi)-EXP(alpha*b*psi))^2))/((EXP(alpha*a*psi)-EXP(alpha*(2*OldTau+b*psi)))*(alpha^2)*(psi^2))</f>
        <v>-0.146375061821429</v>
      </c>
      <c r="G20" s="10" t="n">
        <f aca="false">(EXP(alpha*(zeta+(2*b-a)*psi))*(-1+EXP(alpha*(-1)*Size*psi))*(EXP(alpha*(2*(Tau+OldTau)+a*psi))-EXP(alpha*(2*(Tau+OldTau)+b*psi))))/(((EXP(alpha*a*psi)-EXP(alpha*(2*OldTau+b*psi)))^2)*(alpha^2)*(psi^2))</f>
        <v>0.0731648095111711</v>
      </c>
      <c r="H20" s="7" t="n">
        <f aca="false">-Beta/alpha</f>
        <v>180</v>
      </c>
      <c r="I20" s="7" t="n">
        <f aca="false">(-EXP(alpha*zeta)*Beta*(-1+EXP(alpha*Size*psi)-Size*alpha*psi))/((alpha^3)*(psi^2))</f>
        <v>25.0388962482082</v>
      </c>
      <c r="J20" s="7" t="n">
        <f aca="false">Beta*Theta</f>
        <v>14.4</v>
      </c>
      <c r="K20" s="7" t="n">
        <f aca="false">Beta*Theta</f>
        <v>14.4</v>
      </c>
      <c r="L20" s="7" t="n">
        <f aca="false">kappa</f>
        <v>90</v>
      </c>
      <c r="M20" s="7" t="n">
        <f aca="false">Gamma*Size</f>
        <v>0</v>
      </c>
      <c r="N20" s="7" t="n">
        <f aca="false">Size*Beta*Phi</f>
        <v>3.24</v>
      </c>
      <c r="O20" s="7" t="n">
        <f aca="false">-(EXP(alpha*a*psi)+EXP(alpha*b*psi)*(-1+Size*psi*alpha))*(Beta*Phi)/((alpha*psi)*(EXP(alpha*a*psi)-EXP(alpha*b*psi)))</f>
        <v>1.57951517936842</v>
      </c>
      <c r="P20" s="7" t="n">
        <f aca="false">(EXP(alpha*(zeta-a*psi))*Beta*Phi*(-EXP(alpha*a*psi)*(-2+(-1)*Size*alpha*psi)+EXP(alpha*b*psi)*(-2+Size*alpha*psi)))/((alpha^3)*(psi^3))</f>
        <v>0.146515554131081</v>
      </c>
      <c r="Q20" s="7" t="n">
        <f aca="false">Tau*Beta</f>
        <v>-24.3850716147137</v>
      </c>
      <c r="R20" s="7" t="n">
        <f aca="false">Tau*Beta</f>
        <v>-24.3850716147137</v>
      </c>
      <c r="S20" s="11" t="n">
        <f aca="false">Tau</f>
        <v>-0.135472620081743</v>
      </c>
      <c r="T20" s="7" t="n">
        <f aca="false">Profit+Utility</f>
        <v>-85.5508513949712</v>
      </c>
      <c r="U20" s="7" t="n">
        <f aca="false">(2*ij*BRIJ)+(2)*jj*BRJJ</f>
        <v>3.57047449103379</v>
      </c>
      <c r="V20" s="9" t="n">
        <f aca="false">2*(ij*BCCIJ)+(2*jj*BCCJJ)+BCS+jj*BCPTJJ+2*(ij*BCPTIJ)+BCPTII+BCk</f>
        <v>87.812711006356</v>
      </c>
      <c r="W20" s="7" t="n">
        <f aca="false">ij*BUTIJ+BUTII</f>
        <v>-1.30861487964906</v>
      </c>
      <c r="X20" s="7" t="n">
        <f aca="false">Revenue-Cost</f>
        <v>-84.2422365153222</v>
      </c>
    </row>
    <row r="21" customFormat="false" ht="13" hidden="false" customHeight="false" outlineLevel="0" collapsed="false">
      <c r="A21" s="2" t="n">
        <v>0.589031656340516</v>
      </c>
      <c r="B21" s="2" t="n">
        <f aca="false">A20</f>
        <v>-0.135472620081743</v>
      </c>
      <c r="C21" s="2" t="n">
        <v>1</v>
      </c>
      <c r="D21" s="2" t="n">
        <v>0</v>
      </c>
      <c r="E21" s="2" t="n">
        <f aca="false">Size-a</f>
        <v>1</v>
      </c>
      <c r="F21" s="10" t="n">
        <f aca="false">(EXP(alpha*(Tau+OldTau+zeta-2*a*psi))*((EXP(alpha*a*psi)-EXP(alpha*b*psi))^2))/((EXP(alpha*a*psi)-EXP(alpha*(2*OldTau+b*psi)))*(alpha^2)*(psi^2))</f>
        <v>-1.24564189245885</v>
      </c>
      <c r="G21" s="10" t="n">
        <f aca="false">(EXP(alpha*(zeta+(2*b-a)*psi))*(-1+EXP(alpha*(-1)*Size*psi))*(EXP(alpha*(2*(Tau+OldTau)+a*psi))-EXP(alpha*(2*(Tau+OldTau)+b*psi))))/(((EXP(alpha*a*psi)-EXP(alpha*(2*OldTau+b*psi)))^2)*(alpha^2)*(psi^2))</f>
        <v>5.29851873793654</v>
      </c>
      <c r="H21" s="7" t="n">
        <f aca="false">-Beta/alpha</f>
        <v>180</v>
      </c>
      <c r="I21" s="7" t="n">
        <f aca="false">(-EXP(alpha*zeta)*Beta*(-1+EXP(alpha*Size*psi)-Size*alpha*psi))/((alpha^3)*(psi^2))</f>
        <v>25.0388962482082</v>
      </c>
      <c r="J21" s="7" t="n">
        <f aca="false">Beta*Theta</f>
        <v>14.4</v>
      </c>
      <c r="K21" s="7" t="n">
        <f aca="false">Beta*Theta</f>
        <v>14.4</v>
      </c>
      <c r="L21" s="7" t="n">
        <f aca="false">kappa</f>
        <v>90</v>
      </c>
      <c r="M21" s="7" t="n">
        <f aca="false">Gamma*Size</f>
        <v>0</v>
      </c>
      <c r="N21" s="7" t="n">
        <f aca="false">Size*Beta*Phi</f>
        <v>3.24</v>
      </c>
      <c r="O21" s="7" t="n">
        <f aca="false">-(EXP(alpha*a*psi)+EXP(alpha*b*psi)*(-1+Size*psi*alpha))*(Beta*Phi)/((alpha*psi)*(EXP(alpha*a*psi)-EXP(alpha*b*psi)))</f>
        <v>1.57951517936842</v>
      </c>
      <c r="P21" s="7" t="n">
        <f aca="false">(EXP(alpha*(zeta-a*psi))*Beta*Phi*(-EXP(alpha*a*psi)*(-2+(-1)*Size*alpha*psi)+EXP(alpha*b*psi)*(-2+Size*alpha*psi)))/((alpha^3)*(psi^3))</f>
        <v>0.146515554131081</v>
      </c>
      <c r="Q21" s="7" t="n">
        <f aca="false">Tau*Beta</f>
        <v>106.025698141293</v>
      </c>
      <c r="R21" s="7" t="n">
        <f aca="false">Tau*Beta</f>
        <v>106.025698141293</v>
      </c>
      <c r="S21" s="11" t="n">
        <f aca="false">Tau</f>
        <v>0.589031656340516</v>
      </c>
      <c r="T21" s="7" t="n">
        <f aca="false">Profit+Utility</f>
        <v>440.140000790111</v>
      </c>
      <c r="U21" s="7" t="n">
        <f aca="false">(2*ij*BRIJ)+(2)*jj*BRJJ</f>
        <v>859.418194044906</v>
      </c>
      <c r="V21" s="9" t="n">
        <f aca="false">2*(ij*BCCIJ)+(2*jj*BCCJJ)+BCS+jj*BCPTJJ+2*(ij*BCPTIJ)+BCPTII+BCk</f>
        <v>220.101548860411</v>
      </c>
      <c r="W21" s="7" t="n">
        <f aca="false">ij*BUTIJ+BUTII</f>
        <v>-199.176644394385</v>
      </c>
      <c r="X21" s="7" t="n">
        <f aca="false">Revenue-Cost</f>
        <v>639.316645184495</v>
      </c>
    </row>
    <row r="22" customFormat="false" ht="13" hidden="false" customHeight="false" outlineLevel="0" collapsed="false">
      <c r="A22" s="2" t="n">
        <v>0.588869345800783</v>
      </c>
      <c r="B22" s="2" t="n">
        <f aca="false">A21</f>
        <v>0.589031656340516</v>
      </c>
      <c r="C22" s="2" t="n">
        <v>1</v>
      </c>
      <c r="D22" s="2" t="n">
        <v>0</v>
      </c>
      <c r="E22" s="2" t="n">
        <f aca="false">Size-a</f>
        <v>1</v>
      </c>
      <c r="F22" s="10" t="n">
        <f aca="false">(EXP(alpha*(Tau+OldTau+zeta-2*a*psi))*((EXP(alpha*a*psi)-EXP(alpha*b*psi))^2))/((EXP(alpha*a*psi)-EXP(alpha*(2*OldTau+b*psi)))*(alpha^2)*(psi^2))</f>
        <v>0.10559384202706</v>
      </c>
      <c r="G22" s="10" t="n">
        <f aca="false">(EXP(alpha*(zeta+(2*b-a)*psi))*(-1+EXP(alpha*(-1)*Size*psi))*(EXP(alpha*(2*(Tau+OldTau)+a*psi))-EXP(alpha*(2*(Tau+OldTau)+b*psi))))/(((EXP(alpha*a*psi)-EXP(alpha*(2*OldTau+b*psi)))^2)*(alpha^2)*(psi^2))</f>
        <v>0.0380754677368063</v>
      </c>
      <c r="H22" s="7" t="n">
        <f aca="false">-Beta/alpha</f>
        <v>180</v>
      </c>
      <c r="I22" s="7" t="n">
        <f aca="false">(-EXP(alpha*zeta)*Beta*(-1+EXP(alpha*Size*psi)-Size*alpha*psi))/((alpha^3)*(psi^2))</f>
        <v>25.0388962482082</v>
      </c>
      <c r="J22" s="7" t="n">
        <f aca="false">Beta*Theta</f>
        <v>14.4</v>
      </c>
      <c r="K22" s="7" t="n">
        <f aca="false">Beta*Theta</f>
        <v>14.4</v>
      </c>
      <c r="L22" s="7" t="n">
        <f aca="false">kappa</f>
        <v>90</v>
      </c>
      <c r="M22" s="7" t="n">
        <f aca="false">Gamma*Size</f>
        <v>0</v>
      </c>
      <c r="N22" s="7" t="n">
        <f aca="false">Size*Beta*Phi</f>
        <v>3.24</v>
      </c>
      <c r="O22" s="7" t="n">
        <f aca="false">-(EXP(alpha*a*psi)+EXP(alpha*b*psi)*(-1+Size*psi*alpha))*(Beta*Phi)/((alpha*psi)*(EXP(alpha*a*psi)-EXP(alpha*b*psi)))</f>
        <v>1.57951517936842</v>
      </c>
      <c r="P22" s="7" t="n">
        <f aca="false">(EXP(alpha*(zeta-a*psi))*Beta*Phi*(-EXP(alpha*a*psi)*(-2+(-1)*Size*alpha*psi)+EXP(alpha*b*psi)*(-2+Size*alpha*psi)))/((alpha^3)*(psi^3))</f>
        <v>0.146515554131081</v>
      </c>
      <c r="Q22" s="7" t="n">
        <f aca="false">Tau*Beta</f>
        <v>105.996482244141</v>
      </c>
      <c r="R22" s="7" t="n">
        <f aca="false">Tau*Beta</f>
        <v>105.996482244141</v>
      </c>
      <c r="S22" s="11" t="n">
        <f aca="false">Tau</f>
        <v>0.588869345800783</v>
      </c>
      <c r="T22" s="7" t="n">
        <f aca="false">Profit+Utility</f>
        <v>-20.2384596475504</v>
      </c>
      <c r="U22" s="7" t="n">
        <f aca="false">(2*ij*BRIJ)+(2)*jj*BRJJ</f>
        <v>30.4568828828274</v>
      </c>
      <c r="V22" s="9" t="n">
        <f aca="false">2*(ij*BCCIJ)+(2*jj*BCCJJ)+BCS+jj*BCPTJJ+2*(ij*BCPTIJ)+BCPTII+BCk</f>
        <v>94.7411303434569</v>
      </c>
      <c r="W22" s="7" t="n">
        <f aca="false">ij*BUTIJ+BUTII</f>
        <v>44.045787813079</v>
      </c>
      <c r="X22" s="7" t="n">
        <f aca="false">Revenue-Cost</f>
        <v>-64.2842474606295</v>
      </c>
    </row>
    <row r="23" customFormat="false" ht="13" hidden="false" customHeight="false" outlineLevel="0" collapsed="false">
      <c r="A23" s="2" t="n">
        <v>0.588869361069999</v>
      </c>
      <c r="B23" s="2" t="n">
        <f aca="false">A22</f>
        <v>0.588869345800783</v>
      </c>
      <c r="C23" s="2" t="n">
        <v>1</v>
      </c>
      <c r="D23" s="2" t="n">
        <v>0</v>
      </c>
      <c r="E23" s="2" t="n">
        <f aca="false">Size-a</f>
        <v>1</v>
      </c>
      <c r="F23" s="10" t="n">
        <f aca="false">(EXP(alpha*(Tau+OldTau+zeta-2*a*psi))*((EXP(alpha*a*psi)-EXP(alpha*b*psi))^2))/((EXP(alpha*a*psi)-EXP(alpha*(2*OldTau+b*psi)))*(alpha^2)*(psi^2))</f>
        <v>0.105623344351785</v>
      </c>
      <c r="G23" s="10" t="n">
        <f aca="false">(EXP(alpha*(zeta+(2*b-a)*psi))*(-1+EXP(alpha*(-1)*Size*psi))*(EXP(alpha*(2*(Tau+OldTau)+a*psi))-EXP(alpha*(2*(Tau+OldTau)+b*psi))))/(((EXP(alpha*a*psi)-EXP(alpha*(2*OldTau+b*psi)))^2)*(alpha^2)*(psi^2))</f>
        <v>0.0380967468514885</v>
      </c>
      <c r="H23" s="7" t="n">
        <f aca="false">-Beta/alpha</f>
        <v>180</v>
      </c>
      <c r="I23" s="7" t="n">
        <f aca="false">(-EXP(alpha*zeta)*Beta*(-1+EXP(alpha*Size*psi)-Size*alpha*psi))/((alpha^3)*(psi^2))</f>
        <v>25.0388962482082</v>
      </c>
      <c r="J23" s="7" t="n">
        <f aca="false">Beta*Theta</f>
        <v>14.4</v>
      </c>
      <c r="K23" s="7" t="n">
        <f aca="false">Beta*Theta</f>
        <v>14.4</v>
      </c>
      <c r="L23" s="7" t="n">
        <f aca="false">kappa</f>
        <v>90</v>
      </c>
      <c r="M23" s="7" t="n">
        <f aca="false">Gamma*Size</f>
        <v>0</v>
      </c>
      <c r="N23" s="7" t="n">
        <f aca="false">Size*Beta*Phi</f>
        <v>3.24</v>
      </c>
      <c r="O23" s="7" t="n">
        <f aca="false">-(EXP(alpha*a*psi)+EXP(alpha*b*psi)*(-1+Size*psi*alpha))*(Beta*Phi)/((alpha*psi)*(EXP(alpha*a*psi)-EXP(alpha*b*psi)))</f>
        <v>1.57951517936842</v>
      </c>
      <c r="P23" s="7" t="n">
        <f aca="false">(EXP(alpha*(zeta-a*psi))*Beta*Phi*(-EXP(alpha*a*psi)*(-2+(-1)*Size*alpha*psi)+EXP(alpha*b*psi)*(-2+Size*alpha*psi)))/((alpha^3)*(psi^3))</f>
        <v>0.146515554131081</v>
      </c>
      <c r="Q23" s="7" t="n">
        <f aca="false">Tau*Beta</f>
        <v>105.9964849926</v>
      </c>
      <c r="R23" s="7" t="n">
        <f aca="false">Tau*Beta</f>
        <v>105.9964849926</v>
      </c>
      <c r="S23" s="11" t="n">
        <f aca="false">Tau</f>
        <v>0.588869361069999</v>
      </c>
      <c r="T23" s="7" t="n">
        <f aca="false">Profit+Utility</f>
        <v>-20.2240077797278</v>
      </c>
      <c r="U23" s="7" t="n">
        <f aca="false">(2*ij*BRIJ)+(2)*jj*BRJJ</f>
        <v>30.4676489807256</v>
      </c>
      <c r="V23" s="9" t="n">
        <f aca="false">2*(ij*BCCIJ)+(2*jj*BCCJJ)+BCS+jj*BCPTJJ+2*(ij*BCPTIJ)+BCPTII+BCk</f>
        <v>94.7427549919828</v>
      </c>
      <c r="W23" s="7" t="n">
        <f aca="false">ij*BUTIJ+BUTII</f>
        <v>44.0510982315294</v>
      </c>
      <c r="X23" s="7" t="n">
        <f aca="false">Revenue-Cost</f>
        <v>-64.2751060112571</v>
      </c>
    </row>
    <row r="24" customFormat="false" ht="13" hidden="false" customHeight="false" outlineLevel="0" collapsed="false">
      <c r="A24" s="2" t="n">
        <v>0.588869361068835</v>
      </c>
      <c r="B24" s="2" t="n">
        <f aca="false">A23</f>
        <v>0.588869361069999</v>
      </c>
      <c r="C24" s="2" t="n">
        <v>1</v>
      </c>
      <c r="D24" s="2" t="n">
        <v>0</v>
      </c>
      <c r="E24" s="2" t="n">
        <f aca="false">Size-a</f>
        <v>1</v>
      </c>
      <c r="F24" s="10" t="n">
        <f aca="false">(EXP(alpha*(Tau+OldTau+zeta-2*a*psi))*((EXP(alpha*a*psi)-EXP(alpha*b*psi))^2))/((EXP(alpha*a*psi)-EXP(alpha*(2*OldTau+b*psi)))*(alpha^2)*(psi^2))</f>
        <v>0.105623341575707</v>
      </c>
      <c r="G24" s="10" t="n">
        <f aca="false">(EXP(alpha*(zeta+(2*b-a)*psi))*(-1+EXP(alpha*(-1)*Size*psi))*(EXP(alpha*(2*(Tau+OldTau)+a*psi))-EXP(alpha*(2*(Tau+OldTau)+b*psi))))/(((EXP(alpha*a*psi)-EXP(alpha*(2*OldTau+b*psi)))^2)*(alpha^2)*(psi^2))</f>
        <v>0.0380967448489099</v>
      </c>
      <c r="H24" s="7" t="n">
        <f aca="false">-Beta/alpha</f>
        <v>180</v>
      </c>
      <c r="I24" s="7" t="n">
        <f aca="false">(-EXP(alpha*zeta)*Beta*(-1+EXP(alpha*Size*psi)-Size*alpha*psi))/((alpha^3)*(psi^2))</f>
        <v>25.0388962482082</v>
      </c>
      <c r="J24" s="7" t="n">
        <f aca="false">Beta*Theta</f>
        <v>14.4</v>
      </c>
      <c r="K24" s="7" t="n">
        <f aca="false">Beta*Theta</f>
        <v>14.4</v>
      </c>
      <c r="L24" s="7" t="n">
        <f aca="false">kappa</f>
        <v>90</v>
      </c>
      <c r="M24" s="7" t="n">
        <f aca="false">Gamma*Size</f>
        <v>0</v>
      </c>
      <c r="N24" s="7" t="n">
        <f aca="false">Size*Beta*Phi</f>
        <v>3.24</v>
      </c>
      <c r="O24" s="7" t="n">
        <f aca="false">-(EXP(alpha*a*psi)+EXP(alpha*b*psi)*(-1+Size*psi*alpha))*(Beta*Phi)/((alpha*psi)*(EXP(alpha*a*psi)-EXP(alpha*b*psi)))</f>
        <v>1.57951517936842</v>
      </c>
      <c r="P24" s="7" t="n">
        <f aca="false">(EXP(alpha*(zeta-a*psi))*Beta*Phi*(-EXP(alpha*a*psi)*(-2+(-1)*Size*alpha*psi)+EXP(alpha*b*psi)*(-2+Size*alpha*psi)))/((alpha^3)*(psi^3))</f>
        <v>0.146515554131081</v>
      </c>
      <c r="Q24" s="7" t="n">
        <f aca="false">Tau*Beta</f>
        <v>105.99648499239</v>
      </c>
      <c r="R24" s="7" t="n">
        <f aca="false">Tau*Beta</f>
        <v>105.99648499239</v>
      </c>
      <c r="S24" s="11" t="n">
        <f aca="false">Tau</f>
        <v>0.588869361068835</v>
      </c>
      <c r="T24" s="7" t="n">
        <f aca="false">Profit+Utility</f>
        <v>-20.2240091396401</v>
      </c>
      <c r="U24" s="7" t="n">
        <f aca="false">(2*ij*BRIJ)+(2)*jj*BRJJ</f>
        <v>30.4676479676239</v>
      </c>
      <c r="V24" s="9" t="n">
        <f aca="false">2*(ij*BCCIJ)+(2*jj*BCCJJ)+BCS+jj*BCPTJJ+2*(ij*BCPTIJ)+BCPTII+BCk</f>
        <v>94.7427548390994</v>
      </c>
      <c r="W24" s="7" t="n">
        <f aca="false">ij*BUTIJ+BUTII</f>
        <v>44.0510977318354</v>
      </c>
      <c r="X24" s="7" t="n">
        <f aca="false">Revenue-Cost</f>
        <v>-64.2751068714755</v>
      </c>
    </row>
    <row r="27" customFormat="false" ht="13" hidden="false" customHeight="false" outlineLevel="0" collapsed="false">
      <c r="B27" s="2" t="s">
        <v>49</v>
      </c>
      <c r="C27" s="2" t="s">
        <v>50</v>
      </c>
      <c r="D27" s="2" t="s">
        <v>51</v>
      </c>
      <c r="E27" s="2" t="s">
        <v>52</v>
      </c>
      <c r="F27" s="3" t="s">
        <v>53</v>
      </c>
    </row>
    <row r="28" customFormat="false" ht="13" hidden="false" customHeight="false" outlineLevel="0" collapsed="false">
      <c r="B28" s="2" t="n">
        <v>0</v>
      </c>
      <c r="C28" s="2" t="n">
        <v>-1</v>
      </c>
      <c r="D28" s="2" t="n">
        <v>0</v>
      </c>
      <c r="E28" s="2" t="n">
        <v>1</v>
      </c>
      <c r="F28" s="7" t="n">
        <v>10</v>
      </c>
    </row>
    <row r="29" customFormat="false" ht="13" hidden="false" customHeight="false" outlineLevel="0" collapsed="false">
      <c r="B29" s="2" t="n">
        <v>1</v>
      </c>
      <c r="C29" s="14" t="n">
        <f aca="false">A20</f>
        <v>-0.135472620081743</v>
      </c>
      <c r="D29" s="14" t="n">
        <f aca="false">A2</f>
        <v>0.588971375654211</v>
      </c>
      <c r="E29" s="14" t="n">
        <f aca="false">A8</f>
        <v>0.588839093238567</v>
      </c>
      <c r="F29" s="14" t="n">
        <f aca="false">A14</f>
        <v>0.603953412384229</v>
      </c>
    </row>
    <row r="30" customFormat="false" ht="13" hidden="false" customHeight="false" outlineLevel="0" collapsed="false">
      <c r="B30" s="2" t="n">
        <v>2</v>
      </c>
      <c r="C30" s="14" t="n">
        <f aca="false">A21</f>
        <v>0.589031656340516</v>
      </c>
      <c r="D30" s="14" t="n">
        <f aca="false">A3</f>
        <v>0.588869351470994</v>
      </c>
      <c r="E30" s="14" t="n">
        <f aca="false">A9</f>
        <v>0.588869363917959</v>
      </c>
      <c r="F30" s="14" t="n">
        <f aca="false">A15</f>
        <v>0.588867955918557</v>
      </c>
    </row>
    <row r="31" customFormat="false" ht="13" hidden="false" customHeight="false" outlineLevel="0" collapsed="false">
      <c r="B31" s="2" t="n">
        <v>3</v>
      </c>
      <c r="C31" s="14" t="n">
        <f aca="false">A22</f>
        <v>0.588869345800783</v>
      </c>
      <c r="D31" s="14" t="n">
        <f aca="false">A4</f>
        <v>0.588869361069848</v>
      </c>
      <c r="E31" s="14" t="n">
        <f aca="false">A10</f>
        <v>0.588869361067688</v>
      </c>
      <c r="F31" s="14" t="n">
        <f aca="false">A16</f>
        <v>0.588869361200466</v>
      </c>
    </row>
    <row r="32" customFormat="false" ht="13" hidden="false" customHeight="false" outlineLevel="0" collapsed="false">
      <c r="B32" s="2" t="n">
        <v>4</v>
      </c>
      <c r="C32" s="14" t="n">
        <f aca="false">A23</f>
        <v>0.588869361069999</v>
      </c>
      <c r="D32" s="14" t="n">
        <f aca="false">A5</f>
        <v>0.588869361069394</v>
      </c>
      <c r="E32" s="14" t="n">
        <f aca="false">A11</f>
        <v>0.588869361069579</v>
      </c>
      <c r="F32" s="14" t="n">
        <f aca="false">A17</f>
        <v>0.58886936106907</v>
      </c>
    </row>
    <row r="33" customFormat="false" ht="13" hidden="false" customHeight="false" outlineLevel="0" collapsed="false">
      <c r="B33" s="2" t="n">
        <v>5</v>
      </c>
      <c r="C33" s="14" t="n">
        <f aca="false">A24</f>
        <v>0.588869361068835</v>
      </c>
      <c r="D33" s="14" t="n">
        <f aca="false">A6</f>
        <v>0.588869361067716</v>
      </c>
      <c r="E33" s="14" t="n">
        <f aca="false">A12</f>
        <v>0.588869361069045</v>
      </c>
      <c r="F33" s="14" t="n">
        <f aca="false">A18</f>
        <v>0.588869361069265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" zoomScaleNormal="10" zoomScalePageLayoutView="10" workbookViewId="0">
      <selection pane="topLeft" activeCell="A1" activeCellId="0" sqref="A1"/>
    </sheetView>
  </sheetViews>
  <sheetFormatPr defaultColWidth="9.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M. Levinson</dc:creator>
  <dc:description/>
  <dc:language>en-AU</dc:language>
  <cp:lastModifiedBy>David Levinson</cp:lastModifiedBy>
  <cp:revision>0</cp:revision>
  <dc:subject/>
  <dc:title>Welfare Analysis, Iteration 3</dc:title>
</cp:coreProperties>
</file>