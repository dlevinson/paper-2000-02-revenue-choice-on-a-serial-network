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ml.chartshapes+xml"/>
  <Override PartName="/xl/drawings/drawing8.xml" ContentType="application/vnd.openxmlformats-officedocument.drawingml.chartshapes+xml"/>
  <Override PartName="/xl/charts/style1.xml" ContentType="application/vnd.ms-office.chartstyle+xml"/>
  <Override PartName="/xl/charts/style2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chart7.xml" ContentType="application/vnd.openxmlformats-officedocument.drawingml.chart+xml"/>
  <Override PartName="/xl/charts/colors3.xml" ContentType="application/vnd.ms-office.chartcolorstyle+xml"/>
  <Override PartName="/xl/charts/chart2.xml" ContentType="application/vnd.openxmlformats-officedocument.drawingml.chart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8.xml" ContentType="application/vnd.ms-office.chartcolorstyle+xml"/>
  <Override PartName="/xl/charts/chart3.xml" ContentType="application/vnd.openxmlformats-officedocument.drawingml.chart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style5.xml" ContentType="application/vnd.ms-office.chartstyle+xml"/>
  <Override PartName="/xl/charts/chart4.xml" ContentType="application/vnd.openxmlformats-officedocument.drawingml.chart+xml"/>
  <Override PartName="/xl/charts/style3.xml" ContentType="application/vnd.ms-office.chart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7.xml" ContentType="application/vnd.ms-office.chartstyle+xml"/>
  <Override PartName="/xl/charts/colors4.xml" ContentType="application/vnd.ms-office.chartcolorstyle+xml"/>
  <Override PartName="/xl/charts/colors7.xml" ContentType="application/vnd.ms-office.chartcolorstyle+xml"/>
  <Override PartName="/xl/charts/style8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ll" sheetId="1" state="visible" r:id="rId3"/>
    <sheet name="tax" sheetId="2" state="visible" r:id="rId4"/>
    <sheet name="w-maxtau" sheetId="3" state="visible" r:id="rId5"/>
    <sheet name="tauVtax" sheetId="4" state="visible" r:id="rId6"/>
    <sheet name="TaxV.Toll" sheetId="5" state="visible" r:id="rId7"/>
    <sheet name="thetav.Size" sheetId="6" state="visible" r:id="rId8"/>
    <sheet name="Sheet9" sheetId="7" state="visible" r:id="rId9"/>
    <sheet name="Sheet10" sheetId="8" state="visible" r:id="rId10"/>
    <sheet name="Sheet11" sheetId="9" state="visible" r:id="rId11"/>
    <sheet name="Sheet12" sheetId="10" state="visible" r:id="rId12"/>
    <sheet name="Sheet13" sheetId="11" state="visible" r:id="rId13"/>
    <sheet name="Sheet14" sheetId="12" state="visible" r:id="rId14"/>
    <sheet name="Sheet15" sheetId="13" state="visible" r:id="rId15"/>
    <sheet name="Sheet16" sheetId="14" state="visible" r:id="rId16"/>
  </sheets>
  <definedNames>
    <definedName function="false" hidden="false" name="alpha" vbProcedure="false">toll!$E$4</definedName>
    <definedName function="false" hidden="false" name="beta" vbProcedure="false">toll!$E$3</definedName>
    <definedName function="false" hidden="false" name="bsize" vbProcedure="false">tax!$B$11:$B$90</definedName>
    <definedName function="false" hidden="false" name="Costs" vbProcedure="false">#REF!</definedName>
    <definedName function="false" hidden="false" name="gamma" vbProcedure="false">toll!$E$9</definedName>
    <definedName function="false" hidden="false" name="kappa" vbProcedure="false">#REF!</definedName>
    <definedName function="false" hidden="false" name="phi" vbProcedure="false">toll!$E$10</definedName>
    <definedName function="false" hidden="false" name="phix" vbProcedure="false">#REF!</definedName>
    <definedName function="false" hidden="false" name="psi" vbProcedure="false">toll!$E$6</definedName>
    <definedName function="false" hidden="false" name="Revenue" vbProcedure="false">#REF!</definedName>
    <definedName function="false" hidden="false" name="size" vbProcedure="false">toll!$A$15:$A$65</definedName>
    <definedName function="false" hidden="false" name="tau" vbProcedure="false">toll!$B$15:$B$65</definedName>
    <definedName function="false" hidden="false" name="theta" vbProcedure="false">toll!$E$11</definedName>
    <definedName function="false" hidden="false" name="thetax" vbProcedure="false">#REF!</definedName>
    <definedName function="false" hidden="false" name="Utility" vbProcedure="false">#REF!</definedName>
    <definedName function="false" hidden="false" name="Welfare" vbProcedure="false">#REF!</definedName>
    <definedName function="false" hidden="false" name="zeta" vbProcedure="false">toll!$E$5</definedName>
    <definedName function="false" hidden="false" localSheetId="1" name="Size" vbProcedure="false">toll!$A$16:$A$65</definedName>
    <definedName function="false" hidden="false" localSheetId="1" name="Tau" vbProcedure="false">toll!$B$16:$B$65</definedName>
    <definedName function="false" hidden="false" localSheetId="3" name="Size" vbProcedure="false">'w-maxtau'!$A$2:$A$49</definedName>
    <definedName function="false" hidden="false" localSheetId="3" name="solver_adj" vbProcedure="false">#REF!</definedName>
    <definedName function="false" hidden="false" localSheetId="3" name="solver_drv" vbProcedure="false">1</definedName>
    <definedName function="false" hidden="false" localSheetId="3" name="solver_est" vbProcedure="false">1</definedName>
    <definedName function="false" hidden="false" localSheetId="3" name="solver_itr" vbProcedure="false">100</definedName>
    <definedName function="false" hidden="false" localSheetId="3" name="solver_lhs1" vbProcedure="false">#REF!</definedName>
    <definedName function="false" hidden="false" localSheetId="3" name="solver_lin" vbProcedure="false">0</definedName>
    <definedName function="false" hidden="false" localSheetId="3" name="solver_num" vbProcedure="false">1</definedName>
    <definedName function="false" hidden="false" localSheetId="3" name="solver_nwt" vbProcedure="false">1</definedName>
    <definedName function="false" hidden="false" localSheetId="3" name="solver_opt" vbProcedure="false">'w-maxtau'!$O$24</definedName>
    <definedName function="false" hidden="false" localSheetId="3" name="solver_pre" vbProcedure="false">0.000001</definedName>
    <definedName function="false" hidden="false" localSheetId="3" name="solver_rel1" vbProcedure="false">3</definedName>
    <definedName function="false" hidden="false" localSheetId="3" name="solver_rhs1" vbProcedure="false">0</definedName>
    <definedName function="false" hidden="false" localSheetId="3" name="solver_scl" vbProcedure="false">0</definedName>
    <definedName function="false" hidden="false" localSheetId="3" name="solver_sho" vbProcedure="false">0</definedName>
    <definedName function="false" hidden="false" localSheetId="3" name="solver_tim" vbProcedure="false">100</definedName>
    <definedName function="false" hidden="false" localSheetId="3" name="solver_tmp" vbProcedure="false">0</definedName>
    <definedName function="false" hidden="false" localSheetId="3" name="solver_tol" vbProcedure="false">0.05</definedName>
    <definedName function="false" hidden="false" localSheetId="3" name="solver_typ" vbProcedure="false">3</definedName>
    <definedName function="false" hidden="false" localSheetId="3" name="solver_val" vbProcedure="false">0</definedName>
    <definedName function="false" hidden="false" localSheetId="3" name="Tau" vbProcedure="false">'w-maxtau'!$B$2:$B$49</definedName>
    <definedName function="false" hidden="false" localSheetId="4" name="Size" vbProcedure="false">tauVtax!$A$4:$A$183</definedName>
    <definedName function="false" hidden="false" localSheetId="4" name="solver_adj" vbProcedure="false">tauVtax!$D$25</definedName>
    <definedName function="false" hidden="false" localSheetId="4" name="solver_lin" vbProcedure="false">0</definedName>
    <definedName function="false" hidden="false" localSheetId="4" name="solver_num" vbProcedure="false">0</definedName>
    <definedName function="false" hidden="false" localSheetId="4" name="solver_opt" vbProcedure="false">tauVtax!$P$25</definedName>
    <definedName function="false" hidden="false" localSheetId="4" name="solver_typ" vbProcedure="false">1</definedName>
    <definedName function="false" hidden="false" localSheetId="4" name="solver_val" vbProcedure="false">0</definedName>
    <definedName function="false" hidden="false" localSheetId="4" name="Tau" vbProcedure="false">tauVtax!$D$4:$D$183</definedName>
    <definedName function="false" hidden="false" localSheetId="4" name="thetax" vbProcedure="false">tauVtax!$B$4:$B$183</definedName>
    <definedName function="false" hidden="false" localSheetId="5" name="Size" vbProcedure="false">'thetav.Size'!$A$4:$A$183</definedName>
    <definedName function="false" hidden="false" localSheetId="5" name="solver_adj" vbProcedure="false">'thetav.Size'!$B$13</definedName>
    <definedName function="false" hidden="false" localSheetId="5" name="solver_lin" vbProcedure="false">0</definedName>
    <definedName function="false" hidden="false" localSheetId="5" name="solver_num" vbProcedure="false">0</definedName>
    <definedName function="false" hidden="false" localSheetId="5" name="solver_opt" vbProcedure="false">'thetav.Size'!$AK$13</definedName>
    <definedName function="false" hidden="false" localSheetId="5" name="solver_typ" vbProcedure="false">3</definedName>
    <definedName function="false" hidden="false" localSheetId="5" name="solver_val" vbProcedure="false">0</definedName>
    <definedName function="false" hidden="false" localSheetId="5" name="Tau" vbProcedure="false">'thetav.Size'!$C$4:$C$183</definedName>
    <definedName function="false" hidden="false" localSheetId="5" name="thetax" vbProcedure="false">'thetav.Size'!$B$4:$B$183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<sst xmlns="http://schemas.openxmlformats.org/spreadsheetml/2006/main" count="163" uniqueCount="55">
  <si>
    <t xml:space="preserve">variable</t>
  </si>
  <si>
    <t xml:space="preserve">value</t>
  </si>
  <si>
    <t xml:space="preserve">beta</t>
  </si>
  <si>
    <t xml:space="preserve">alpha</t>
  </si>
  <si>
    <t xml:space="preserve">zeta</t>
  </si>
  <si>
    <t xml:space="preserve">psi</t>
  </si>
  <si>
    <t xml:space="preserve">gamma</t>
  </si>
  <si>
    <t xml:space="preserve">phi</t>
  </si>
  <si>
    <t xml:space="preserve">theta</t>
  </si>
  <si>
    <t xml:space="preserve">Size</t>
  </si>
  <si>
    <t xml:space="preserve">Tau</t>
  </si>
  <si>
    <t xml:space="preserve">Uii</t>
  </si>
  <si>
    <t xml:space="preserve">Uij</t>
  </si>
  <si>
    <t xml:space="preserve">Rij</t>
  </si>
  <si>
    <t xml:space="preserve">Rjj</t>
  </si>
  <si>
    <t xml:space="preserve">Cs</t>
  </si>
  <si>
    <t xml:space="preserve">Crhoii</t>
  </si>
  <si>
    <t xml:space="preserve">Crhoij</t>
  </si>
  <si>
    <t xml:space="preserve">Crhojj</t>
  </si>
  <si>
    <t xml:space="preserve">Ccij</t>
  </si>
  <si>
    <t xml:space="preserve">Ccjj</t>
  </si>
  <si>
    <t xml:space="preserve">Welfare</t>
  </si>
  <si>
    <t xml:space="preserve">Consumer Surplus</t>
  </si>
  <si>
    <t xml:space="preserve">Revenue</t>
  </si>
  <si>
    <t xml:space="preserve">Costs</t>
  </si>
  <si>
    <t xml:space="preserve">W/person</t>
  </si>
  <si>
    <t xml:space="preserve">asize</t>
  </si>
  <si>
    <t xml:space="preserve">bsize</t>
  </si>
  <si>
    <t xml:space="preserve">Ui</t>
  </si>
  <si>
    <t xml:space="preserve">Crho</t>
  </si>
  <si>
    <t xml:space="preserve">Cc</t>
  </si>
  <si>
    <t xml:space="preserve">W=U-Cs-Crho</t>
  </si>
  <si>
    <t xml:space="preserve">(U-Crho-Cs)/bsize</t>
  </si>
  <si>
    <t xml:space="preserve">OptimalTau</t>
  </si>
  <si>
    <t xml:space="preserve">TOLL</t>
  </si>
  <si>
    <r>
      <rPr>
        <sz val="10"/>
        <rFont val="Geneva"/>
        <family val="2"/>
      </rPr>
      <t xml:space="preserve">Toll (</t>
    </r>
    <r>
      <rPr>
        <sz val="10"/>
        <rFont val="Symbol"/>
        <family val="0"/>
      </rPr>
      <t xml:space="preserve">t</t>
    </r>
    <r>
      <rPr>
        <sz val="10"/>
        <rFont val="Geneva"/>
        <family val="2"/>
      </rPr>
      <t xml:space="preserve">*)</t>
    </r>
  </si>
  <si>
    <t xml:space="preserve">TAX</t>
  </si>
  <si>
    <t xml:space="preserve">Tax-Toll Welfare</t>
  </si>
  <si>
    <t xml:space="preserve">Theta (Collection Cost Coefficient)</t>
  </si>
  <si>
    <t xml:space="preserve">phi=1.1</t>
  </si>
  <si>
    <t xml:space="preserve">phi=0.1</t>
  </si>
  <si>
    <t xml:space="preserve">Utility</t>
  </si>
  <si>
    <t xml:space="preserve">Welfare Difference</t>
  </si>
  <si>
    <t xml:space="preserve">Kappa-necessary (phi 1.1)</t>
  </si>
  <si>
    <t xml:space="preserve">Kappa-necessary (phi 0.1)</t>
  </si>
  <si>
    <t xml:space="preserve">Revenue/Kappa</t>
  </si>
  <si>
    <t xml:space="preserve">Tau*</t>
  </si>
  <si>
    <t xml:space="preserve">Toll Rev/Costs</t>
  </si>
  <si>
    <t xml:space="preserve">Profit (Subsidy)</t>
  </si>
  <si>
    <t xml:space="preserve">Difference (phi=1.1)</t>
  </si>
  <si>
    <t xml:space="preserve">Welfare Difference (phi=0.1)</t>
  </si>
  <si>
    <t xml:space="preserve">%One-End Local</t>
  </si>
  <si>
    <t xml:space="preserve">%Local Residents</t>
  </si>
  <si>
    <t xml:space="preserve">Tau (Toll)</t>
  </si>
  <si>
    <t xml:space="preserve">check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</si>
</sst>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13">
    <font>
      <sz val="10"/>
      <name val="Geneva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Geneva"/>
      <family val="2"/>
    </font>
    <font>
      <sz val="9"/>
      <color rgb="FF000000"/>
      <name val="Geneva"/>
      <family val="2"/>
    </font>
    <font>
      <b val="true"/>
      <sz val="9"/>
      <color rgb="FF000000"/>
      <name val="Geneva"/>
      <family val="2"/>
    </font>
    <font>
      <sz val="10"/>
      <name val="Symbol"/>
      <family val="0"/>
    </font>
    <font>
      <b val="true"/>
      <sz val="12"/>
      <name val="Geneva"/>
      <family val="2"/>
    </font>
    <font>
      <sz val="12"/>
      <name val="Times New Roman"/>
      <family val="1"/>
    </font>
    <font>
      <b val="true"/>
      <sz val="12"/>
      <name val="Symbol"/>
      <family val="0"/>
    </font>
    <font>
      <b val="true"/>
      <sz val="12"/>
      <color rgb="FF000000"/>
      <name val="Arial"/>
      <family val="2"/>
    </font>
    <font>
      <sz val="9"/>
      <color rgb="FF000000"/>
      <name val="Symbo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openxmlformats.org/officeDocument/2006/relationships/chartUserShapes" Target="../drawings/drawing4.xml"/><Relationship Id="rId2" Type="http://schemas.microsoft.com/office/2011/relationships/chartStyle" Target="style4.xml"/><Relationship Id="rId3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openxmlformats.org/officeDocument/2006/relationships/chartUserShapes" Target="../drawings/drawing6.xml"/><Relationship Id="rId2" Type="http://schemas.microsoft.com/office/2011/relationships/chartStyle" Target="style7.xml"/><Relationship Id="rId3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openxmlformats.org/officeDocument/2006/relationships/chartUserShapes" Target="../drawings/drawing8.xml"/><Relationship Id="rId2" Type="http://schemas.microsoft.com/office/2011/relationships/chartStyle" Target="style8.xml"/><Relationship Id="rId3" Type="http://schemas.microsoft.com/office/2011/relationships/chartColorStyle" Target="colors8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Figure 2: Welfare vs. Tolls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26516414923524"/>
          <c:y val="0.12558097147544"/>
          <c:w val="0.945871253633202"/>
          <c:h val="0.739542513442085"/>
        </c:manualLayout>
      </c:layout>
      <c:lineChart>
        <c:grouping val="standard"/>
        <c:varyColors val="0"/>
        <c:ser>
          <c:idx val="0"/>
          <c:order val="0"/>
          <c:tx>
            <c:strRef>
              <c:f>toll!$O$39</c:f>
              <c:strCache>
                <c:ptCount val="1"/>
                <c:pt idx="0">
                  <c:v>Welfare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toll!$N$40:$N$64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toll!$O$40:$O$64</c:f>
              <c:numCache>
                <c:formatCode>0.00</c:formatCode>
                <c:ptCount val="25"/>
                <c:pt idx="0">
                  <c:v>270.502337163227</c:v>
                </c:pt>
                <c:pt idx="1">
                  <c:v>421.534724254501</c:v>
                </c:pt>
                <c:pt idx="2">
                  <c:v>525.138200678232</c:v>
                </c:pt>
                <c:pt idx="3">
                  <c:v>592.737887949546</c:v>
                </c:pt>
                <c:pt idx="4">
                  <c:v>633.204310409576</c:v>
                </c:pt>
                <c:pt idx="5">
                  <c:v>653.405909904892</c:v>
                </c:pt>
                <c:pt idx="6">
                  <c:v>658.644590058521</c:v>
                </c:pt>
                <c:pt idx="7">
                  <c:v>652.998640140925</c:v>
                </c:pt>
                <c:pt idx="8">
                  <c:v>639.592390912512</c:v>
                </c:pt>
                <c:pt idx="9">
                  <c:v>620.80797054084</c:v>
                </c:pt>
                <c:pt idx="10">
                  <c:v>598.451354434395</c:v>
                </c:pt>
                <c:pt idx="11">
                  <c:v>573.882375669178</c:v>
                </c:pt>
                <c:pt idx="12">
                  <c:v>548.116352168367</c:v>
                </c:pt>
                <c:pt idx="13">
                  <c:v>521.903388528971</c:v>
                </c:pt>
                <c:pt idx="14">
                  <c:v>495.790140860772</c:v>
                </c:pt>
                <c:pt idx="15">
                  <c:v>470.167825443658</c:v>
                </c:pt>
                <c:pt idx="16">
                  <c:v>445.30945306787</c:v>
                </c:pt>
                <c:pt idx="17">
                  <c:v>421.398637990632</c:v>
                </c:pt>
                <c:pt idx="18">
                  <c:v>398.551829516346</c:v>
                </c:pt>
                <c:pt idx="19">
                  <c:v>376.835418162233</c:v>
                </c:pt>
                <c:pt idx="20">
                  <c:v>356.278855586658</c:v>
                </c:pt>
                <c:pt idx="21">
                  <c:v>336.88468071152</c:v>
                </c:pt>
                <c:pt idx="22">
                  <c:v>318.636150055041</c:v>
                </c:pt>
                <c:pt idx="23">
                  <c:v>301.503017303744</c:v>
                </c:pt>
                <c:pt idx="24">
                  <c:v>285.445886927287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toll!$P$39</c:f>
              <c:strCache>
                <c:ptCount val="1"/>
                <c:pt idx="0">
                  <c:v>Consumer Surplus</c:v>
                </c:pt>
              </c:strCache>
            </c:strRef>
          </c:tx>
          <c:spPr>
            <a:solidFill>
              <a:srgbClr val="FF00FF"/>
            </a:solidFill>
            <a:ln w="37800">
              <a:solidFill>
                <a:srgbClr val="FF00FF"/>
              </a:solidFill>
              <a:round/>
            </a:ln>
          </c:spPr>
          <c:marker>
            <c:symbol val="square"/>
            <c:size val="9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toll!$N$40:$N$64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toll!$P$40:$P$64</c:f>
              <c:numCache>
                <c:formatCode>0.00</c:formatCode>
                <c:ptCount val="25"/>
                <c:pt idx="0">
                  <c:v>475.614712250357</c:v>
                </c:pt>
                <c:pt idx="1">
                  <c:v>439.997297794171</c:v>
                </c:pt>
                <c:pt idx="2">
                  <c:v>407.76932846052</c:v>
                </c:pt>
                <c:pt idx="3">
                  <c:v>378.608255900116</c:v>
                </c:pt>
                <c:pt idx="4">
                  <c:v>352.222226297402</c:v>
                </c:pt>
                <c:pt idx="5">
                  <c:v>328.347159399461</c:v>
                </c:pt>
                <c:pt idx="6">
                  <c:v>306.744105512093</c:v>
                </c:pt>
                <c:pt idx="7">
                  <c:v>287.196854010954</c:v>
                </c:pt>
                <c:pt idx="8">
                  <c:v>269.509769432965</c:v>
                </c:pt>
                <c:pt idx="9">
                  <c:v>253.505833490833</c:v>
                </c:pt>
                <c:pt idx="10">
                  <c:v>239.024873414542</c:v>
                </c:pt>
                <c:pt idx="11">
                  <c:v>225.921958888429</c:v>
                </c:pt>
                <c:pt idx="12">
                  <c:v>214.065951539875</c:v>
                </c:pt>
                <c:pt idx="13">
                  <c:v>203.338192462394</c:v>
                </c:pt>
                <c:pt idx="14">
                  <c:v>193.631314637414</c:v>
                </c:pt>
                <c:pt idx="15">
                  <c:v>184.848168369069</c:v>
                </c:pt>
                <c:pt idx="16">
                  <c:v>176.900848977387</c:v>
                </c:pt>
                <c:pt idx="17">
                  <c:v>169.70981701871</c:v>
                </c:pt>
                <c:pt idx="18">
                  <c:v>163.203102228208</c:v>
                </c:pt>
                <c:pt idx="19">
                  <c:v>157.315583217273</c:v>
                </c:pt>
                <c:pt idx="20">
                  <c:v>151.988335716781</c:v>
                </c:pt>
                <c:pt idx="21">
                  <c:v>147.168042843197</c:v>
                </c:pt>
                <c:pt idx="22">
                  <c:v>142.806461485286</c:v>
                </c:pt>
                <c:pt idx="23">
                  <c:v>138.859939470841</c:v>
                </c:pt>
                <c:pt idx="24">
                  <c:v>135.288978681068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toll!$Q$39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FFFF00"/>
            </a:solidFill>
            <a:ln w="25200">
              <a:solidFill>
                <a:srgbClr val="FFFF00"/>
              </a:solidFill>
              <a:custDash>
                <a:ds d="605714" sp="151429"/>
              </a:custDash>
              <a:round/>
            </a:ln>
          </c:spPr>
          <c:marker>
            <c:symbol val="triangle"/>
            <c:size val="7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  <a:custDash>
                    <a:ds d="605714" sp="151429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toll!$N$40:$N$64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toll!$Q$40:$Q$64</c:f>
              <c:numCache>
                <c:formatCode>General</c:formatCode>
                <c:ptCount val="25"/>
                <c:pt idx="0">
                  <c:v>0</c:v>
                </c:pt>
                <c:pt idx="1">
                  <c:v>162.205750481011</c:v>
                </c:pt>
                <c:pt idx="2">
                  <c:v>277.270101513957</c:v>
                </c:pt>
                <c:pt idx="3">
                  <c:v>356.345956289424</c:v>
                </c:pt>
                <c:pt idx="4">
                  <c:v>408.101911050531</c:v>
                </c:pt>
                <c:pt idx="5">
                  <c:v>439.260035096074</c:v>
                </c:pt>
                <c:pt idx="6">
                  <c:v>455.019540998889</c:v>
                </c:pt>
                <c:pt idx="7">
                  <c:v>459.390158454273</c:v>
                </c:pt>
                <c:pt idx="8">
                  <c:v>455.454126522131</c:v>
                </c:pt>
                <c:pt idx="9">
                  <c:v>445.571815637256</c:v>
                </c:pt>
                <c:pt idx="10">
                  <c:v>431.542882571131</c:v>
                </c:pt>
                <c:pt idx="11">
                  <c:v>414.732388323015</c:v>
                </c:pt>
                <c:pt idx="12">
                  <c:v>396.169342459626</c:v>
                </c:pt>
                <c:pt idx="13">
                  <c:v>376.623575118191</c:v>
                </c:pt>
                <c:pt idx="14">
                  <c:v>356.665597702761</c:v>
                </c:pt>
                <c:pt idx="15">
                  <c:v>336.713129679535</c:v>
                </c:pt>
                <c:pt idx="16">
                  <c:v>317.067189450452</c:v>
                </c:pt>
                <c:pt idx="17">
                  <c:v>297.94003025749</c:v>
                </c:pt>
                <c:pt idx="18">
                  <c:v>279.476714098557</c:v>
                </c:pt>
                <c:pt idx="19">
                  <c:v>261.771731136967</c:v>
                </c:pt>
                <c:pt idx="20">
                  <c:v>244.881767882015</c:v>
                </c:pt>
                <c:pt idx="21">
                  <c:v>228.83548764799</c:v>
                </c:pt>
                <c:pt idx="22">
                  <c:v>213.640998050519</c:v>
                </c:pt>
                <c:pt idx="23">
                  <c:v>199.291531910745</c:v>
                </c:pt>
                <c:pt idx="24">
                  <c:v>185.769751441678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toll!$R$39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custDash>
                <a:ds d="300000" sp="300000"/>
              </a:custDash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custDash>
                    <a:ds d="300000" sp="300000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toll!$N$40:$N$64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toll!$R$40:$R$64</c:f>
              <c:numCache>
                <c:formatCode>General</c:formatCode>
                <c:ptCount val="25"/>
                <c:pt idx="0">
                  <c:v>205.11237508713</c:v>
                </c:pt>
                <c:pt idx="1">
                  <c:v>180.668324020682</c:v>
                </c:pt>
                <c:pt idx="2">
                  <c:v>159.901229296244</c:v>
                </c:pt>
                <c:pt idx="3">
                  <c:v>142.216324239995</c:v>
                </c:pt>
                <c:pt idx="4">
                  <c:v>127.119826938357</c:v>
                </c:pt>
                <c:pt idx="5">
                  <c:v>114.201284590643</c:v>
                </c:pt>
                <c:pt idx="6">
                  <c:v>103.119056452461</c:v>
                </c:pt>
                <c:pt idx="7">
                  <c:v>93.5883723243024</c:v>
                </c:pt>
                <c:pt idx="8">
                  <c:v>85.371505042584</c:v>
                </c:pt>
                <c:pt idx="9">
                  <c:v>78.2696785872487</c:v>
                </c:pt>
                <c:pt idx="10">
                  <c:v>72.1164015512782</c:v>
                </c:pt>
                <c:pt idx="11">
                  <c:v>66.7719715422649</c:v>
                </c:pt>
                <c:pt idx="12">
                  <c:v>62.1189418311329</c:v>
                </c:pt>
                <c:pt idx="13">
                  <c:v>58.0583790516134</c:v>
                </c:pt>
                <c:pt idx="14">
                  <c:v>54.5067714794036</c:v>
                </c:pt>
                <c:pt idx="15">
                  <c:v>51.3934726049456</c:v>
                </c:pt>
                <c:pt idx="16">
                  <c:v>48.6585853599691</c:v>
                </c:pt>
                <c:pt idx="17">
                  <c:v>46.2512092855685</c:v>
                </c:pt>
                <c:pt idx="18">
                  <c:v>44.127986810419</c:v>
                </c:pt>
                <c:pt idx="19">
                  <c:v>42.2518961920067</c:v>
                </c:pt>
                <c:pt idx="20">
                  <c:v>40.5912480121376</c:v>
                </c:pt>
                <c:pt idx="21">
                  <c:v>39.1188497796667</c:v>
                </c:pt>
                <c:pt idx="22">
                  <c:v>37.8113094807643</c:v>
                </c:pt>
                <c:pt idx="23">
                  <c:v>36.6484540778415</c:v>
                </c:pt>
                <c:pt idx="24">
                  <c:v>35.6128431954583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2419594"/>
        <c:axId val="46589557"/>
      </c:lineChart>
      <c:catAx>
        <c:axId val="424195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Toll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46589557"/>
        <c:crossesAt val="0"/>
        <c:auto val="1"/>
        <c:lblAlgn val="ctr"/>
        <c:lblOffset val="100"/>
        <c:noMultiLvlLbl val="0"/>
      </c:catAx>
      <c:valAx>
        <c:axId val="4658955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42419594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234716729403917"/>
          <c:y val="0.913514991342386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A Comparison of Welfare and Jurisdiction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710958726872817"/>
          <c:y val="0.194352525921024"/>
          <c:w val="0.864794928192522"/>
          <c:h val="0.6431722920803"/>
        </c:manualLayout>
      </c:layout>
      <c:lineChart>
        <c:grouping val="standard"/>
        <c:varyColors val="0"/>
        <c:ser>
          <c:idx val="0"/>
          <c:order val="0"/>
          <c:tx>
            <c:strRef>
              <c:f>toll!$O$15</c:f>
              <c:strCache>
                <c:ptCount val="1"/>
                <c:pt idx="0">
                  <c:v>Welfare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toll!$N$16:$N$36</c:f>
              <c:strCache>
                <c:ptCount val="2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</c:strCache>
            </c:strRef>
          </c:cat>
          <c:val>
            <c:numRef>
              <c:f>toll!$O$16:$O$36</c:f>
              <c:numCache>
                <c:formatCode>0.00</c:formatCode>
                <c:ptCount val="21"/>
                <c:pt idx="0">
                  <c:v>244.596316816828</c:v>
                </c:pt>
                <c:pt idx="1">
                  <c:v>382.238777508475</c:v>
                </c:pt>
                <c:pt idx="2">
                  <c:v>525.283541033697</c:v>
                </c:pt>
                <c:pt idx="3">
                  <c:v>672.54683077369</c:v>
                </c:pt>
                <c:pt idx="4">
                  <c:v>823.096522918984</c:v>
                </c:pt>
                <c:pt idx="5">
                  <c:v>976.199809810207</c:v>
                </c:pt>
                <c:pt idx="6">
                  <c:v>1131.2815683886</c:v>
                </c:pt>
                <c:pt idx="7">
                  <c:v>1287.8912724481</c:v>
                </c:pt>
                <c:pt idx="8">
                  <c:v>1445.676719184</c:v>
                </c:pt>
                <c:pt idx="9">
                  <c:v>1604.36318680841</c:v>
                </c:pt>
                <c:pt idx="10">
                  <c:v>1763.73691756903</c:v>
                </c:pt>
                <c:pt idx="11">
                  <c:v>1923.63204289633</c:v>
                </c:pt>
                <c:pt idx="12">
                  <c:v>2083.92024549897</c:v>
                </c:pt>
                <c:pt idx="13">
                  <c:v>2244.50259577902</c:v>
                </c:pt>
                <c:pt idx="14">
                  <c:v>2405.3031139806</c:v>
                </c:pt>
                <c:pt idx="15">
                  <c:v>2566.26370067095</c:v>
                </c:pt>
                <c:pt idx="16">
                  <c:v>2727.34015101878</c:v>
                </c:pt>
                <c:pt idx="17">
                  <c:v>2888.49902652894</c:v>
                </c:pt>
                <c:pt idx="18">
                  <c:v>3049.71520433734</c:v>
                </c:pt>
                <c:pt idx="19">
                  <c:v>3210.96996121471</c:v>
                </c:pt>
                <c:pt idx="20">
                  <c:v>3372.24947895328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toll!$P$15</c:f>
              <c:strCache>
                <c:ptCount val="1"/>
                <c:pt idx="0">
                  <c:v>Consumer Surplus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toll!$N$16:$N$36</c:f>
              <c:strCache>
                <c:ptCount val="2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</c:strCache>
            </c:strRef>
          </c:cat>
          <c:val>
            <c:numRef>
              <c:f>toll!$P$16:$P$36</c:f>
              <c:numCache>
                <c:formatCode>0.00</c:formatCode>
                <c:ptCount val="21"/>
                <c:pt idx="0">
                  <c:v>0</c:v>
                </c:pt>
                <c:pt idx="1">
                  <c:v>81.2501957217989</c:v>
                </c:pt>
                <c:pt idx="2">
                  <c:v>182.257957938703</c:v>
                </c:pt>
                <c:pt idx="3">
                  <c:v>299.441847451132</c:v>
                </c:pt>
                <c:pt idx="4">
                  <c:v>429.869629846112</c:v>
                </c:pt>
                <c:pt idx="5">
                  <c:v>571.140594634506</c:v>
                </c:pt>
                <c:pt idx="6">
                  <c:v>721.289206309624</c:v>
                </c:pt>
                <c:pt idx="7">
                  <c:v>878.706220505868</c:v>
                </c:pt>
                <c:pt idx="8">
                  <c:v>1042.07409937191</c:v>
                </c:pt>
                <c:pt idx="9">
                  <c:v>1210.31413415052</c:v>
                </c:pt>
                <c:pt idx="10">
                  <c:v>1382.54315280853</c:v>
                </c:pt>
                <c:pt idx="11">
                  <c:v>1558.03807524215</c:v>
                </c:pt>
                <c:pt idx="12">
                  <c:v>1736.20689353346</c:v>
                </c:pt>
                <c:pt idx="13">
                  <c:v>1916.56491259397</c:v>
                </c:pt>
                <c:pt idx="14">
                  <c:v>2098.7152976489</c:v>
                </c:pt>
                <c:pt idx="15">
                  <c:v>2282.33314786423</c:v>
                </c:pt>
                <c:pt idx="16">
                  <c:v>2467.15245693545</c:v>
                </c:pt>
                <c:pt idx="17">
                  <c:v>2652.95543732054</c:v>
                </c:pt>
                <c:pt idx="18">
                  <c:v>2839.56377966122</c:v>
                </c:pt>
                <c:pt idx="19">
                  <c:v>3026.83149660231</c:v>
                </c:pt>
                <c:pt idx="20">
                  <c:v>3214.63906380654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toll!$Q$15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toll!$N$16:$N$36</c:f>
              <c:strCache>
                <c:ptCount val="2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</c:strCache>
            </c:strRef>
          </c:cat>
          <c:val>
            <c:numRef>
              <c:f>toll!$Q$16:$Q$36</c:f>
              <c:numCache>
                <c:formatCode>General</c:formatCode>
                <c:ptCount val="21"/>
                <c:pt idx="0">
                  <c:v>257.469807175608</c:v>
                </c:pt>
                <c:pt idx="1">
                  <c:v>337.664353625659</c:v>
                </c:pt>
                <c:pt idx="2">
                  <c:v>403.322095033456</c:v>
                </c:pt>
                <c:pt idx="3">
                  <c:v>457.078107101662</c:v>
                </c:pt>
                <c:pt idx="4">
                  <c:v>501.089807344732</c:v>
                </c:pt>
                <c:pt idx="5">
                  <c:v>537.123539828984</c:v>
                </c:pt>
                <c:pt idx="6">
                  <c:v>566.625464762026</c:v>
                </c:pt>
                <c:pt idx="7">
                  <c:v>590.779597979705</c:v>
                </c:pt>
                <c:pt idx="8">
                  <c:v>610.555329658962</c:v>
                </c:pt>
                <c:pt idx="9">
                  <c:v>626.746329349388</c:v>
                </c:pt>
                <c:pt idx="10">
                  <c:v>640.002398719016</c:v>
                </c:pt>
                <c:pt idx="11">
                  <c:v>650.855550376865</c:v>
                </c:pt>
                <c:pt idx="12">
                  <c:v>659.741359406966</c:v>
                </c:pt>
                <c:pt idx="13">
                  <c:v>667.016444525887</c:v>
                </c:pt>
                <c:pt idx="14">
                  <c:v>672.972780444008</c:v>
                </c:pt>
                <c:pt idx="15">
                  <c:v>677.849415835836</c:v>
                </c:pt>
                <c:pt idx="16">
                  <c:v>681.842067202675</c:v>
                </c:pt>
                <c:pt idx="17">
                  <c:v>685.110973663024</c:v>
                </c:pt>
                <c:pt idx="18">
                  <c:v>687.787327911048</c:v>
                </c:pt>
                <c:pt idx="19">
                  <c:v>689.978541440035</c:v>
                </c:pt>
                <c:pt idx="20">
                  <c:v>691.772555342778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toll!$R$15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toll!$N$16:$N$36</c:f>
              <c:strCache>
                <c:ptCount val="2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</c:strCache>
            </c:strRef>
          </c:cat>
          <c:val>
            <c:numRef>
              <c:f>toll!$R$16:$R$36</c:f>
              <c:numCache>
                <c:formatCode>General</c:formatCode>
                <c:ptCount val="21"/>
                <c:pt idx="0">
                  <c:v>12.8734903587804</c:v>
                </c:pt>
                <c:pt idx="1">
                  <c:v>36.6757718389828</c:v>
                </c:pt>
                <c:pt idx="2">
                  <c:v>60.2965119384625</c:v>
                </c:pt>
                <c:pt idx="3">
                  <c:v>83.973123779103</c:v>
                </c:pt>
                <c:pt idx="4">
                  <c:v>107.862914271859</c:v>
                </c:pt>
                <c:pt idx="5">
                  <c:v>132.064324653283</c:v>
                </c:pt>
                <c:pt idx="6">
                  <c:v>156.633102683052</c:v>
                </c:pt>
                <c:pt idx="7">
                  <c:v>181.594546037475</c:v>
                </c:pt>
                <c:pt idx="8">
                  <c:v>206.952709846872</c:v>
                </c:pt>
                <c:pt idx="9">
                  <c:v>232.697276691495</c:v>
                </c:pt>
                <c:pt idx="10">
                  <c:v>258.808633958519</c:v>
                </c:pt>
                <c:pt idx="11">
                  <c:v>285.261582722693</c:v>
                </c:pt>
                <c:pt idx="12">
                  <c:v>312.028007441448</c:v>
                </c:pt>
                <c:pt idx="13">
                  <c:v>339.078761340843</c:v>
                </c:pt>
                <c:pt idx="14">
                  <c:v>366.384964112305</c:v>
                </c:pt>
                <c:pt idx="15">
                  <c:v>393.918863029113</c:v>
                </c:pt>
                <c:pt idx="16">
                  <c:v>421.65437311934</c:v>
                </c:pt>
                <c:pt idx="17">
                  <c:v>449.567384454623</c:v>
                </c:pt>
                <c:pt idx="18">
                  <c:v>477.63590323493</c:v>
                </c:pt>
                <c:pt idx="19">
                  <c:v>505.84007682763</c:v>
                </c:pt>
                <c:pt idx="20">
                  <c:v>534.162140196039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9049596"/>
        <c:axId val="85741583"/>
      </c:lineChart>
      <c:catAx>
        <c:axId val="790495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Jurisdiction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5741583"/>
        <c:crossesAt val="0"/>
        <c:auto val="1"/>
        <c:lblAlgn val="ctr"/>
        <c:lblOffset val="100"/>
        <c:noMultiLvlLbl val="0"/>
      </c:catAx>
      <c:valAx>
        <c:axId val="85741583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  <a:custDash>
                <a:ds d="385900" sp="385900"/>
              </a:custDash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9049596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202936990555052"/>
          <c:y val="0.892124420913303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Figure 3: Jurisdiction Size, Welfare and Optimal Tolls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48536053179073"/>
          <c:y val="0.160364267129228"/>
          <c:w val="0.903232353985893"/>
          <c:h val="0.717172593235039"/>
        </c:manualLayout>
      </c:layout>
      <c:lineChart>
        <c:grouping val="standard"/>
        <c:varyColors val="0"/>
        <c:ser>
          <c:idx val="0"/>
          <c:order val="0"/>
          <c:tx>
            <c:strRef>
              <c:f>'w-maxtau'!$O$1</c:f>
              <c:strCache>
                <c:ptCount val="1"/>
                <c:pt idx="0">
                  <c:v>Welfare</c:v>
                </c:pt>
              </c:strCache>
            </c:strRef>
          </c:tx>
          <c:spPr>
            <a:solidFill>
              <a:srgbClr val="FFFF00"/>
            </a:solidFill>
            <a:ln w="37800">
              <a:solidFill>
                <a:srgbClr val="FFFF00"/>
              </a:solidFill>
              <a:round/>
            </a:ln>
          </c:spPr>
          <c:marker>
            <c:symbol val="triangle"/>
            <c:size val="9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'w-maxtau'!$N$2:$N$23</c:f>
              <c:strCache>
                <c:ptCount val="2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</c:strCache>
            </c:strRef>
          </c:cat>
          <c:val>
            <c:numRef>
              <c:f>'w-maxtau'!$O$2:$O$23</c:f>
              <c:numCache>
                <c:formatCode>0</c:formatCode>
                <c:ptCount val="22"/>
                <c:pt idx="0">
                  <c:v>316.636769379053</c:v>
                </c:pt>
                <c:pt idx="1">
                  <c:v>443.781265168062</c:v>
                </c:pt>
                <c:pt idx="2">
                  <c:v>569.839970383139</c:v>
                </c:pt>
                <c:pt idx="3">
                  <c:v>697.088939300352</c:v>
                </c:pt>
                <c:pt idx="4">
                  <c:v>826.597505690722</c:v>
                </c:pt>
                <c:pt idx="5">
                  <c:v>958.753095362083</c:v>
                </c:pt>
                <c:pt idx="6">
                  <c:v>1093.60935596225</c:v>
                </c:pt>
                <c:pt idx="7">
                  <c:v>1231.07631319181</c:v>
                </c:pt>
                <c:pt idx="8">
                  <c:v>1371.01226929551</c:v>
                </c:pt>
                <c:pt idx="9">
                  <c:v>1513.24914656656</c:v>
                </c:pt>
                <c:pt idx="10">
                  <c:v>1657.61566140643</c:v>
                </c:pt>
                <c:pt idx="11">
                  <c:v>1803.93743603902</c:v>
                </c:pt>
                <c:pt idx="12">
                  <c:v>1952.04160451364</c:v>
                </c:pt>
                <c:pt idx="13">
                  <c:v>2101.75949200107</c:v>
                </c:pt>
                <c:pt idx="14">
                  <c:v>2252.92892621552</c:v>
                </c:pt>
                <c:pt idx="15">
                  <c:v>2405.39613581446</c:v>
                </c:pt>
                <c:pt idx="16">
                  <c:v>2559.01716531718</c:v>
                </c:pt>
                <c:pt idx="17">
                  <c:v>2713.65879167735</c:v>
                </c:pt>
                <c:pt idx="18">
                  <c:v>2869.19898073909</c:v>
                </c:pt>
                <c:pt idx="19">
                  <c:v>3025.52695351623</c:v>
                </c:pt>
                <c:pt idx="20">
                  <c:v>3182.54294454693</c:v>
                </c:pt>
                <c:pt idx="21">
                  <c:v>3340.15773297933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'w-maxtau'!$P$1</c:f>
              <c:strCache>
                <c:ptCount val="1"/>
                <c:pt idx="0">
                  <c:v>Consumer Surplus</c:v>
                </c:pt>
              </c:strCache>
            </c:strRef>
          </c:tx>
          <c:spPr>
            <a:solidFill>
              <a:srgbClr val="00FFFF"/>
            </a:solidFill>
            <a:ln w="37800">
              <a:solidFill>
                <a:srgbClr val="00FFFF"/>
              </a:solidFill>
              <a:round/>
            </a:ln>
          </c:spPr>
          <c:marker>
            <c:symbol val="x"/>
            <c:size val="9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'w-maxtau'!$N$2:$N$23</c:f>
              <c:strCache>
                <c:ptCount val="2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</c:strCache>
            </c:strRef>
          </c:cat>
          <c:val>
            <c:numRef>
              <c:f>'w-maxtau'!$P$2:$P$23</c:f>
              <c:numCache>
                <c:formatCode>0</c:formatCode>
                <c:ptCount val="22"/>
                <c:pt idx="0">
                  <c:v>0</c:v>
                </c:pt>
                <c:pt idx="1">
                  <c:v>106.206814185508</c:v>
                </c:pt>
                <c:pt idx="2">
                  <c:v>210.30684130245</c:v>
                </c:pt>
                <c:pt idx="3">
                  <c:v>318.047538477416</c:v>
                </c:pt>
                <c:pt idx="4">
                  <c:v>432.781259105114</c:v>
                </c:pt>
                <c:pt idx="5">
                  <c:v>555.921569269533</c:v>
                </c:pt>
                <c:pt idx="6">
                  <c:v>687.64449257385</c:v>
                </c:pt>
                <c:pt idx="7">
                  <c:v>827.467310436208</c:v>
                </c:pt>
                <c:pt idx="8">
                  <c:v>974.618646697087</c:v>
                </c:pt>
                <c:pt idx="9">
                  <c:v>1128.23390339712</c:v>
                </c:pt>
                <c:pt idx="10">
                  <c:v>1287.4655161819</c:v>
                </c:pt>
                <c:pt idx="11">
                  <c:v>1451.52709331329</c:v>
                </c:pt>
                <c:pt idx="12">
                  <c:v>1619.71356029089</c:v>
                </c:pt>
                <c:pt idx="13">
                  <c:v>1791.40540266349</c:v>
                </c:pt>
                <c:pt idx="14">
                  <c:v>1966.06541048569</c:v>
                </c:pt>
                <c:pt idx="15">
                  <c:v>2143.23192946282</c:v>
                </c:pt>
                <c:pt idx="16">
                  <c:v>2322.51076952355</c:v>
                </c:pt>
                <c:pt idx="17">
                  <c:v>2503.56691667128</c:v>
                </c:pt>
                <c:pt idx="18">
                  <c:v>2686.11663915041</c:v>
                </c:pt>
                <c:pt idx="19">
                  <c:v>2869.92026875336</c:v>
                </c:pt>
                <c:pt idx="20">
                  <c:v>3054.77576444264</c:v>
                </c:pt>
                <c:pt idx="21">
                  <c:v>3240.51306923606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'w-maxtau'!$Q$1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800080"/>
            </a:solidFill>
            <a:ln w="25200">
              <a:solidFill>
                <a:srgbClr val="800080"/>
              </a:solidFill>
              <a:custDash>
                <a:ds d="605714" sp="151429"/>
              </a:custDash>
              <a:round/>
            </a:ln>
          </c:spPr>
          <c:marker>
            <c:symbol val="square"/>
            <c:size val="7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  <a:custDash>
                    <a:ds d="605714" sp="151429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'w-maxtau'!$N$2:$N$23</c:f>
              <c:strCache>
                <c:ptCount val="2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</c:strCache>
            </c:strRef>
          </c:cat>
          <c:val>
            <c:numRef>
              <c:f>'w-maxtau'!$Q$2:$Q$23</c:f>
              <c:numCache>
                <c:formatCode>0</c:formatCode>
                <c:ptCount val="22"/>
                <c:pt idx="0">
                  <c:v>348.300446316958</c:v>
                </c:pt>
                <c:pt idx="1">
                  <c:v>391.634024660505</c:v>
                </c:pt>
                <c:pt idx="2">
                  <c:v>433.075365826603</c:v>
                </c:pt>
                <c:pt idx="3">
                  <c:v>470.562209819172</c:v>
                </c:pt>
                <c:pt idx="4">
                  <c:v>502.780704732743</c:v>
                </c:pt>
                <c:pt idx="5">
                  <c:v>529.321159279544</c:v>
                </c:pt>
                <c:pt idx="6">
                  <c:v>550.434586174508</c:v>
                </c:pt>
                <c:pt idx="7">
                  <c:v>566.730189711435</c:v>
                </c:pt>
                <c:pt idx="8">
                  <c:v>578.954578146139</c:v>
                </c:pt>
                <c:pt idx="9">
                  <c:v>587.853938098976</c:v>
                </c:pt>
                <c:pt idx="10">
                  <c:v>594.111604498771</c:v>
                </c:pt>
                <c:pt idx="11">
                  <c:v>598.317314469339</c:v>
                </c:pt>
                <c:pt idx="12">
                  <c:v>600.962253805399</c:v>
                </c:pt>
                <c:pt idx="13">
                  <c:v>602.444825972113</c:v>
                </c:pt>
                <c:pt idx="14">
                  <c:v>603.081501411444</c:v>
                </c:pt>
                <c:pt idx="15">
                  <c:v>603.119244742762</c:v>
                </c:pt>
                <c:pt idx="16">
                  <c:v>602.747675383948</c:v>
                </c:pt>
                <c:pt idx="17">
                  <c:v>602.110077904261</c:v>
                </c:pt>
                <c:pt idx="18">
                  <c:v>601.312920639409</c:v>
                </c:pt>
                <c:pt idx="19">
                  <c:v>600.433835428087</c:v>
                </c:pt>
                <c:pt idx="20">
                  <c:v>599.528160833032</c:v>
                </c:pt>
                <c:pt idx="21">
                  <c:v>598.634216965187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'w-maxtau'!$R$1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custDash>
                <a:ds d="300000" sp="300000"/>
              </a:custDash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custDash>
                    <a:ds d="300000" sp="300000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'w-maxtau'!$N$2:$N$23</c:f>
              <c:strCache>
                <c:ptCount val="2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</c:strCache>
            </c:strRef>
          </c:cat>
          <c:val>
            <c:numRef>
              <c:f>'w-maxtau'!$R$2:$R$23</c:f>
              <c:numCache>
                <c:formatCode>0</c:formatCode>
                <c:ptCount val="22"/>
                <c:pt idx="0">
                  <c:v>31.6636769379053</c:v>
                </c:pt>
                <c:pt idx="1">
                  <c:v>54.0595736779511</c:v>
                </c:pt>
                <c:pt idx="2">
                  <c:v>73.5422367459138</c:v>
                </c:pt>
                <c:pt idx="3">
                  <c:v>91.5208089962354</c:v>
                </c:pt>
                <c:pt idx="4">
                  <c:v>108.964458147136</c:v>
                </c:pt>
                <c:pt idx="5">
                  <c:v>126.489633186994</c:v>
                </c:pt>
                <c:pt idx="6">
                  <c:v>144.46972278611</c:v>
                </c:pt>
                <c:pt idx="7">
                  <c:v>163.121186955831</c:v>
                </c:pt>
                <c:pt idx="8">
                  <c:v>182.560955547714</c:v>
                </c:pt>
                <c:pt idx="9">
                  <c:v>202.83869492954</c:v>
                </c:pt>
                <c:pt idx="10">
                  <c:v>223.961459274242</c:v>
                </c:pt>
                <c:pt idx="11">
                  <c:v>245.906971743609</c:v>
                </c:pt>
                <c:pt idx="12">
                  <c:v>268.634209582651</c:v>
                </c:pt>
                <c:pt idx="13">
                  <c:v>292.090736634533</c:v>
                </c:pt>
                <c:pt idx="14">
                  <c:v>316.217985681618</c:v>
                </c:pt>
                <c:pt idx="15">
                  <c:v>340.955038391123</c:v>
                </c:pt>
                <c:pt idx="16">
                  <c:v>366.241279590313</c:v>
                </c:pt>
                <c:pt idx="17">
                  <c:v>392.018202898193</c:v>
                </c:pt>
                <c:pt idx="18">
                  <c:v>418.230579050734</c:v>
                </c:pt>
                <c:pt idx="19">
                  <c:v>444.82715066522</c:v>
                </c:pt>
                <c:pt idx="20">
                  <c:v>471.760980728739</c:v>
                </c:pt>
                <c:pt idx="21">
                  <c:v>498.98955322192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704948"/>
        <c:axId val="64313863"/>
      </c:lineChart>
      <c:lineChart>
        <c:grouping val="standard"/>
        <c:varyColors val="0"/>
        <c:ser>
          <c:idx val="4"/>
          <c:order val="4"/>
          <c:tx>
            <c:strRef>
              <c:f>'w-maxtau'!$S$1</c:f>
              <c:strCache>
                <c:ptCount val="1"/>
                <c:pt idx="0">
                  <c:v>OptimalTau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'w-maxtau'!$N$2:$N$23</c:f>
              <c:strCache>
                <c:ptCount val="2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</c:strCache>
            </c:strRef>
          </c:cat>
          <c:val>
            <c:numRef>
              <c:f>'w-maxtau'!$S$2:$S$23</c:f>
              <c:numCache>
                <c:formatCode>0.00</c:formatCode>
                <c:ptCount val="22"/>
                <c:pt idx="0">
                  <c:v>5.5</c:v>
                </c:pt>
                <c:pt idx="1">
                  <c:v>6.68229493668799</c:v>
                </c:pt>
                <c:pt idx="2">
                  <c:v>7.82370448169604</c:v>
                </c:pt>
                <c:pt idx="3">
                  <c:v>8.88600683564722</c:v>
                </c:pt>
                <c:pt idx="4">
                  <c:v>9.85003410314511</c:v>
                </c:pt>
                <c:pt idx="5">
                  <c:v>10.7128251081063</c:v>
                </c:pt>
                <c:pt idx="6">
                  <c:v>11.4801812061327</c:v>
                </c:pt>
                <c:pt idx="7">
                  <c:v>12.161043065145</c:v>
                </c:pt>
                <c:pt idx="8">
                  <c:v>12.7644908519281</c:v>
                </c:pt>
                <c:pt idx="9">
                  <c:v>13.2990333690592</c:v>
                </c:pt>
                <c:pt idx="10">
                  <c:v>13.7720475570767</c:v>
                </c:pt>
                <c:pt idx="11">
                  <c:v>14.1900492132047</c:v>
                </c:pt>
                <c:pt idx="12">
                  <c:v>14.5587993463083</c:v>
                </c:pt>
                <c:pt idx="13">
                  <c:v>14.8834429505077</c:v>
                </c:pt>
                <c:pt idx="14">
                  <c:v>15.1686161992499</c:v>
                </c:pt>
                <c:pt idx="15">
                  <c:v>15.4185232188585</c:v>
                </c:pt>
                <c:pt idx="16">
                  <c:v>15.6369895481985</c:v>
                </c:pt>
                <c:pt idx="17">
                  <c:v>15.8274996263527</c:v>
                </c:pt>
                <c:pt idx="18">
                  <c:v>15.9932242003681</c:v>
                </c:pt>
                <c:pt idx="19">
                  <c:v>16.1370418681239</c:v>
                </c:pt>
                <c:pt idx="20">
                  <c:v>16.2615575289943</c:v>
                </c:pt>
                <c:pt idx="21">
                  <c:v>16.3691194352025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5928256"/>
        <c:axId val="35177359"/>
      </c:lineChart>
      <c:catAx>
        <c:axId val="87049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Jurisdiction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64313863"/>
        <c:crossesAt val="0"/>
        <c:auto val="1"/>
        <c:lblAlgn val="ctr"/>
        <c:lblOffset val="100"/>
        <c:noMultiLvlLbl val="0"/>
      </c:catAx>
      <c:valAx>
        <c:axId val="6431386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Value (W*, U*, R*, C*)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704948"/>
        <c:crossesAt val="1"/>
        <c:crossBetween val="midCat"/>
      </c:valAx>
      <c:catAx>
        <c:axId val="35928256"/>
        <c:scaling>
          <c:orientation val="minMax"/>
        </c:scaling>
        <c:delete val="1"/>
        <c:axPos val="t"/>
        <c:numFmt formatCode="General" sourceLinked="1"/>
        <c:majorTickMark val="cross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5177359"/>
        <c:auto val="1"/>
        <c:lblAlgn val="ctr"/>
        <c:lblOffset val="100"/>
        <c:noMultiLvlLbl val="0"/>
      </c:catAx>
      <c:valAx>
        <c:axId val="35177359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Optimal Toll (T*)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5928256"/>
        <c:crosses val="max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108184908915614"/>
          <c:y val="0.910667823070252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To Tax or To Toll: Jurisdiction Size vs. Collection Costs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422780595454721"/>
          <c:y val="0.171774569166279"/>
          <c:w val="0.844941732161524"/>
          <c:h val="0.690172333488589"/>
        </c:manualLayout>
      </c:layout>
      <c:scatterChart>
        <c:scatterStyle val="lineMarker"/>
        <c:varyColors val="0"/>
        <c:ser>
          <c:idx val="0"/>
          <c:order val="0"/>
          <c:tx>
            <c:strRef>
              <c:f>tauVtax!$B$3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tauVtax!$A$4:$A$33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50</c:v>
                </c:pt>
                <c:pt idx="23">
                  <c:v>60</c:v>
                </c:pt>
                <c:pt idx="24">
                  <c:v>70</c:v>
                </c:pt>
                <c:pt idx="25">
                  <c:v>80</c:v>
                </c:pt>
                <c:pt idx="26">
                  <c:v>90</c:v>
                </c:pt>
                <c:pt idx="27">
                  <c:v>100</c:v>
                </c:pt>
                <c:pt idx="28">
                  <c:v>1000</c:v>
                </c:pt>
                <c:pt idx="29">
                  <c:v>10000</c:v>
                </c:pt>
              </c:numCache>
            </c:numRef>
          </c:xVal>
          <c:yVal>
            <c:numRef>
              <c:f>tauVtax!$B$4:$B$33</c:f>
              <c:numCache>
                <c:formatCode>General</c:formatCode>
                <c:ptCount val="0"/>
              </c:numCache>
            </c:numRef>
          </c:yVal>
          <c:smooth val="0"/>
        </c:ser>
        <c:ser>
          <c:idx val="1"/>
          <c:order val="1"/>
          <c:tx>
            <c:strRef>
              <c:f>$tauvtax.$#ref!$#ref!</c:f>
              <c:strCache>
                <c:ptCount val="1"/>
                <c:pt idx="0">
                  <c:v>$tauvtax.$#ref!$#ref!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tauVtax!$A$4:$A$33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50</c:v>
                </c:pt>
                <c:pt idx="23">
                  <c:v>60</c:v>
                </c:pt>
                <c:pt idx="24">
                  <c:v>70</c:v>
                </c:pt>
                <c:pt idx="25">
                  <c:v>80</c:v>
                </c:pt>
                <c:pt idx="26">
                  <c:v>90</c:v>
                </c:pt>
                <c:pt idx="27">
                  <c:v>100</c:v>
                </c:pt>
                <c:pt idx="28">
                  <c:v>1000</c:v>
                </c:pt>
                <c:pt idx="29">
                  <c:v>10000</c:v>
                </c:pt>
              </c:numCache>
            </c:numRef>
          </c:xVal>
          <c:yVal>
            <c:numRef>
              <c:f>tauVtax!$D$4:$D$33</c:f>
              <c:numCache>
                <c:formatCode>0.00</c:formatCode>
                <c:ptCount val="30"/>
                <c:pt idx="0">
                  <c:v>5.50000249999765</c:v>
                </c:pt>
                <c:pt idx="1">
                  <c:v>5.6811835534239</c:v>
                </c:pt>
                <c:pt idx="2">
                  <c:v>5.84903528384486</c:v>
                </c:pt>
                <c:pt idx="3">
                  <c:v>6.00136704235839</c:v>
                </c:pt>
                <c:pt idx="4">
                  <c:v>6.13745785441395</c:v>
                </c:pt>
                <c:pt idx="5">
                  <c:v>6.25763457605166</c:v>
                </c:pt>
                <c:pt idx="6">
                  <c:v>6.3628639582659</c:v>
                </c:pt>
                <c:pt idx="7">
                  <c:v>6.45442603332387</c:v>
                </c:pt>
                <c:pt idx="8">
                  <c:v>6.53372415485293</c:v>
                </c:pt>
                <c:pt idx="9">
                  <c:v>6.60216390334627</c:v>
                </c:pt>
                <c:pt idx="10">
                  <c:v>6.66106449609993</c:v>
                </c:pt>
                <c:pt idx="11">
                  <c:v>6.71163867948318</c:v>
                </c:pt>
                <c:pt idx="12">
                  <c:v>6.74</c:v>
                </c:pt>
                <c:pt idx="13">
                  <c:v>6.79</c:v>
                </c:pt>
                <c:pt idx="14">
                  <c:v>6.83</c:v>
                </c:pt>
                <c:pt idx="15">
                  <c:v>6.8507047322613</c:v>
                </c:pt>
                <c:pt idx="16">
                  <c:v>6.87</c:v>
                </c:pt>
                <c:pt idx="17">
                  <c:v>6.89</c:v>
                </c:pt>
                <c:pt idx="18">
                  <c:v>6.91</c:v>
                </c:pt>
                <c:pt idx="19">
                  <c:v>6.93</c:v>
                </c:pt>
                <c:pt idx="20">
                  <c:v>6.94</c:v>
                </c:pt>
                <c:pt idx="21">
                  <c:v>6.94600615421292</c:v>
                </c:pt>
                <c:pt idx="22">
                  <c:v>6.96</c:v>
                </c:pt>
                <c:pt idx="23">
                  <c:v>6.97</c:v>
                </c:pt>
                <c:pt idx="24">
                  <c:v>6.98</c:v>
                </c:pt>
                <c:pt idx="25">
                  <c:v>6.99</c:v>
                </c:pt>
                <c:pt idx="26">
                  <c:v>7</c:v>
                </c:pt>
                <c:pt idx="27">
                  <c:v>7.01</c:v>
                </c:pt>
                <c:pt idx="28">
                  <c:v>7.02</c:v>
                </c:pt>
                <c:pt idx="29">
                  <c:v>7.02021396780895</c:v>
                </c:pt>
              </c:numCache>
            </c:numRef>
          </c:yVal>
          <c:smooth val="0"/>
        </c:ser>
        <c:axId val="29111188"/>
        <c:axId val="73612541"/>
      </c:scatterChart>
      <c:valAx>
        <c:axId val="29111188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Jurisdiction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3612541"/>
        <c:crossesAt val="0"/>
        <c:crossBetween val="midCat"/>
      </c:valAx>
      <c:valAx>
        <c:axId val="7361254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Collection Cost Coefficient (Theta), Toll Level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29111188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428394440357737"/>
          <c:y val="0.904238472286912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Figure 4: Welfare Maximizing Toll vs. Cost Coefficient Phi (j)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92885375494071"/>
          <c:y val="0.177926817240359"/>
          <c:w val="0.911791179117912"/>
          <c:h val="0.672551533681823"/>
        </c:manualLayout>
      </c:layout>
      <c:lineChart>
        <c:grouping val="standard"/>
        <c:varyColors val="0"/>
        <c:ser>
          <c:idx val="0"/>
          <c:order val="0"/>
          <c:tx>
            <c:strRef>
              <c:f>tauVtax!$B$2:$B$3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none"/>
          </c:marker>
          <c:cat>
            <c:strRef>
              <c:f>tauVtax!$A$4:$A$25</c:f>
              <c:strCache>
                <c:ptCount val="2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</c:strCache>
            </c:strRef>
          </c:cat>
          <c:val>
            <c:numRef>
              <c:f>tauVtax!$B$4:$B$25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strRef>
              <c:f>tauVtax!$C$2:$C$3</c:f>
              <c:strCache>
                <c:ptCount val="1"/>
                <c:pt idx="0">
                  <c:v>Toll (t*) phi=1.1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tauVtax!$A$4:$A$25</c:f>
              <c:strCache>
                <c:ptCount val="2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</c:strCache>
            </c:strRef>
          </c:cat>
          <c:val>
            <c:numRef>
              <c:f>tauVtax!$C$4:$C$25</c:f>
              <c:numCache>
                <c:formatCode>0.00</c:formatCode>
                <c:ptCount val="22"/>
                <c:pt idx="0">
                  <c:v>5.50000249999765</c:v>
                </c:pt>
                <c:pt idx="1">
                  <c:v>6.68301210093589</c:v>
                </c:pt>
                <c:pt idx="2">
                  <c:v>7.84773635689576</c:v>
                </c:pt>
                <c:pt idx="3">
                  <c:v>8.89433066248122</c:v>
                </c:pt>
                <c:pt idx="4">
                  <c:v>9.85003410314511</c:v>
                </c:pt>
                <c:pt idx="5">
                  <c:v>10.7128251081063</c:v>
                </c:pt>
                <c:pt idx="6">
                  <c:v>11.4801812061327</c:v>
                </c:pt>
                <c:pt idx="7">
                  <c:v>12.161043065145</c:v>
                </c:pt>
                <c:pt idx="8">
                  <c:v>12.7644908519281</c:v>
                </c:pt>
                <c:pt idx="9">
                  <c:v>13.2990333690592</c:v>
                </c:pt>
                <c:pt idx="10">
                  <c:v>13.7720475570767</c:v>
                </c:pt>
                <c:pt idx="11">
                  <c:v>14.1900492132047</c:v>
                </c:pt>
                <c:pt idx="12">
                  <c:v>14.5587993463083</c:v>
                </c:pt>
                <c:pt idx="13">
                  <c:v>14.8834429505077</c:v>
                </c:pt>
                <c:pt idx="14">
                  <c:v>15.1686161992499</c:v>
                </c:pt>
                <c:pt idx="15">
                  <c:v>15.4185232188585</c:v>
                </c:pt>
                <c:pt idx="16">
                  <c:v>15.6369895481985</c:v>
                </c:pt>
                <c:pt idx="17">
                  <c:v>15.8274996263527</c:v>
                </c:pt>
                <c:pt idx="18">
                  <c:v>15.9932242003681</c:v>
                </c:pt>
                <c:pt idx="19">
                  <c:v>16.1370418681239</c:v>
                </c:pt>
                <c:pt idx="20">
                  <c:v>16.2615575289943</c:v>
                </c:pt>
                <c:pt idx="21">
                  <c:v>16.3777966950653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tauVtax!$D$3</c:f>
              <c:strCache>
                <c:ptCount val="1"/>
                <c:pt idx="0">
                  <c:v>phi=0.1</c:v>
                </c:pt>
              </c:strCache>
            </c:strRef>
          </c:tx>
          <c:spPr>
            <a:solidFill>
              <a:srgbClr val="FF00FF"/>
            </a:solidFill>
            <a:ln w="25200">
              <a:solidFill>
                <a:srgbClr val="FF00FF"/>
              </a:solidFill>
              <a:custDash>
                <a:ds d="605714" sp="151429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  <a:custDash>
                    <a:ds d="605714" sp="151429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tauVtax!$A$4:$A$25</c:f>
              <c:strCache>
                <c:ptCount val="2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</c:strCache>
            </c:strRef>
          </c:cat>
          <c:val>
            <c:numRef>
              <c:f>tauVtax!$D$4:$D$25</c:f>
              <c:numCache>
                <c:formatCode>0.00</c:formatCode>
                <c:ptCount val="22"/>
                <c:pt idx="0">
                  <c:v>5.50000249999765</c:v>
                </c:pt>
                <c:pt idx="1">
                  <c:v>5.6811835534239</c:v>
                </c:pt>
                <c:pt idx="2">
                  <c:v>5.84903528384486</c:v>
                </c:pt>
                <c:pt idx="3">
                  <c:v>6.00136704235839</c:v>
                </c:pt>
                <c:pt idx="4">
                  <c:v>6.13745785441395</c:v>
                </c:pt>
                <c:pt idx="5">
                  <c:v>6.25763457605166</c:v>
                </c:pt>
                <c:pt idx="6">
                  <c:v>6.3628639582659</c:v>
                </c:pt>
                <c:pt idx="7">
                  <c:v>6.45442603332387</c:v>
                </c:pt>
                <c:pt idx="8">
                  <c:v>6.53372415485293</c:v>
                </c:pt>
                <c:pt idx="9">
                  <c:v>6.60216390334627</c:v>
                </c:pt>
                <c:pt idx="10">
                  <c:v>6.66106449609993</c:v>
                </c:pt>
                <c:pt idx="11">
                  <c:v>6.71163867948318</c:v>
                </c:pt>
                <c:pt idx="12">
                  <c:v>6.74</c:v>
                </c:pt>
                <c:pt idx="13">
                  <c:v>6.79</c:v>
                </c:pt>
                <c:pt idx="14">
                  <c:v>6.83</c:v>
                </c:pt>
                <c:pt idx="15">
                  <c:v>6.8507047322613</c:v>
                </c:pt>
                <c:pt idx="16">
                  <c:v>6.87</c:v>
                </c:pt>
                <c:pt idx="17">
                  <c:v>6.89</c:v>
                </c:pt>
                <c:pt idx="18">
                  <c:v>6.91</c:v>
                </c:pt>
                <c:pt idx="19">
                  <c:v>6.93</c:v>
                </c:pt>
                <c:pt idx="20">
                  <c:v>6.94</c:v>
                </c:pt>
                <c:pt idx="21">
                  <c:v>6.94600615421292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5383404"/>
        <c:axId val="58147635"/>
      </c:lineChart>
      <c:catAx>
        <c:axId val="953834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Jurisdiction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8147635"/>
        <c:crossesAt val="0"/>
        <c:auto val="1"/>
        <c:lblAlgn val="ctr"/>
        <c:lblOffset val="100"/>
        <c:noMultiLvlLbl val="0"/>
      </c:catAx>
      <c:valAx>
        <c:axId val="5814763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Welfare Maximizing Toll (t*)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95383404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395569991781787"/>
          <c:y val="0.902653121609626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Figure 4: Welfare Implications of Cordon Toll Collection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428182172051382"/>
          <c:y val="0.162518687890247"/>
          <c:w val="0.913779680809654"/>
          <c:h val="0.690264708468912"/>
        </c:manualLayout>
      </c:layout>
      <c:lineChart>
        <c:grouping val="standard"/>
        <c:varyColors val="0"/>
        <c:ser>
          <c:idx val="0"/>
          <c:order val="0"/>
          <c:tx>
            <c:strRef>
              <c:f>'TaxV.Toll'!$P$1</c:f>
              <c:strCache>
                <c:ptCount val="1"/>
                <c:pt idx="0">
                  <c:v>%One-End Local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custDash>
                <a:ds d="1200000" sp="300000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custDash>
                    <a:ds d="1200000" sp="300000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'TaxV.Toll'!$O$2:$O$23</c:f>
              <c:strCache>
                <c:ptCount val="2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</c:strCache>
            </c:strRef>
          </c:cat>
          <c:val>
            <c:numRef>
              <c:f>'TaxV.Toll'!$P$2:$P$23</c:f>
              <c:numCache>
                <c:formatCode>0.00</c:formatCode>
                <c:ptCount val="22"/>
                <c:pt idx="0">
                  <c:v>-0</c:v>
                </c:pt>
                <c:pt idx="1">
                  <c:v>0.301631188125038</c:v>
                </c:pt>
                <c:pt idx="2">
                  <c:v>0.518176365973291</c:v>
                </c:pt>
                <c:pt idx="3">
                  <c:v>0.666574023488821</c:v>
                </c:pt>
                <c:pt idx="4">
                  <c:v>0.766452229216982</c:v>
                </c:pt>
                <c:pt idx="5">
                  <c:v>0.833773070194208</c:v>
                </c:pt>
                <c:pt idx="6">
                  <c:v>0.879704591318491</c:v>
                </c:pt>
                <c:pt idx="7">
                  <c:v>0.911569374747095</c:v>
                </c:pt>
                <c:pt idx="8">
                  <c:v>0.934068415026243</c:v>
                </c:pt>
                <c:pt idx="9">
                  <c:v>0.950226694168372</c:v>
                </c:pt>
                <c:pt idx="10">
                  <c:v>0.962013267854931</c:v>
                </c:pt>
                <c:pt idx="11">
                  <c:v>0.970732358420373</c:v>
                </c:pt>
                <c:pt idx="12">
                  <c:v>0.977263393966374</c:v>
                </c:pt>
                <c:pt idx="13">
                  <c:v>0.982209984852656</c:v>
                </c:pt>
                <c:pt idx="14">
                  <c:v>0.985993442289519</c:v>
                </c:pt>
                <c:pt idx="15">
                  <c:v>0.988912452129423</c:v>
                </c:pt>
                <c:pt idx="16">
                  <c:v>0.991181821689034</c:v>
                </c:pt>
                <c:pt idx="17">
                  <c:v>0.99295807656654</c:v>
                </c:pt>
                <c:pt idx="18">
                  <c:v>0.994356652121579</c:v>
                </c:pt>
                <c:pt idx="19">
                  <c:v>0.995463620688375</c:v>
                </c:pt>
                <c:pt idx="20">
                  <c:v>0.996343808320285</c:v>
                </c:pt>
                <c:pt idx="21">
                  <c:v>0.997046489090197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'TaxV.Toll'!$Q$1</c:f>
              <c:strCache>
                <c:ptCount val="1"/>
                <c:pt idx="0">
                  <c:v>%Local Residents</c:v>
                </c:pt>
              </c:strCache>
            </c:strRef>
          </c:tx>
          <c:spPr>
            <a:solidFill>
              <a:srgbClr val="FF00FF"/>
            </a:solidFill>
            <a:ln w="37800">
              <a:solidFill>
                <a:srgbClr val="FF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'TaxV.Toll'!$O$2:$O$23</c:f>
              <c:strCache>
                <c:ptCount val="2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</c:strCache>
            </c:strRef>
          </c:cat>
          <c:val>
            <c:numRef>
              <c:f>'TaxV.Toll'!$Q$2:$Q$23</c:f>
              <c:numCache>
                <c:formatCode>0.00</c:formatCode>
                <c:ptCount val="22"/>
                <c:pt idx="0">
                  <c:v>-0</c:v>
                </c:pt>
                <c:pt idx="1">
                  <c:v>0.150815594062519</c:v>
                </c:pt>
                <c:pt idx="2">
                  <c:v>0.259088182986645</c:v>
                </c:pt>
                <c:pt idx="3">
                  <c:v>0.333287011744411</c:v>
                </c:pt>
                <c:pt idx="4">
                  <c:v>0.383226114608491</c:v>
                </c:pt>
                <c:pt idx="5">
                  <c:v>0.416886535097104</c:v>
                </c:pt>
                <c:pt idx="6">
                  <c:v>0.439852295659245</c:v>
                </c:pt>
                <c:pt idx="7">
                  <c:v>0.455784687373547</c:v>
                </c:pt>
                <c:pt idx="8">
                  <c:v>0.467034207513121</c:v>
                </c:pt>
                <c:pt idx="9">
                  <c:v>0.475113347084186</c:v>
                </c:pt>
                <c:pt idx="10">
                  <c:v>0.481006633927465</c:v>
                </c:pt>
                <c:pt idx="11">
                  <c:v>0.485366179210186</c:v>
                </c:pt>
                <c:pt idx="12">
                  <c:v>0.488631696983187</c:v>
                </c:pt>
                <c:pt idx="13">
                  <c:v>0.491104992426328</c:v>
                </c:pt>
                <c:pt idx="14">
                  <c:v>0.49299672114476</c:v>
                </c:pt>
                <c:pt idx="15">
                  <c:v>0.494456226064712</c:v>
                </c:pt>
                <c:pt idx="16">
                  <c:v>0.495590910844517</c:v>
                </c:pt>
                <c:pt idx="17">
                  <c:v>0.49647903828327</c:v>
                </c:pt>
                <c:pt idx="18">
                  <c:v>0.49717832606079</c:v>
                </c:pt>
                <c:pt idx="19">
                  <c:v>0.497731810344188</c:v>
                </c:pt>
                <c:pt idx="20">
                  <c:v>0.498171904160143</c:v>
                </c:pt>
                <c:pt idx="21">
                  <c:v>0.498523244545098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0218017"/>
        <c:axId val="63342720"/>
      </c:lineChart>
      <c:catAx>
        <c:axId val="302180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Jurisdiction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63342720"/>
        <c:crossesAt val="0"/>
        <c:auto val="1"/>
        <c:lblAlgn val="ctr"/>
        <c:lblOffset val="100"/>
        <c:noMultiLvlLbl val="0"/>
      </c:catAx>
      <c:valAx>
        <c:axId val="6334272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Proportion of Trips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0218017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35683145192682"/>
          <c:y val="0.902735027702049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Arial"/>
              </a:rPr>
              <a:t>Figure 5: To Tax or To Toll Collection Costs vs. Jurisdiction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15534984489635"/>
          <c:y val="0.178802515264741"/>
          <c:w val="0.946723127677384"/>
          <c:h val="0.757951335095234"/>
        </c:manualLayout>
      </c:layout>
      <c:scatterChart>
        <c:scatterStyle val="line"/>
        <c:varyColors val="0"/>
        <c:ser>
          <c:idx val="0"/>
          <c:order val="0"/>
          <c:tx>
            <c:strRef>
              <c:f>'TaxV.Toll'!$B$1</c:f>
              <c:strCache>
                <c:ptCount val="1"/>
                <c:pt idx="0">
                  <c:v>Kappa-necessary (phi 1.1)</c:v>
                </c:pt>
              </c:strCache>
            </c:strRef>
          </c:tx>
          <c:spPr>
            <a:solidFill>
              <a:srgbClr val="000080"/>
            </a:solidFill>
            <a:ln w="252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'TaxV.Toll'!$A$2:$A$31</c:f>
              <c:numCache>
                <c:formatCode>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50</c:v>
                </c:pt>
                <c:pt idx="23">
                  <c:v>60</c:v>
                </c:pt>
                <c:pt idx="24">
                  <c:v>70</c:v>
                </c:pt>
                <c:pt idx="25">
                  <c:v>80</c:v>
                </c:pt>
                <c:pt idx="26">
                  <c:v>90</c:v>
                </c:pt>
                <c:pt idx="27">
                  <c:v>100</c:v>
                </c:pt>
                <c:pt idx="28">
                  <c:v>1000</c:v>
                </c:pt>
                <c:pt idx="29">
                  <c:v>10000</c:v>
                </c:pt>
              </c:numCache>
            </c:numRef>
          </c:xVal>
          <c:yVal>
            <c:numRef>
              <c:f>'TaxV.Toll'!$B$2:$B$31</c:f>
              <c:numCache>
                <c:formatCode>0.00</c:formatCode>
                <c:ptCount val="30"/>
                <c:pt idx="0">
                  <c:v>316.636769379014</c:v>
                </c:pt>
                <c:pt idx="1">
                  <c:v>413.638250655079</c:v>
                </c:pt>
                <c:pt idx="2">
                  <c:v>512.652074662673</c:v>
                </c:pt>
                <c:pt idx="3">
                  <c:v>610.224992383336</c:v>
                </c:pt>
                <c:pt idx="4">
                  <c:v>703.881238452785</c:v>
                </c:pt>
                <c:pt idx="5">
                  <c:v>792.013745784943</c:v>
                </c:pt>
                <c:pt idx="6">
                  <c:v>873.686003815307</c:v>
                </c:pt>
                <c:pt idx="7">
                  <c:v>948.452333978023</c:v>
                </c:pt>
                <c:pt idx="8">
                  <c:v>1016.21376849018</c:v>
                </c:pt>
                <c:pt idx="9">
                  <c:v>1077.11047531887</c:v>
                </c:pt>
                <c:pt idx="10">
                  <c:v>1131.44286752765</c:v>
                </c:pt>
                <c:pt idx="11">
                  <c:v>1179.61359821319</c:v>
                </c:pt>
                <c:pt idx="12">
                  <c:v>1222.08476995117</c:v>
                </c:pt>
                <c:pt idx="13">
                  <c:v>1259.34647509782</c:v>
                </c:pt>
                <c:pt idx="14">
                  <c:v>1291.89395824515</c:v>
                </c:pt>
                <c:pt idx="15">
                  <c:v>1320.21142381525</c:v>
                </c:pt>
                <c:pt idx="16">
                  <c:v>1344.76098039823</c:v>
                </c:pt>
                <c:pt idx="17">
                  <c:v>1365.97553501489</c:v>
                </c:pt>
                <c:pt idx="18">
                  <c:v>1384.25468878968</c:v>
                </c:pt>
                <c:pt idx="19">
                  <c:v>1399.96287313948</c:v>
                </c:pt>
                <c:pt idx="20">
                  <c:v>1413.42911872856</c:v>
                </c:pt>
                <c:pt idx="21">
                  <c:v>1424.94783736974</c:v>
                </c:pt>
                <c:pt idx="22">
                  <c:v>1456.34078241555</c:v>
                </c:pt>
                <c:pt idx="23">
                  <c:v>1475.2327701839</c:v>
                </c:pt>
                <c:pt idx="24">
                  <c:v>1483.30578982752</c:v>
                </c:pt>
                <c:pt idx="25">
                  <c:v>1486.68413574678</c:v>
                </c:pt>
                <c:pt idx="26">
                  <c:v>1488.07621887644</c:v>
                </c:pt>
                <c:pt idx="27">
                  <c:v>1488.6430507606</c:v>
                </c:pt>
                <c:pt idx="28">
                  <c:v>1489.02319629982</c:v>
                </c:pt>
                <c:pt idx="29">
                  <c:v>1489.02302264364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'TaxV.Toll'!$C$1</c:f>
              <c:strCache>
                <c:ptCount val="1"/>
                <c:pt idx="0">
                  <c:v>Kappa-necessary (phi 0.1)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custDash>
                <a:ds d="1200000" sp="300000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  <a:custDash>
                    <a:ds d="1200000" sp="300000"/>
                  </a:custDash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'TaxV.Toll'!$A$2:$A$31</c:f>
              <c:numCache>
                <c:formatCode>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50</c:v>
                </c:pt>
                <c:pt idx="23">
                  <c:v>60</c:v>
                </c:pt>
                <c:pt idx="24">
                  <c:v>70</c:v>
                </c:pt>
                <c:pt idx="25">
                  <c:v>80</c:v>
                </c:pt>
                <c:pt idx="26">
                  <c:v>90</c:v>
                </c:pt>
                <c:pt idx="27">
                  <c:v>100</c:v>
                </c:pt>
                <c:pt idx="28">
                  <c:v>1000</c:v>
                </c:pt>
                <c:pt idx="29">
                  <c:v>10000</c:v>
                </c:pt>
              </c:numCache>
            </c:numRef>
          </c:xVal>
          <c:yVal>
            <c:numRef>
              <c:f>'TaxV.Toll'!$C$2:$C$31</c:f>
              <c:numCache>
                <c:formatCode>0.00</c:formatCode>
                <c:ptCount val="30"/>
                <c:pt idx="0">
                  <c:v>316.636769379014</c:v>
                </c:pt>
                <c:pt idx="1">
                  <c:v>287.82948876453</c:v>
                </c:pt>
                <c:pt idx="2">
                  <c:v>265.102751502039</c:v>
                </c:pt>
                <c:pt idx="3">
                  <c:v>247.211337773037</c:v>
                </c:pt>
                <c:pt idx="4">
                  <c:v>233.153073865528</c:v>
                </c:pt>
                <c:pt idx="5">
                  <c:v>222.125854013315</c:v>
                </c:pt>
                <c:pt idx="6">
                  <c:v>213.490513004438</c:v>
                </c:pt>
                <c:pt idx="7">
                  <c:v>206.739427266289</c:v>
                </c:pt>
                <c:pt idx="8">
                  <c:v>201.47046250055</c:v>
                </c:pt>
                <c:pt idx="9">
                  <c:v>197.365674310243</c:v>
                </c:pt>
                <c:pt idx="10">
                  <c:v>194.174078180425</c:v>
                </c:pt>
                <c:pt idx="11">
                  <c:v>191.697813021917</c:v>
                </c:pt>
                <c:pt idx="12">
                  <c:v>189.779997712312</c:v>
                </c:pt>
                <c:pt idx="13">
                  <c:v>188.301345402897</c:v>
                </c:pt>
                <c:pt idx="14">
                  <c:v>187.162203969265</c:v>
                </c:pt>
                <c:pt idx="15">
                  <c:v>186.288640073433</c:v>
                </c:pt>
                <c:pt idx="16">
                  <c:v>185.620837627945</c:v>
                </c:pt>
                <c:pt idx="17">
                  <c:v>185.112796584421</c:v>
                </c:pt>
                <c:pt idx="18">
                  <c:v>184.728253617965</c:v>
                </c:pt>
                <c:pt idx="19">
                  <c:v>184.438681745887</c:v>
                </c:pt>
                <c:pt idx="20">
                  <c:v>184.222549582913</c:v>
                </c:pt>
                <c:pt idx="21">
                  <c:v>184.062445790936</c:v>
                </c:pt>
                <c:pt idx="22">
                  <c:v>183.756642659208</c:v>
                </c:pt>
                <c:pt idx="23">
                  <c:v>183.690355709359</c:v>
                </c:pt>
                <c:pt idx="24">
                  <c:v>183.705173884106</c:v>
                </c:pt>
                <c:pt idx="25">
                  <c:v>183.725228350067</c:v>
                </c:pt>
                <c:pt idx="26">
                  <c:v>183.737747154339</c:v>
                </c:pt>
                <c:pt idx="27">
                  <c:v>183.743623547414</c:v>
                </c:pt>
                <c:pt idx="28">
                  <c:v>183.747678932661</c:v>
                </c:pt>
                <c:pt idx="29">
                  <c:v>183.747638369678</c:v>
                </c:pt>
              </c:numCache>
            </c:numRef>
          </c:yVal>
          <c:smooth val="1"/>
        </c:ser>
        <c:axId val="345717"/>
        <c:axId val="36598351"/>
      </c:scatterChart>
      <c:valAx>
        <c:axId val="345717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Geneva"/>
                  </a:rPr>
                  <a:t>Jurisdiction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Symbol"/>
              </a:defRPr>
            </a:pPr>
          </a:p>
        </c:txPr>
        <c:crossAx val="36598351"/>
        <c:crossesAt val="0"/>
        <c:crossBetween val="midCat"/>
      </c:valAx>
      <c:valAx>
        <c:axId val="3659835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Geneva"/>
                  </a:rPr>
                  <a:t>Collection Costs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Symbol"/>
              </a:defRPr>
            </a:pPr>
          </a:p>
        </c:txPr>
        <c:crossAx val="345717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692402383179871"/>
          <c:y val="0.292171694158389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To Tax or To Toll: Jurisdiction Size vs. Collection Costs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422780595454721"/>
          <c:y val="0.171774569166279"/>
          <c:w val="0.844941732161524"/>
          <c:h val="0.690172333488589"/>
        </c:manualLayout>
      </c:layout>
      <c:scatterChart>
        <c:scatterStyle val="lineMarker"/>
        <c:varyColors val="0"/>
        <c:ser>
          <c:idx val="0"/>
          <c:order val="0"/>
          <c:tx>
            <c:strRef>
              <c:f>'thetav.Size'!$B$3</c:f>
              <c:strCache>
                <c:ptCount val="1"/>
                <c:pt idx="0">
                  <c:v>Theta (Collection Cost Coefficient)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'thetav.Size'!$A$4:$A$33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50</c:v>
                </c:pt>
                <c:pt idx="23">
                  <c:v>60</c:v>
                </c:pt>
                <c:pt idx="24">
                  <c:v>70</c:v>
                </c:pt>
                <c:pt idx="25">
                  <c:v>80</c:v>
                </c:pt>
                <c:pt idx="26">
                  <c:v>90</c:v>
                </c:pt>
                <c:pt idx="27">
                  <c:v>100</c:v>
                </c:pt>
                <c:pt idx="28">
                  <c:v>1000</c:v>
                </c:pt>
                <c:pt idx="29">
                  <c:v>10000</c:v>
                </c:pt>
              </c:numCache>
            </c:numRef>
          </c:xVal>
          <c:yVal>
            <c:numRef>
              <c:f>'thetav.Size'!$B$4:$B$33</c:f>
              <c:numCache>
                <c:formatCode>0.00</c:formatCode>
                <c:ptCount val="30"/>
                <c:pt idx="0">
                  <c:v>20.000008999995</c:v>
                </c:pt>
                <c:pt idx="1">
                  <c:v>17.221581698085</c:v>
                </c:pt>
                <c:pt idx="2">
                  <c:v>16.6893179563916</c:v>
                </c:pt>
                <c:pt idx="3">
                  <c:v>16.6903223311693</c:v>
                </c:pt>
                <c:pt idx="4">
                  <c:v>16.8785874219648</c:v>
                </c:pt>
                <c:pt idx="5">
                  <c:v>17.1392817425727</c:v>
                </c:pt>
                <c:pt idx="6">
                  <c:v>17.4241217207697</c:v>
                </c:pt>
                <c:pt idx="7">
                  <c:v>17.7101098907965</c:v>
                </c:pt>
                <c:pt idx="8">
                  <c:v>17.9854829977699</c:v>
                </c:pt>
                <c:pt idx="9">
                  <c:v>18.2442107544382</c:v>
                </c:pt>
                <c:pt idx="10">
                  <c:v>18.4833360104878</c:v>
                </c:pt>
                <c:pt idx="11">
                  <c:v>18.7017495585695</c:v>
                </c:pt>
                <c:pt idx="12">
                  <c:v>18.8994696029367</c:v>
                </c:pt>
                <c:pt idx="13">
                  <c:v>19.0771271019078</c:v>
                </c:pt>
                <c:pt idx="14">
                  <c:v>19.2357894357343</c:v>
                </c:pt>
                <c:pt idx="15">
                  <c:v>19.3766803990659</c:v>
                </c:pt>
                <c:pt idx="16">
                  <c:v>19.5012484461003</c:v>
                </c:pt>
                <c:pt idx="17">
                  <c:v>19.6109070945541</c:v>
                </c:pt>
                <c:pt idx="18">
                  <c:v>19.7070923659138</c:v>
                </c:pt>
                <c:pt idx="19">
                  <c:v>19.7911158177022</c:v>
                </c:pt>
                <c:pt idx="20">
                  <c:v>19.8643287226121</c:v>
                </c:pt>
                <c:pt idx="21">
                  <c:v>19.9279210234263</c:v>
                </c:pt>
                <c:pt idx="22">
                  <c:v>20.1069527089856</c:v>
                </c:pt>
                <c:pt idx="23">
                  <c:v>20.2205226871732</c:v>
                </c:pt>
                <c:pt idx="24">
                  <c:v>20.2714975026958</c:v>
                </c:pt>
                <c:pt idx="25">
                  <c:v>20.2936353393413</c:v>
                </c:pt>
                <c:pt idx="26">
                  <c:v>20.3030481457817</c:v>
                </c:pt>
                <c:pt idx="27">
                  <c:v>20.3069761434947</c:v>
                </c:pt>
                <c:pt idx="28">
                  <c:v>20.3097102804451</c:v>
                </c:pt>
                <c:pt idx="29">
                  <c:v>20.3096909707408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'thetav.Size'!$C$3</c:f>
              <c:strCache>
                <c:ptCount val="1"/>
                <c:pt idx="0">
                  <c:v>Tau (Toll)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'thetav.Size'!$A$4:$A$33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50</c:v>
                </c:pt>
                <c:pt idx="23">
                  <c:v>60</c:v>
                </c:pt>
                <c:pt idx="24">
                  <c:v>70</c:v>
                </c:pt>
                <c:pt idx="25">
                  <c:v>80</c:v>
                </c:pt>
                <c:pt idx="26">
                  <c:v>90</c:v>
                </c:pt>
                <c:pt idx="27">
                  <c:v>100</c:v>
                </c:pt>
                <c:pt idx="28">
                  <c:v>1000</c:v>
                </c:pt>
                <c:pt idx="29">
                  <c:v>10000</c:v>
                </c:pt>
              </c:numCache>
            </c:numRef>
          </c:xVal>
          <c:yVal>
            <c:numRef>
              <c:f>'thetav.Size'!$C$4:$C$33</c:f>
              <c:numCache>
                <c:formatCode>0.00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</c:numCache>
            </c:numRef>
          </c:yVal>
          <c:smooth val="0"/>
        </c:ser>
        <c:axId val="26429149"/>
        <c:axId val="98761587"/>
      </c:scatterChart>
      <c:valAx>
        <c:axId val="26429149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Jurisdiction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98761587"/>
        <c:crossesAt val="0"/>
        <c:crossBetween val="midCat"/>
      </c:valAx>
      <c:valAx>
        <c:axId val="9876158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Collection Cost Coefficient (Theta), Toll Level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26429149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296991753455418"/>
          <c:y val="0.904238472286912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12960</xdr:colOff>
      <xdr:row>37</xdr:row>
      <xdr:rowOff>14760</xdr:rowOff>
    </xdr:from>
    <xdr:to>
      <xdr:col>28</xdr:col>
      <xdr:colOff>100440</xdr:colOff>
      <xdr:row>58</xdr:row>
      <xdr:rowOff>57240</xdr:rowOff>
    </xdr:to>
    <xdr:graphicFrame>
      <xdr:nvGraphicFramePr>
        <xdr:cNvPr id="1" name="Chart 2"/>
        <xdr:cNvGraphicFramePr/>
      </xdr:nvGraphicFramePr>
      <xdr:xfrm>
        <a:off x="12408120" y="6898680"/>
        <a:ext cx="7554960" cy="3949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24480</xdr:colOff>
      <xdr:row>18</xdr:row>
      <xdr:rowOff>100080</xdr:rowOff>
    </xdr:from>
    <xdr:to>
      <xdr:col>25</xdr:col>
      <xdr:colOff>921600</xdr:colOff>
      <xdr:row>36</xdr:row>
      <xdr:rowOff>14400</xdr:rowOff>
    </xdr:to>
    <xdr:graphicFrame>
      <xdr:nvGraphicFramePr>
        <xdr:cNvPr id="2" name="Chart 3"/>
        <xdr:cNvGraphicFramePr/>
      </xdr:nvGraphicFramePr>
      <xdr:xfrm>
        <a:off x="12419640" y="3449160"/>
        <a:ext cx="5564520" cy="326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12600</xdr:colOff>
      <xdr:row>23</xdr:row>
      <xdr:rowOff>143280</xdr:rowOff>
    </xdr:from>
    <xdr:to>
      <xdr:col>8</xdr:col>
      <xdr:colOff>60840</xdr:colOff>
      <xdr:row>46</xdr:row>
      <xdr:rowOff>14400</xdr:rowOff>
    </xdr:to>
    <xdr:graphicFrame>
      <xdr:nvGraphicFramePr>
        <xdr:cNvPr id="3" name="Chart 1"/>
        <xdr:cNvGraphicFramePr/>
      </xdr:nvGraphicFramePr>
      <xdr:xfrm>
        <a:off x="12600" y="4422600"/>
        <a:ext cx="7094160" cy="4150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12600</xdr:colOff>
      <xdr:row>54</xdr:row>
      <xdr:rowOff>0</xdr:rowOff>
    </xdr:from>
    <xdr:to>
      <xdr:col>10</xdr:col>
      <xdr:colOff>909720</xdr:colOff>
      <xdr:row>74</xdr:row>
      <xdr:rowOff>143280</xdr:rowOff>
    </xdr:to>
    <xdr:graphicFrame>
      <xdr:nvGraphicFramePr>
        <xdr:cNvPr id="4" name="Chart 1"/>
        <xdr:cNvGraphicFramePr/>
      </xdr:nvGraphicFramePr>
      <xdr:xfrm>
        <a:off x="12600" y="10059840"/>
        <a:ext cx="9298080" cy="386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61920</xdr:colOff>
      <xdr:row>34</xdr:row>
      <xdr:rowOff>28440</xdr:rowOff>
    </xdr:from>
    <xdr:to>
      <xdr:col>10</xdr:col>
      <xdr:colOff>859680</xdr:colOff>
      <xdr:row>53</xdr:row>
      <xdr:rowOff>142920</xdr:rowOff>
    </xdr:to>
    <xdr:graphicFrame>
      <xdr:nvGraphicFramePr>
        <xdr:cNvPr id="12" name="Chart 2"/>
        <xdr:cNvGraphicFramePr/>
      </xdr:nvGraphicFramePr>
      <xdr:xfrm>
        <a:off x="61920" y="6366960"/>
        <a:ext cx="9198720" cy="364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0.0789809903596732</cdr:x>
      <cdr:y>0.199720540288775</cdr:y>
    </cdr:from>
    <cdr:to>
      <cdr:x>0.301986139610515</cdr:x>
      <cdr:y>0.393758733115976</cdr:y>
    </cdr:to>
    <cdr:sp>
      <cdr:nvSpPr>
        <cdr:cNvPr id="5" name="Text 1"/>
        <cdr:cNvSpPr/>
      </cdr:nvSpPr>
      <cdr:spPr>
        <a:xfrm>
          <a:off x="734400" y="771840"/>
          <a:ext cx="2073600" cy="74988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lang="en-AU" sz="1200" b="1" u="none" strike="noStrike">
              <a:effectLst/>
              <a:uFillTx/>
              <a:latin typeface="Geneva"/>
            </a:rPr>
            <a:t>Tax Region </a:t>
          </a:r>
          <a:endParaRPr lang="en-AU" sz="1200" b="0" u="none" strike="noStrike">
            <a:effectLst/>
            <a:uFillTx/>
            <a:latin typeface="Times New Roman"/>
          </a:endParaRPr>
        </a:p>
        <a:p>
          <a:r>
            <a:rPr lang="en-AU" sz="1200" b="0" u="none" strike="noStrike">
              <a:effectLst/>
              <a:uFillTx/>
              <a:latin typeface="Times New Roman"/>
            </a:rPr>
            <a:t>(Wc &gt; Wt)</a:t>
          </a:r>
          <a:endParaRPr lang="en-AU" sz="12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0.449262456928259</cdr:x>
      <cdr:y>0.383511877037727</cdr:y>
    </cdr:from>
    <cdr:to>
      <cdr:x>0.672267606179101</cdr:x>
      <cdr:y>0.577456916627853</cdr:y>
    </cdr:to>
    <cdr:sp>
      <cdr:nvSpPr>
        <cdr:cNvPr id="6" name="Text 2"/>
        <cdr:cNvSpPr/>
      </cdr:nvSpPr>
      <cdr:spPr>
        <a:xfrm>
          <a:off x="4177440" y="1482120"/>
          <a:ext cx="2073600" cy="74952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lang="en-AU" sz="1200" b="1" u="none" strike="noStrike">
              <a:effectLst/>
              <a:uFillTx/>
              <a:latin typeface="Geneva"/>
            </a:rPr>
            <a:t>Toll Region (W</a:t>
          </a:r>
          <a:r>
            <a:rPr lang="en-AU" sz="1200" b="1" u="none" strike="noStrike">
              <a:effectLst/>
              <a:uFillTx/>
              <a:latin typeface="Symbol"/>
            </a:rPr>
            <a:t>c</a:t>
          </a:r>
          <a:r>
            <a:rPr lang="en-AU" sz="1200" b="1" u="none" strike="noStrike">
              <a:effectLst/>
              <a:uFillTx/>
              <a:latin typeface="Geneva"/>
            </a:rPr>
            <a:t> &lt; W</a:t>
          </a:r>
          <a:r>
            <a:rPr lang="en-AU" sz="1200" b="1" u="none" strike="noStrike">
              <a:effectLst/>
              <a:uFillTx/>
              <a:latin typeface="Symbol"/>
            </a:rPr>
            <a:t>t</a:t>
          </a:r>
          <a:r>
            <a:rPr lang="en-AU" sz="1200" b="1" u="none" strike="noStrike">
              <a:effectLst/>
              <a:uFillTx/>
              <a:latin typeface="Geneva"/>
            </a:rPr>
            <a:t>)</a:t>
          </a:r>
          <a:endParaRPr lang="en-AU" sz="12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0.00100662046536838</cdr:x>
      <cdr:y>0.941034000931532</cdr:y>
    </cdr:from>
    <cdr:to>
      <cdr:x>0.264508885361416</cdr:x>
      <cdr:y>1.01695388914765</cdr:y>
    </cdr:to>
    <cdr:sp>
      <cdr:nvSpPr>
        <cdr:cNvPr id="7" name="Text 3"/>
        <cdr:cNvSpPr/>
      </cdr:nvSpPr>
      <cdr:spPr>
        <a:xfrm>
          <a:off x="9360" y="3636720"/>
          <a:ext cx="2450160" cy="29340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lang="en-AU" sz="1000" b="0" u="none" strike="noStrike">
              <a:effectLst/>
              <a:uFillTx/>
              <a:latin typeface="Geneva"/>
            </a:rPr>
            <a:t>note: Tolls set to </a:t>
          </a:r>
          <a:r>
            <a:rPr lang="en-AU" sz="1000" b="0" u="none" strike="noStrike">
              <a:effectLst/>
              <a:uFillTx/>
              <a:latin typeface="Symbol"/>
            </a:rPr>
            <a:t>t</a:t>
          </a:r>
          <a:r>
            <a:rPr lang="en-AU" sz="1000" b="0" u="none" strike="noStrike">
              <a:effectLst/>
              <a:uFillTx/>
              <a:latin typeface="Geneva"/>
            </a:rPr>
            <a:t>* for theta (</a:t>
          </a:r>
          <a:r>
            <a:rPr lang="en-AU" sz="1000" b="0" u="none" strike="noStrike">
              <a:effectLst/>
              <a:uFillTx/>
              <a:latin typeface="Symbol"/>
            </a:rPr>
            <a:t>q</a:t>
          </a:r>
          <a:r>
            <a:rPr lang="en-AU" sz="1000" b="0" u="none" strike="noStrike">
              <a:effectLst/>
              <a:uFillTx/>
              <a:latin typeface="Geneva"/>
            </a:rPr>
            <a:t>) = 1</a:t>
          </a:r>
          <a:endParaRPr lang="en-AU"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0.37376592202563</cdr:x>
      <cdr:y>0.31653469958081</cdr:y>
    </cdr:from>
    <cdr:to>
      <cdr:x>0.449262456928259</cdr:x>
      <cdr:y>0.416022356776898</cdr:y>
    </cdr:to>
    <cdr:sp>
      <cdr:nvSpPr>
        <cdr:cNvPr id="8" name="Line 5"/>
        <cdr:cNvSpPr/>
      </cdr:nvSpPr>
      <cdr:spPr>
        <a:xfrm>
          <a:off x="3475440" y="1223280"/>
          <a:ext cx="702000" cy="384480"/>
        </a:xfrm>
        <a:prstGeom prst="line">
          <a:avLst/>
        </a:prstGeom>
        <a:ln w="0">
          <a:solidFill>
            <a:srgbClr val="000000"/>
          </a:solidFill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0.216500832397693</cdr:x>
      <cdr:y>0.246204005589194</cdr:y>
    </cdr:from>
    <cdr:to>
      <cdr:x>0.333733400441364</cdr:x>
      <cdr:y>0.417233348858873</cdr:y>
    </cdr:to>
    <cdr:sp>
      <cdr:nvSpPr>
        <cdr:cNvPr id="9" name="Line 6"/>
        <cdr:cNvSpPr/>
      </cdr:nvSpPr>
      <cdr:spPr>
        <a:xfrm flipH="1" flipV="1">
          <a:off x="2013120" y="951480"/>
          <a:ext cx="1090080" cy="660960"/>
        </a:xfrm>
        <a:prstGeom prst="line">
          <a:avLst/>
        </a:prstGeom>
        <a:ln w="0">
          <a:solidFill>
            <a:srgbClr val="000000"/>
          </a:solidFill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0.0804909210577258</cdr:x>
      <cdr:y>0.408476944573824</cdr:y>
    </cdr:from>
    <cdr:to>
      <cdr:x>0.26148902396531</cdr:x>
      <cdr:y>0.460083837913368</cdr:y>
    </cdr:to>
    <cdr:sp>
      <cdr:nvSpPr>
        <cdr:cNvPr id="10" name="Text 7"/>
        <cdr:cNvSpPr/>
      </cdr:nvSpPr>
      <cdr:spPr>
        <a:xfrm>
          <a:off x="748440" y="1578600"/>
          <a:ext cx="1683000" cy="199440"/>
        </a:xfrm>
        <a:prstGeom prst="rect">
          <a:avLst/>
        </a:prstGeom>
        <a:noFill/>
        <a:ln w="12600">
          <a:noFill/>
        </a:ln>
      </cdr:spPr>
      <cdr:style>
        <a:lnRef idx="0"/>
        <a:fillRef idx="0"/>
        <a:effectRef idx="0"/>
        <a:fontRef idx="minor"/>
      </cdr:style>
      <cdr:txBody>
        <a:bodyPr wrap="none" lIns="20160" tIns="20160" rIns="20160" bIns="20160" anchor="ctr">
          <a:spAutoFit/>
        </a:bodyPr>
        <a:p>
          <a:pPr algn="ctr"/>
          <a:r>
            <a:rPr lang="en-AU" sz="1000" b="0" u="none" strike="noStrike">
              <a:effectLst/>
              <a:uFillTx/>
              <a:latin typeface="Geneva"/>
            </a:rPr>
            <a:t>Collection Cost Coefficient</a:t>
          </a:r>
          <a:endParaRPr lang="en-AU"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0.503503813542917</cdr:x>
      <cdr:y>0.558453656264555</cdr:y>
    </cdr:from>
    <cdr:to>
      <cdr:x>0.540013163498393</cdr:x>
      <cdr:y>0.610060549604099</cdr:y>
    </cdr:to>
    <cdr:sp>
      <cdr:nvSpPr>
        <cdr:cNvPr id="11" name="Text 8"/>
        <cdr:cNvSpPr/>
      </cdr:nvSpPr>
      <cdr:spPr>
        <a:xfrm>
          <a:off x="4681800" y="2158200"/>
          <a:ext cx="339480" cy="199440"/>
        </a:xfrm>
        <a:prstGeom prst="rect">
          <a:avLst/>
        </a:prstGeom>
        <a:noFill/>
        <a:ln w="12600">
          <a:noFill/>
        </a:ln>
      </cdr:spPr>
      <cdr:style>
        <a:lnRef idx="0"/>
        <a:fillRef idx="0"/>
        <a:effectRef idx="0"/>
        <a:fontRef idx="minor"/>
      </cdr:style>
      <cdr:txBody>
        <a:bodyPr wrap="none" lIns="20160" tIns="20160" rIns="20160" bIns="20160" anchor="ctr">
          <a:spAutoFit/>
        </a:bodyPr>
        <a:p>
          <a:pPr algn="ctr"/>
          <a:r>
            <a:rPr lang="en-AU" sz="1000" b="0" u="none" strike="noStrike">
              <a:effectLst/>
              <a:uFillTx/>
              <a:latin typeface="Geneva"/>
            </a:rPr>
            <a:t>Toll</a:t>
          </a:r>
          <a:endParaRPr lang="en-AU" sz="1000" b="0" u="none" strike="noStrike">
            <a:effectLst/>
            <a:uFillTx/>
            <a:latin typeface="Times New Roman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12600</xdr:colOff>
      <xdr:row>35</xdr:row>
      <xdr:rowOff>0</xdr:rowOff>
    </xdr:from>
    <xdr:to>
      <xdr:col>24</xdr:col>
      <xdr:colOff>13680</xdr:colOff>
      <xdr:row>56</xdr:row>
      <xdr:rowOff>186120</xdr:rowOff>
    </xdr:to>
    <xdr:graphicFrame>
      <xdr:nvGraphicFramePr>
        <xdr:cNvPr id="13" name="Chart 2"/>
        <xdr:cNvGraphicFramePr/>
      </xdr:nvGraphicFramePr>
      <xdr:xfrm>
        <a:off x="12942360" y="6524640"/>
        <a:ext cx="9248040" cy="409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37440</xdr:colOff>
      <xdr:row>32</xdr:row>
      <xdr:rowOff>42840</xdr:rowOff>
    </xdr:from>
    <xdr:to>
      <xdr:col>7</xdr:col>
      <xdr:colOff>868680</xdr:colOff>
      <xdr:row>53</xdr:row>
      <xdr:rowOff>85680</xdr:rowOff>
    </xdr:to>
    <xdr:graphicFrame>
      <xdr:nvGraphicFramePr>
        <xdr:cNvPr id="14" name="Chart 3"/>
        <xdr:cNvGraphicFramePr/>
      </xdr:nvGraphicFramePr>
      <xdr:xfrm>
        <a:off x="37440" y="6009480"/>
        <a:ext cx="7310880" cy="3949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0.403023290166921</cdr:x>
      <cdr:y>0.372459673744646</cdr:y>
    </cdr:from>
    <cdr:to>
      <cdr:x>0.451228519375646</cdr:x>
      <cdr:y>0.408730520368176</cdr:y>
    </cdr:to>
    <cdr:sp>
      <cdr:nvSpPr>
        <cdr:cNvPr id="15" name="Line 1"/>
        <cdr:cNvSpPr/>
      </cdr:nvSpPr>
      <cdr:spPr>
        <a:xfrm>
          <a:off x="2946600" y="1471320"/>
          <a:ext cx="352440" cy="143280"/>
        </a:xfrm>
        <a:prstGeom prst="line">
          <a:avLst/>
        </a:prstGeom>
        <a:ln w="0">
          <a:solidFill>
            <a:srgbClr val="000000"/>
          </a:solidFill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0.272736225318824</cdr:x>
      <cdr:y>0.457030894012576</cdr:y>
    </cdr:from>
    <cdr:to>
      <cdr:x>0.316756117977251</cdr:x>
      <cdr:y>0.535222819648228</cdr:y>
    </cdr:to>
    <cdr:sp>
      <cdr:nvSpPr>
        <cdr:cNvPr id="16" name="Line 2"/>
        <cdr:cNvSpPr/>
      </cdr:nvSpPr>
      <cdr:spPr>
        <a:xfrm flipH="1" flipV="1">
          <a:off x="1994040" y="1805400"/>
          <a:ext cx="321840" cy="308880"/>
        </a:xfrm>
        <a:prstGeom prst="line">
          <a:avLst/>
        </a:prstGeom>
        <a:ln w="0">
          <a:solidFill>
            <a:srgbClr val="000000"/>
          </a:solidFill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0.459008321433847</cdr:x>
      <cdr:y>0.384489200765515</cdr:y>
    </cdr:from>
    <cdr:to>
      <cdr:x>0.653257176621202</cdr:x>
      <cdr:y>0.488471703271667</cdr:y>
    </cdr:to>
    <cdr:sp>
      <cdr:nvSpPr>
        <cdr:cNvPr id="17" name="Text 3"/>
        <cdr:cNvSpPr/>
      </cdr:nvSpPr>
      <cdr:spPr>
        <a:xfrm>
          <a:off x="3355920" y="1518840"/>
          <a:ext cx="1420200" cy="4107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lang="en-AU" sz="1000" b="0" u="none" strike="noStrike">
              <a:effectLst/>
              <a:uFillTx/>
              <a:latin typeface="Geneva"/>
            </a:rPr>
            <a:t>Toll Region (W</a:t>
          </a:r>
          <a:r>
            <a:rPr lang="en-AU" sz="1000" b="0" u="none" strike="noStrike">
              <a:effectLst/>
              <a:uFillTx/>
              <a:latin typeface="Symbol"/>
            </a:rPr>
            <a:t>c</a:t>
          </a:r>
          <a:r>
            <a:rPr lang="en-AU" sz="1000" b="0" u="none" strike="noStrike">
              <a:effectLst/>
              <a:uFillTx/>
              <a:latin typeface="Geneva"/>
            </a:rPr>
            <a:t> &gt; W</a:t>
          </a:r>
          <a:r>
            <a:rPr lang="en-AU" sz="1000" b="0" u="none" strike="noStrike">
              <a:effectLst/>
              <a:uFillTx/>
              <a:latin typeface="Symbol"/>
            </a:rPr>
            <a:t>t</a:t>
          </a:r>
          <a:r>
            <a:rPr lang="en-AU" sz="1000" b="0" u="none" strike="noStrike">
              <a:effectLst/>
              <a:uFillTx/>
              <a:latin typeface="Geneva"/>
            </a:rPr>
            <a:t>)</a:t>
          </a:r>
          <a:endParaRPr lang="en-AU" sz="1000" b="0" u="none" strike="noStrike">
            <a:effectLst/>
            <a:uFillTx/>
            <a:latin typeface="Times New Roman"/>
          </a:endParaRPr>
        </a:p>
        <a:p>
          <a:r>
            <a:rPr lang="en-AU" sz="1200" b="0" u="none" strike="noStrike">
              <a:effectLst/>
              <a:uFillTx/>
              <a:latin typeface="Times New Roman"/>
            </a:rPr>
            <a:t>phi=1.1</a:t>
          </a:r>
          <a:endParaRPr lang="en-AU" sz="12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0.122753459057561</cdr:x>
      <cdr:y>0.734712476077645</cdr:y>
    </cdr:from>
    <cdr:to>
      <cdr:x>0.317002314244916</cdr:x>
      <cdr:y>0.85746833135879</cdr:y>
    </cdr:to>
    <cdr:sp>
      <cdr:nvSpPr>
        <cdr:cNvPr id="18" name="Text 4"/>
        <cdr:cNvSpPr/>
      </cdr:nvSpPr>
      <cdr:spPr>
        <a:xfrm>
          <a:off x="897480" y="2902320"/>
          <a:ext cx="1420200" cy="48492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lang="en-AU" sz="1000" b="0" u="none" strike="noStrike">
              <a:effectLst/>
              <a:uFillTx/>
              <a:latin typeface="Geneva"/>
            </a:rPr>
            <a:t>Toll Region (W</a:t>
          </a:r>
          <a:r>
            <a:rPr lang="en-AU" sz="1000" b="0" u="none" strike="noStrike">
              <a:effectLst/>
              <a:uFillTx/>
              <a:latin typeface="Symbol"/>
            </a:rPr>
            <a:t>c</a:t>
          </a:r>
          <a:r>
            <a:rPr lang="en-AU" sz="1000" b="0" u="none" strike="noStrike">
              <a:effectLst/>
              <a:uFillTx/>
              <a:latin typeface="Geneva"/>
            </a:rPr>
            <a:t> &gt; W</a:t>
          </a:r>
          <a:r>
            <a:rPr lang="en-AU" sz="1000" b="0" u="none" strike="noStrike">
              <a:effectLst/>
              <a:uFillTx/>
              <a:latin typeface="Symbol"/>
            </a:rPr>
            <a:t>t</a:t>
          </a:r>
          <a:r>
            <a:rPr lang="en-AU" sz="1000" b="0" u="none" strike="noStrike">
              <a:effectLst/>
              <a:uFillTx/>
              <a:latin typeface="Geneva"/>
            </a:rPr>
            <a:t>)</a:t>
          </a:r>
          <a:endParaRPr lang="en-AU" sz="1000" b="0" u="none" strike="noStrike">
            <a:effectLst/>
            <a:uFillTx/>
            <a:latin typeface="Times New Roman"/>
          </a:endParaRPr>
        </a:p>
        <a:p>
          <a:r>
            <a:rPr lang="en-AU" sz="1200" b="0" u="none" strike="noStrike">
              <a:effectLst/>
              <a:uFillTx/>
              <a:latin typeface="Times New Roman"/>
            </a:rPr>
            <a:t>phi=0.1</a:t>
          </a:r>
          <a:endParaRPr lang="en-AU" sz="12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0.692993254222266</cdr:x>
      <cdr:y>0.627540326255354</cdr:y>
    </cdr:from>
    <cdr:to>
      <cdr:x>0.910729233344823</cdr:x>
      <cdr:y>0.727786384762599</cdr:y>
    </cdr:to>
    <cdr:sp>
      <cdr:nvSpPr>
        <cdr:cNvPr id="19" name="Text 6"/>
        <cdr:cNvSpPr/>
      </cdr:nvSpPr>
      <cdr:spPr>
        <a:xfrm>
          <a:off x="5066640" y="2478960"/>
          <a:ext cx="1591920" cy="39600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lang="en-AU" sz="1000" b="0" u="none" strike="noStrike">
              <a:effectLst/>
              <a:uFillTx/>
              <a:latin typeface="Geneva"/>
            </a:rPr>
            <a:t>Tax Region (W</a:t>
          </a:r>
          <a:r>
            <a:rPr lang="en-AU" sz="1000" b="0" u="none" strike="noStrike">
              <a:effectLst/>
              <a:uFillTx/>
              <a:latin typeface="Symbol"/>
            </a:rPr>
            <a:t>t</a:t>
          </a:r>
          <a:r>
            <a:rPr lang="en-AU" sz="1000" b="0" u="none" strike="noStrike">
              <a:effectLst/>
              <a:uFillTx/>
              <a:latin typeface="Geneva"/>
            </a:rPr>
            <a:t>&gt; </a:t>
          </a:r>
          <a:r>
            <a:rPr lang="en-AU" sz="1000" b="0" u="none" strike="noStrike">
              <a:effectLst/>
              <a:uFillTx/>
              <a:latin typeface="Symbol"/>
            </a:rPr>
            <a:t> </a:t>
          </a:r>
          <a:r>
            <a:rPr lang="en-AU" sz="1000" b="0" u="none" strike="noStrike">
              <a:effectLst/>
              <a:uFillTx/>
              <a:latin typeface="Geneva"/>
            </a:rPr>
            <a:t>W</a:t>
          </a:r>
          <a:r>
            <a:rPr lang="en-AU" sz="1000" b="0" u="none" strike="noStrike">
              <a:effectLst/>
              <a:uFillTx/>
              <a:latin typeface="Symbol"/>
            </a:rPr>
            <a:t>c </a:t>
          </a:r>
          <a:r>
            <a:rPr lang="en-AU" sz="1000" b="0" u="none" strike="noStrike">
              <a:effectLst/>
              <a:uFillTx/>
              <a:latin typeface="Geneva"/>
            </a:rPr>
            <a:t>)</a:t>
          </a:r>
          <a:endParaRPr lang="en-AU" sz="1000" b="0" u="none" strike="noStrike">
            <a:effectLst/>
            <a:uFillTx/>
            <a:latin typeface="Times New Roman"/>
          </a:endParaRPr>
        </a:p>
        <a:p>
          <a:r>
            <a:rPr lang="en-AU" sz="1200" b="0" u="none" strike="noStrike">
              <a:effectLst/>
              <a:uFillTx/>
              <a:latin typeface="Times New Roman"/>
            </a:rPr>
            <a:t>phi=0.1</a:t>
          </a:r>
          <a:endParaRPr lang="en-AU" sz="12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0.125264660987739</cdr:x>
      <cdr:y>0.393511346031167</cdr:y>
    </cdr:from>
    <cdr:to>
      <cdr:x>0.343000640110296</cdr:x>
      <cdr:y>0.501230292536225</cdr:y>
    </cdr:to>
    <cdr:sp>
      <cdr:nvSpPr>
        <cdr:cNvPr id="20" name="Text 7"/>
        <cdr:cNvSpPr/>
      </cdr:nvSpPr>
      <cdr:spPr>
        <a:xfrm>
          <a:off x="915840" y="1554480"/>
          <a:ext cx="1591920" cy="42552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lang="en-AU" sz="1000" b="0" u="none" strike="noStrike">
              <a:effectLst/>
              <a:uFillTx/>
              <a:latin typeface="Geneva"/>
            </a:rPr>
            <a:t>Tax Region (W</a:t>
          </a:r>
          <a:r>
            <a:rPr lang="en-AU" sz="1000" b="0" u="none" strike="noStrike">
              <a:effectLst/>
              <a:uFillTx/>
              <a:latin typeface="Symbol"/>
            </a:rPr>
            <a:t>t</a:t>
          </a:r>
          <a:r>
            <a:rPr lang="en-AU" sz="1000" b="0" u="none" strike="noStrike">
              <a:effectLst/>
              <a:uFillTx/>
              <a:latin typeface="Geneva"/>
            </a:rPr>
            <a:t>&gt; </a:t>
          </a:r>
          <a:r>
            <a:rPr lang="en-AU" sz="1000" b="0" u="none" strike="noStrike">
              <a:effectLst/>
              <a:uFillTx/>
              <a:latin typeface="Symbol"/>
            </a:rPr>
            <a:t> </a:t>
          </a:r>
          <a:r>
            <a:rPr lang="en-AU" sz="1000" b="0" u="none" strike="noStrike">
              <a:effectLst/>
              <a:uFillTx/>
              <a:latin typeface="Geneva"/>
            </a:rPr>
            <a:t>W</a:t>
          </a:r>
          <a:r>
            <a:rPr lang="en-AU" sz="1000" b="0" u="none" strike="noStrike">
              <a:effectLst/>
              <a:uFillTx/>
              <a:latin typeface="Symbol"/>
            </a:rPr>
            <a:t>c </a:t>
          </a:r>
          <a:r>
            <a:rPr lang="en-AU" sz="1000" b="0" u="none" strike="noStrike">
              <a:effectLst/>
              <a:uFillTx/>
              <a:latin typeface="Geneva"/>
            </a:rPr>
            <a:t>), phi = 1.1</a:t>
          </a:r>
          <a:endParaRPr lang="en-AU"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0.620020680486484</cdr:x>
      <cdr:y>0.661715118928279</cdr:y>
    </cdr:from>
    <cdr:to>
      <cdr:x>0.686739869023586</cdr:x>
      <cdr:y>0.761961177435524</cdr:y>
    </cdr:to>
    <cdr:sp>
      <cdr:nvSpPr>
        <cdr:cNvPr id="21" name="Line 8"/>
        <cdr:cNvSpPr/>
      </cdr:nvSpPr>
      <cdr:spPr>
        <a:xfrm flipV="1">
          <a:off x="4533120" y="2613960"/>
          <a:ext cx="487800" cy="396000"/>
        </a:xfrm>
        <a:prstGeom prst="line">
          <a:avLst/>
        </a:prstGeom>
        <a:ln w="0">
          <a:solidFill>
            <a:srgbClr val="000000"/>
          </a:solidFill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0.284504406913191</cdr:x>
      <cdr:y>0.761505513533218</cdr:y>
    </cdr:from>
    <cdr:to>
      <cdr:x>0.387512925304052</cdr:x>
      <cdr:y>0.810261551079924</cdr:y>
    </cdr:to>
    <cdr:sp>
      <cdr:nvSpPr>
        <cdr:cNvPr id="22" name="Line 9"/>
        <cdr:cNvSpPr/>
      </cdr:nvSpPr>
      <cdr:spPr>
        <a:xfrm flipH="1">
          <a:off x="2080080" y="3008160"/>
          <a:ext cx="753120" cy="192600"/>
        </a:xfrm>
        <a:prstGeom prst="line">
          <a:avLst/>
        </a:prstGeom>
        <a:ln w="0">
          <a:solidFill>
            <a:srgbClr val="000000"/>
          </a:solidFill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12600</xdr:colOff>
      <xdr:row>54</xdr:row>
      <xdr:rowOff>0</xdr:rowOff>
    </xdr:from>
    <xdr:to>
      <xdr:col>9</xdr:col>
      <xdr:colOff>909720</xdr:colOff>
      <xdr:row>74</xdr:row>
      <xdr:rowOff>143280</xdr:rowOff>
    </xdr:to>
    <xdr:graphicFrame>
      <xdr:nvGraphicFramePr>
        <xdr:cNvPr id="23" name="Chart 1"/>
        <xdr:cNvGraphicFramePr/>
      </xdr:nvGraphicFramePr>
      <xdr:xfrm>
        <a:off x="12600" y="10059840"/>
        <a:ext cx="9298080" cy="386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0.0867629408804058</cdr:x>
      <cdr:y>0.199720540288775</cdr:y>
    </cdr:from>
    <cdr:to>
      <cdr:x>0.309768090131248</cdr:x>
      <cdr:y>0.393758733115976</cdr:y>
    </cdr:to>
    <cdr:sp>
      <cdr:nvSpPr>
        <cdr:cNvPr id="24" name="Text 1"/>
        <cdr:cNvSpPr/>
      </cdr:nvSpPr>
      <cdr:spPr>
        <a:xfrm>
          <a:off x="806760" y="771840"/>
          <a:ext cx="2073600" cy="74988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lang="en-AU" sz="1200" b="1" u="none" strike="noStrike">
              <a:effectLst/>
              <a:uFillTx/>
              <a:latin typeface="Geneva"/>
            </a:rPr>
            <a:t>Tax Region </a:t>
          </a:r>
          <a:endParaRPr lang="en-AU" sz="1200" b="0" u="none" strike="noStrike">
            <a:effectLst/>
            <a:uFillTx/>
            <a:latin typeface="Times New Roman"/>
          </a:endParaRPr>
        </a:p>
        <a:p>
          <a:r>
            <a:rPr lang="en-AU" sz="1200" b="0" u="none" strike="noStrike">
              <a:effectLst/>
              <a:uFillTx/>
              <a:latin typeface="Times New Roman"/>
            </a:rPr>
            <a:t>(Wc &gt; Wt)</a:t>
          </a:r>
          <a:endParaRPr lang="en-AU" sz="12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0.453482519648457</cdr:x>
      <cdr:y>0.383511877037727</cdr:y>
    </cdr:from>
    <cdr:to>
      <cdr:x>0.676487668899299</cdr:x>
      <cdr:y>0.577456916627853</cdr:y>
    </cdr:to>
    <cdr:sp>
      <cdr:nvSpPr>
        <cdr:cNvPr id="25" name="Text 2"/>
        <cdr:cNvSpPr/>
      </cdr:nvSpPr>
      <cdr:spPr>
        <a:xfrm>
          <a:off x="4216680" y="1482120"/>
          <a:ext cx="2073600" cy="74952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lang="en-AU" sz="1200" b="1" u="none" strike="noStrike">
              <a:effectLst/>
              <a:uFillTx/>
              <a:latin typeface="Geneva"/>
            </a:rPr>
            <a:t>Toll Region (W</a:t>
          </a:r>
          <a:r>
            <a:rPr lang="en-AU" sz="1200" b="1" u="none" strike="noStrike">
              <a:effectLst/>
              <a:uFillTx/>
              <a:latin typeface="Symbol"/>
            </a:rPr>
            <a:t>c</a:t>
          </a:r>
          <a:r>
            <a:rPr lang="en-AU" sz="1200" b="1" u="none" strike="noStrike">
              <a:effectLst/>
              <a:uFillTx/>
              <a:latin typeface="Geneva"/>
            </a:rPr>
            <a:t> &lt; W</a:t>
          </a:r>
          <a:r>
            <a:rPr lang="en-AU" sz="1200" b="1" u="none" strike="noStrike">
              <a:effectLst/>
              <a:uFillTx/>
              <a:latin typeface="Symbol"/>
            </a:rPr>
            <a:t>t</a:t>
          </a:r>
          <a:r>
            <a:rPr lang="en-AU" sz="1200" b="1" u="none" strike="noStrike">
              <a:effectLst/>
              <a:uFillTx/>
              <a:latin typeface="Geneva"/>
            </a:rPr>
            <a:t>)</a:t>
          </a:r>
          <a:endParaRPr lang="en-AU" sz="12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0.00100662046536838</cdr:x>
      <cdr:y>0.941034000931532</cdr:y>
    </cdr:from>
    <cdr:to>
      <cdr:x>0.264508885361416</cdr:x>
      <cdr:y>1.01695388914765</cdr:y>
    </cdr:to>
    <cdr:sp>
      <cdr:nvSpPr>
        <cdr:cNvPr id="26" name="Text 3"/>
        <cdr:cNvSpPr/>
      </cdr:nvSpPr>
      <cdr:spPr>
        <a:xfrm>
          <a:off x="9360" y="3636720"/>
          <a:ext cx="2450160" cy="29340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tIns="20160" rIns="20160" bIns="20160" anchor="t">
          <a:noAutofit/>
        </a:bodyPr>
        <a:p>
          <a:r>
            <a:rPr lang="en-AU" sz="1000" b="0" u="none" strike="noStrike">
              <a:effectLst/>
              <a:uFillTx/>
              <a:latin typeface="Geneva"/>
            </a:rPr>
            <a:t>note:  </a:t>
          </a:r>
          <a:r>
            <a:rPr lang="en-AU" sz="1000" b="0" u="none" strike="noStrike">
              <a:effectLst/>
              <a:uFillTx/>
              <a:latin typeface="Symbol"/>
            </a:rPr>
            <a:t>t</a:t>
          </a:r>
          <a:r>
            <a:rPr lang="en-AU" sz="1000" b="0" u="none" strike="noStrike">
              <a:effectLst/>
              <a:uFillTx/>
              <a:latin typeface="Geneva"/>
            </a:rPr>
            <a:t>=10</a:t>
          </a:r>
          <a:endParaRPr lang="en-AU"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0.378760308180727</cdr:x>
      <cdr:y>0.31653469958081</cdr:y>
    </cdr:from>
    <cdr:to>
      <cdr:x>0.453482519648457</cdr:x>
      <cdr:y>0.416022356776898</cdr:y>
    </cdr:to>
    <cdr:sp>
      <cdr:nvSpPr>
        <cdr:cNvPr id="27" name="Line 5"/>
        <cdr:cNvSpPr/>
      </cdr:nvSpPr>
      <cdr:spPr>
        <a:xfrm>
          <a:off x="3521880" y="1223280"/>
          <a:ext cx="694800" cy="384480"/>
        </a:xfrm>
        <a:prstGeom prst="line">
          <a:avLst/>
        </a:prstGeom>
        <a:ln w="0">
          <a:solidFill>
            <a:srgbClr val="000000"/>
          </a:solidFill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0.223005149250842</cdr:x>
      <cdr:y>0.246204005589194</cdr:y>
    </cdr:from>
    <cdr:to>
      <cdr:x>0.304734987804406</cdr:x>
      <cdr:y>0.356776897997205</cdr:y>
    </cdr:to>
    <cdr:sp>
      <cdr:nvSpPr>
        <cdr:cNvPr id="28" name="Line 6"/>
        <cdr:cNvSpPr/>
      </cdr:nvSpPr>
      <cdr:spPr>
        <a:xfrm flipH="1" flipV="1">
          <a:off x="2073600" y="951480"/>
          <a:ext cx="759960" cy="427320"/>
        </a:xfrm>
        <a:prstGeom prst="line">
          <a:avLst/>
        </a:prstGeom>
        <a:ln w="0">
          <a:solidFill>
            <a:srgbClr val="000000"/>
          </a:solidFill>
          <a:tailEnd len="med" type="triangle" w="med"/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0.0885051686089279</cdr:x>
      <cdr:y>0.408476944573824</cdr:y>
    </cdr:from>
    <cdr:to>
      <cdr:x>0.269503271516512</cdr:x>
      <cdr:y>0.460083837913368</cdr:y>
    </cdr:to>
    <cdr:sp>
      <cdr:nvSpPr>
        <cdr:cNvPr id="29" name="Text 7"/>
        <cdr:cNvSpPr/>
      </cdr:nvSpPr>
      <cdr:spPr>
        <a:xfrm>
          <a:off x="822960" y="1578600"/>
          <a:ext cx="1683000" cy="199440"/>
        </a:xfrm>
        <a:prstGeom prst="rect">
          <a:avLst/>
        </a:prstGeom>
        <a:noFill/>
        <a:ln w="12600">
          <a:noFill/>
        </a:ln>
      </cdr:spPr>
      <cdr:style>
        <a:lnRef idx="0"/>
        <a:fillRef idx="0"/>
        <a:effectRef idx="0"/>
        <a:fontRef idx="minor"/>
      </cdr:style>
      <cdr:txBody>
        <a:bodyPr wrap="none" lIns="20160" tIns="20160" rIns="20160" bIns="20160" anchor="ctr">
          <a:spAutoFit/>
        </a:bodyPr>
        <a:p>
          <a:pPr algn="ctr"/>
          <a:r>
            <a:rPr lang="en-AU" sz="1000" b="0" u="none" strike="noStrike">
              <a:effectLst/>
              <a:uFillTx/>
              <a:latin typeface="Geneva"/>
            </a:rPr>
            <a:t>Collection Cost Coefficient</a:t>
          </a:r>
          <a:endParaRPr lang="en-AU" sz="1000" b="0" u="none" strike="noStrike">
            <a:effectLst/>
            <a:uFillTx/>
            <a:latin typeface="Times New Roman"/>
          </a:endParaRPr>
        </a:p>
      </cdr:txBody>
    </cdr:sp>
  </cdr:relSizeAnchor>
  <cdr:relSizeAnchor>
    <cdr:from>
      <cdr:x>0.507259282202176</cdr:x>
      <cdr:y>0.558453656264555</cdr:y>
    </cdr:from>
    <cdr:to>
      <cdr:x>0.543768632157652</cdr:x>
      <cdr:y>0.610060549604099</cdr:y>
    </cdr:to>
    <cdr:sp>
      <cdr:nvSpPr>
        <cdr:cNvPr id="30" name="Text 8"/>
        <cdr:cNvSpPr/>
      </cdr:nvSpPr>
      <cdr:spPr>
        <a:xfrm>
          <a:off x="4716720" y="2158200"/>
          <a:ext cx="339480" cy="199440"/>
        </a:xfrm>
        <a:prstGeom prst="rect">
          <a:avLst/>
        </a:prstGeom>
        <a:noFill/>
        <a:ln w="12600">
          <a:noFill/>
        </a:ln>
      </cdr:spPr>
      <cdr:style>
        <a:lnRef idx="0"/>
        <a:fillRef idx="0"/>
        <a:effectRef idx="0"/>
        <a:fontRef idx="minor"/>
      </cdr:style>
      <cdr:txBody>
        <a:bodyPr wrap="none" lIns="20160" tIns="20160" rIns="20160" bIns="20160" anchor="ctr">
          <a:spAutoFit/>
        </a:bodyPr>
        <a:p>
          <a:pPr algn="ctr"/>
          <a:r>
            <a:rPr lang="en-AU" sz="1000" b="0" u="none" strike="noStrike">
              <a:effectLst/>
              <a:uFillTx/>
              <a:latin typeface="Geneva"/>
            </a:rPr>
            <a:t>Toll</a:t>
          </a:r>
          <a:endParaRPr lang="en-AU" sz="1000" b="0" u="none" strike="noStrike">
            <a:effectLst/>
            <a:uFillTx/>
            <a:latin typeface="Times New Roman"/>
          </a:endParaRPr>
        </a:p>
      </cdr:txBody>
    </cdr:sp>
  </cdr:relSizeAnchor>
</c:userShape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T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4.65" customHeight="false" zeroHeight="false" outlineLevelRow="0" outlineLevelCol="0"/>
  <cols>
    <col collapsed="false" customWidth="true" hidden="false" outlineLevel="0" max="2" min="1" style="0" width="6.85"/>
    <col collapsed="false" customWidth="true" hidden="false" outlineLevel="0" max="4" min="3" style="0" width="7.42"/>
    <col collapsed="false" customWidth="true" hidden="false" outlineLevel="0" max="5" min="5" style="0" width="7.28"/>
    <col collapsed="false" customWidth="true" hidden="false" outlineLevel="0" max="6" min="6" style="0" width="6.56"/>
    <col collapsed="false" customWidth="true" hidden="false" outlineLevel="0" max="7" min="7" style="0" width="7.28"/>
    <col collapsed="false" customWidth="true" hidden="false" outlineLevel="0" max="8" min="8" style="0" width="7.42"/>
    <col collapsed="false" customWidth="true" hidden="false" outlineLevel="0" max="9" min="9" style="0" width="7.56"/>
    <col collapsed="false" customWidth="true" hidden="false" outlineLevel="0" max="14" min="10" style="0" width="6.99"/>
    <col collapsed="false" customWidth="true" hidden="false" outlineLevel="0" max="15" min="15" style="0" width="8.28"/>
    <col collapsed="false" customWidth="true" hidden="false" outlineLevel="0" max="16" min="16" style="0" width="7.71"/>
    <col collapsed="false" customWidth="true" hidden="false" outlineLevel="0" max="17" min="17" style="0" width="6.56"/>
    <col collapsed="false" customWidth="true" hidden="false" outlineLevel="0" max="18" min="18" style="0" width="6.42"/>
    <col collapsed="false" customWidth="true" hidden="false" outlineLevel="0" max="19" min="19" style="0" width="7.14"/>
  </cols>
  <sheetData>
    <row r="2" customFormat="false" ht="14.65" hidden="false" customHeight="false" outlineLevel="0" collapsed="false">
      <c r="C2" s="0" t="s">
        <v>0</v>
      </c>
      <c r="E2" s="0" t="s">
        <v>1</v>
      </c>
    </row>
    <row r="3" customFormat="false" ht="14.65" hidden="false" customHeight="false" outlineLevel="0" collapsed="false">
      <c r="C3" s="0" t="s">
        <v>2</v>
      </c>
      <c r="E3" s="0" t="n">
        <v>1</v>
      </c>
    </row>
    <row r="4" customFormat="false" ht="14.65" hidden="false" customHeight="false" outlineLevel="0" collapsed="false">
      <c r="C4" s="0" t="s">
        <v>3</v>
      </c>
      <c r="E4" s="0" t="n">
        <v>-0.1</v>
      </c>
    </row>
    <row r="5" customFormat="false" ht="14.65" hidden="false" customHeight="false" outlineLevel="0" collapsed="false">
      <c r="C5" s="0" t="s">
        <v>4</v>
      </c>
      <c r="E5" s="0" t="n">
        <v>0.5</v>
      </c>
    </row>
    <row r="6" customFormat="false" ht="14.65" hidden="false" customHeight="false" outlineLevel="0" collapsed="false">
      <c r="C6" s="0" t="s">
        <v>5</v>
      </c>
      <c r="E6" s="0" t="n">
        <v>1</v>
      </c>
    </row>
    <row r="9" customFormat="false" ht="14.65" hidden="false" customHeight="false" outlineLevel="0" collapsed="false">
      <c r="C9" s="0" t="s">
        <v>6</v>
      </c>
      <c r="E9" s="0" t="n">
        <v>5</v>
      </c>
    </row>
    <row r="10" customFormat="false" ht="14.65" hidden="false" customHeight="false" outlineLevel="0" collapsed="false">
      <c r="C10" s="0" t="s">
        <v>7</v>
      </c>
      <c r="E10" s="0" t="n">
        <v>0.1</v>
      </c>
    </row>
    <row r="11" customFormat="false" ht="14.65" hidden="false" customHeight="false" outlineLevel="0" collapsed="false">
      <c r="C11" s="0" t="s">
        <v>8</v>
      </c>
      <c r="E11" s="0" t="n">
        <v>1</v>
      </c>
    </row>
    <row r="15" customFormat="false" ht="14.65" hidden="false" customHeight="false" outlineLevel="0" collapsed="false">
      <c r="A15" s="0" t="s">
        <v>9</v>
      </c>
      <c r="B15" s="0" t="s">
        <v>10</v>
      </c>
      <c r="C15" s="0" t="s">
        <v>11</v>
      </c>
      <c r="D15" s="0" t="s">
        <v>12</v>
      </c>
      <c r="E15" s="0" t="s">
        <v>13</v>
      </c>
      <c r="F15" s="0" t="s">
        <v>14</v>
      </c>
      <c r="G15" s="0" t="s">
        <v>15</v>
      </c>
      <c r="H15" s="0" t="s">
        <v>16</v>
      </c>
      <c r="I15" s="0" t="s">
        <v>17</v>
      </c>
      <c r="J15" s="0" t="s">
        <v>18</v>
      </c>
      <c r="K15" s="0" t="s">
        <v>19</v>
      </c>
      <c r="L15" s="0" t="s">
        <v>20</v>
      </c>
      <c r="N15" s="0" t="s">
        <v>9</v>
      </c>
      <c r="O15" s="0" t="s">
        <v>21</v>
      </c>
      <c r="P15" s="0" t="s">
        <v>22</v>
      </c>
      <c r="Q15" s="0" t="s">
        <v>23</v>
      </c>
      <c r="R15" s="0" t="s">
        <v>24</v>
      </c>
      <c r="T15" s="0" t="s">
        <v>25</v>
      </c>
    </row>
    <row r="16" customFormat="false" ht="14.65" hidden="false" customHeight="false" outlineLevel="0" collapsed="false">
      <c r="A16" s="0" t="n">
        <v>0</v>
      </c>
      <c r="B16" s="0" t="n">
        <v>10</v>
      </c>
      <c r="C16" s="1" t="n">
        <f aca="false">beta*(1/(alpha*psi))*(1/alpha)*((-1/alpha*psi)*(EXP(alpha*(zeta+psi*tax!Size))-EXP(alpha*zeta))+(tax!Size*EXP(alpha*zeta)))</f>
        <v>0</v>
      </c>
      <c r="D16" s="1" t="n">
        <f aca="false">beta*(-1/(alpha*psi)^2)*(1/alpha)*(EXP(alpha*(tax!Tau+zeta))-EXP(alpha*(tax!Tau+zeta+psi*tax!Size)))</f>
        <v>0</v>
      </c>
      <c r="E16" s="1" t="n">
        <f aca="false">tau*beta*EXP(alpha*(tau+zeta))*(0-(1/(alpha*psi)^2))*(-1+EXP(alpha*psi*size))</f>
        <v>-0</v>
      </c>
      <c r="F16" s="1" t="n">
        <f aca="false">2*tau*beta*EXP(alpha*(2*tau+zeta))*(1/(alpha*psi)^2)*(EXP(alpha*psi*size))</f>
        <v>257.469807175608</v>
      </c>
      <c r="G16" s="1" t="n">
        <f aca="false">gamma*size</f>
        <v>0</v>
      </c>
      <c r="H16" s="1" t="n">
        <f aca="false">phi*beta*EXP(alpha*(zeta))*(0-1/(alpha*psi)^2)*((2/(alpha*psi))*(EXP(alpha*psi*size)-1)-(size*(EXP(alpha*psi*size)+1)))</f>
        <v>0</v>
      </c>
      <c r="I16" s="1" t="n">
        <f aca="false">(phi*beta*EXP(alpha*(tau+zeta)))*(0-1/(alpha*psi)^2)*((1/(alpha*psi))*(1-EXP(alpha*psi*size))+size*EXP(alpha*psi*size))</f>
        <v>-0</v>
      </c>
      <c r="J16" s="1" t="n">
        <f aca="false">(phi*beta*EXP(alpha*(2*tau+zeta)))*(1/(alpha*psi)^2)*(size*EXP(alpha*psi*size))</f>
        <v>0</v>
      </c>
      <c r="K16" s="1" t="n">
        <f aca="false">theta*beta*(-1/(alpha*psi)^2)*EXP(alpha*(tax!Tau+zeta))*(EXP(alpha*psi*tax!Size)-1)</f>
        <v>-0</v>
      </c>
      <c r="L16" s="1" t="n">
        <f aca="false">theta*beta*(1/(alpha*psi)^2)*EXP(alpha*(2*tax!Tau+zeta+psi*tax!Size))</f>
        <v>12.8734903587804</v>
      </c>
      <c r="M16" s="1"/>
      <c r="N16" s="0" t="n">
        <f aca="false">A16</f>
        <v>0</v>
      </c>
      <c r="O16" s="1" t="n">
        <f aca="false">P16+Q16-R16</f>
        <v>244.596316816828</v>
      </c>
      <c r="P16" s="1" t="n">
        <f aca="false">C16+D16</f>
        <v>0</v>
      </c>
      <c r="Q16" s="0" t="n">
        <f aca="false">2*E16+F16</f>
        <v>257.469807175608</v>
      </c>
      <c r="R16" s="0" t="n">
        <f aca="false">G16+H16+2*I16+J16+2*K16+L16</f>
        <v>12.8734903587804</v>
      </c>
      <c r="T16" s="0" t="e">
        <f aca="false">O16/N16</f>
        <v>#DIV/0!</v>
      </c>
    </row>
    <row r="17" customFormat="false" ht="14.65" hidden="false" customHeight="false" outlineLevel="0" collapsed="false">
      <c r="A17" s="0" t="n">
        <f aca="false">A16+2</f>
        <v>2</v>
      </c>
      <c r="B17" s="0" t="n">
        <v>10</v>
      </c>
      <c r="C17" s="1" t="n">
        <f aca="false">beta*(1/(alpha*psi))*(1/alpha)*((-1/alpha*psi)*(EXP(alpha*(zeta+psi*tax!Size))-EXP(alpha*zeta))+(tax!Size*EXP(alpha*zeta)))</f>
        <v>17.8172434708337</v>
      </c>
      <c r="D17" s="1" t="n">
        <f aca="false">beta*(-1/(alpha*psi)^2)*(1/alpha)*(EXP(alpha*(tax!Tau+zeta))-EXP(alpha*(tax!Tau+zeta+psi*tax!Size)))</f>
        <v>63.4329522509652</v>
      </c>
      <c r="E17" s="1" t="n">
        <f aca="false">tau*beta*EXP(alpha*(tau+zeta))*(0-(1/(alpha*psi)^2))*(-1+EXP(alpha*psi*size))</f>
        <v>63.4329522509653</v>
      </c>
      <c r="F17" s="1" t="n">
        <f aca="false">2*tau*beta*EXP(alpha*(2*tau+zeta))*(1/(alpha*psi)^2)*(EXP(alpha*psi*size))</f>
        <v>210.798449123729</v>
      </c>
      <c r="G17" s="1" t="n">
        <f aca="false">gamma*size</f>
        <v>10</v>
      </c>
      <c r="H17" s="1" t="n">
        <f aca="false">phi*beta*EXP(alpha*(zeta))*(0-1/(alpha*psi)^2)*((2/(alpha*psi))*(EXP(alpha*psi*size)-1)-(size*(EXP(alpha*psi*size)+1)))</f>
        <v>0.114875865580539</v>
      </c>
      <c r="I17" s="1" t="n">
        <f aca="false">(phi*beta*EXP(alpha*(tau+zeta)))*(0-1/(alpha*psi)^2)*((1/(alpha*psi))*(1-EXP(alpha*psi*size))+size*EXP(alpha*psi*size))</f>
        <v>0.613199287892725</v>
      </c>
      <c r="J17" s="1" t="n">
        <f aca="false">(phi*beta*EXP(alpha*(2*tau+zeta)))*(1/(alpha*psi)^2)*(size*EXP(alpha*psi*size))</f>
        <v>2.10798449123729</v>
      </c>
      <c r="K17" s="1" t="n">
        <f aca="false">theta*beta*(-1/(alpha*psi)^2)*EXP(alpha*(tax!Tau+zeta))*(EXP(alpha*psi*tax!Size)-1)</f>
        <v>6.34329522509653</v>
      </c>
      <c r="L17" s="1" t="n">
        <f aca="false">theta*beta*(1/(alpha*psi)^2)*EXP(alpha*(2*tax!Tau+zeta+psi*tax!Size))</f>
        <v>10.5399224561864</v>
      </c>
      <c r="M17" s="1"/>
      <c r="N17" s="0" t="n">
        <f aca="false">A17</f>
        <v>2</v>
      </c>
      <c r="O17" s="1" t="n">
        <f aca="false">P17+Q17-R17</f>
        <v>382.238777508475</v>
      </c>
      <c r="P17" s="1" t="n">
        <f aca="false">C17+D17</f>
        <v>81.2501957217989</v>
      </c>
      <c r="Q17" s="0" t="n">
        <f aca="false">2*E17+F17</f>
        <v>337.664353625659</v>
      </c>
      <c r="R17" s="0" t="n">
        <f aca="false">G17+H17+2*I17+J17+2*K17+L17</f>
        <v>36.6757718389828</v>
      </c>
      <c r="T17" s="0" t="n">
        <f aca="false">O17/N17</f>
        <v>191.119388754238</v>
      </c>
    </row>
    <row r="18" customFormat="false" ht="14.65" hidden="false" customHeight="false" outlineLevel="0" collapsed="false">
      <c r="A18" s="0" t="n">
        <f aca="false">A17+2</f>
        <v>4</v>
      </c>
      <c r="B18" s="0" t="n">
        <v>10</v>
      </c>
      <c r="C18" s="1" t="n">
        <f aca="false">beta*(1/(alpha*psi))*(1/alpha)*((-1/alpha*psi)*(EXP(alpha*(zeta+psi*tax!Size))-EXP(alpha*zeta))+(tax!Size*EXP(alpha*zeta)))</f>
        <v>66.890496921345</v>
      </c>
      <c r="D18" s="1" t="n">
        <f aca="false">beta*(-1/(alpha*psi)^2)*(1/alpha)*(EXP(alpha*(tax!Tau+zeta))-EXP(alpha*(tax!Tau+zeta+psi*tax!Size)))</f>
        <v>115.367461017358</v>
      </c>
      <c r="E18" s="1" t="n">
        <f aca="false">tau*beta*EXP(alpha*(tau+zeta))*(0-(1/(alpha*psi)^2))*(-1+EXP(alpha*psi*size))</f>
        <v>115.367461017358</v>
      </c>
      <c r="F18" s="1" t="n">
        <f aca="false">2*tau*beta*EXP(alpha*(2*tau+zeta))*(1/(alpha*psi)^2)*(EXP(alpha*psi*size))</f>
        <v>172.587172998741</v>
      </c>
      <c r="G18" s="1" t="n">
        <f aca="false">gamma*size</f>
        <v>20</v>
      </c>
      <c r="H18" s="1" t="n">
        <f aca="false">phi*beta*EXP(alpha*(zeta))*(0-1/(alpha*psi)^2)*((2/(alpha*psi))*(EXP(alpha*psi*size)-1)-(size*(EXP(alpha*psi*size)+1)))</f>
        <v>0.834048469111355</v>
      </c>
      <c r="I18" s="1" t="n">
        <f aca="false">(phi*beta*EXP(alpha*(tau+zeta)))*(0-1/(alpha*psi)^2)*((1/(alpha*psi))*(1-EXP(alpha*psi*size))+size*EXP(alpha*psi*size))</f>
        <v>2.15393457798386</v>
      </c>
      <c r="J18" s="1" t="n">
        <f aca="false">(phi*beta*EXP(alpha*(2*tau+zeta)))*(1/(alpha*psi)^2)*(size*EXP(alpha*psi*size))</f>
        <v>3.45174345997482</v>
      </c>
      <c r="K18" s="1" t="n">
        <f aca="false">theta*beta*(-1/(alpha*psi)^2)*EXP(alpha*(tax!Tau+zeta))*(EXP(alpha*psi*tax!Size)-1)</f>
        <v>11.5367461017358</v>
      </c>
      <c r="L18" s="1" t="n">
        <f aca="false">theta*beta*(1/(alpha*psi)^2)*EXP(alpha*(2*tax!Tau+zeta+psi*tax!Size))</f>
        <v>8.62935864993705</v>
      </c>
      <c r="M18" s="1"/>
      <c r="N18" s="0" t="n">
        <f aca="false">A18</f>
        <v>4</v>
      </c>
      <c r="O18" s="1" t="n">
        <f aca="false">P18+Q18-R18</f>
        <v>525.283541033697</v>
      </c>
      <c r="P18" s="1" t="n">
        <f aca="false">C18+D18</f>
        <v>182.257957938703</v>
      </c>
      <c r="Q18" s="0" t="n">
        <f aca="false">2*E18+F18</f>
        <v>403.322095033456</v>
      </c>
      <c r="R18" s="0" t="n">
        <f aca="false">G18+H18+2*I18+J18+2*K18+L18</f>
        <v>60.2965119384625</v>
      </c>
      <c r="T18" s="0" t="n">
        <f aca="false">O18/N18</f>
        <v>131.320885258424</v>
      </c>
    </row>
    <row r="19" customFormat="false" ht="14.65" hidden="false" customHeight="false" outlineLevel="0" collapsed="false">
      <c r="A19" s="0" t="n">
        <f aca="false">A18+2</f>
        <v>6</v>
      </c>
      <c r="B19" s="0" t="n">
        <v>10</v>
      </c>
      <c r="C19" s="1" t="n">
        <f aca="false">beta*(1/(alpha*psi))*(1/alpha)*((-1/alpha*psi)*(EXP(alpha*(zeta+psi*tax!Size))-EXP(alpha*zeta))+(tax!Size*EXP(alpha*zeta)))</f>
        <v>141.55400696073</v>
      </c>
      <c r="D19" s="1" t="n">
        <f aca="false">beta*(-1/(alpha*psi)^2)*(1/alpha)*(EXP(alpha*(tax!Tau+zeta))-EXP(alpha*(tax!Tau+zeta+psi*tax!Size)))</f>
        <v>157.887840490401</v>
      </c>
      <c r="E19" s="1" t="n">
        <f aca="false">tau*beta*EXP(alpha*(tau+zeta))*(0-(1/(alpha*psi)^2))*(-1+EXP(alpha*psi*size))</f>
        <v>157.887840490401</v>
      </c>
      <c r="F19" s="1" t="n">
        <f aca="false">2*tau*beta*EXP(alpha*(2*tau+zeta))*(1/(alpha*psi)^2)*(EXP(alpha*psi*size))</f>
        <v>141.302426120859</v>
      </c>
      <c r="G19" s="1" t="n">
        <f aca="false">gamma*size</f>
        <v>30</v>
      </c>
      <c r="H19" s="1" t="n">
        <f aca="false">phi*beta*EXP(alpha*(zeta))*(0-1/(alpha*psi)^2)*((2/(alpha*psi))*(EXP(alpha*psi*size)-1)-(size*(EXP(alpha*psi*size)+1)))</f>
        <v>2.55978252776422</v>
      </c>
      <c r="I19" s="1" t="n">
        <f aca="false">(phi*beta*EXP(alpha*(tau+zeta)))*(0-1/(alpha*psi)^2)*((1/(alpha*psi))*(1-EXP(alpha*psi*size))+size*EXP(alpha*psi*size))</f>
        <v>4.26578953179488</v>
      </c>
      <c r="J19" s="1" t="n">
        <f aca="false">(phi*beta*EXP(alpha*(2*tau+zeta)))*(1/(alpha*psi)^2)*(size*EXP(alpha*psi*size))</f>
        <v>4.23907278362577</v>
      </c>
      <c r="K19" s="1" t="n">
        <f aca="false">theta*beta*(-1/(alpha*psi)^2)*EXP(alpha*(tax!Tau+zeta))*(EXP(alpha*psi*tax!Size)-1)</f>
        <v>15.7887840490401</v>
      </c>
      <c r="L19" s="1" t="n">
        <f aca="false">theta*beta*(1/(alpha*psi)^2)*EXP(alpha*(2*tax!Tau+zeta+psi*tax!Size))</f>
        <v>7.06512130604296</v>
      </c>
      <c r="M19" s="1"/>
      <c r="N19" s="0" t="n">
        <f aca="false">A19</f>
        <v>6</v>
      </c>
      <c r="O19" s="1" t="n">
        <f aca="false">P19+Q19-R19</f>
        <v>672.54683077369</v>
      </c>
      <c r="P19" s="1" t="n">
        <f aca="false">C19+D19</f>
        <v>299.441847451132</v>
      </c>
      <c r="Q19" s="0" t="n">
        <f aca="false">2*E19+F19</f>
        <v>457.078107101662</v>
      </c>
      <c r="R19" s="0" t="n">
        <f aca="false">G19+H19+2*I19+J19+2*K19+L19</f>
        <v>83.973123779103</v>
      </c>
      <c r="T19" s="0" t="n">
        <f aca="false">O19/N19</f>
        <v>112.091138462282</v>
      </c>
    </row>
    <row r="20" customFormat="false" ht="14.65" hidden="false" customHeight="false" outlineLevel="0" collapsed="false">
      <c r="A20" s="0" t="n">
        <f aca="false">A19+2</f>
        <v>8</v>
      </c>
      <c r="B20" s="0" t="n">
        <v>10</v>
      </c>
      <c r="C20" s="1" t="n">
        <f aca="false">beta*(1/(alpha*psi))*(1/alpha)*((-1/alpha*psi)*(EXP(alpha*(zeta+psi*tax!Size))-EXP(alpha*zeta))+(tax!Size*EXP(alpha*zeta)))</f>
        <v>237.169047048584</v>
      </c>
      <c r="D20" s="1" t="n">
        <f aca="false">beta*(-1/(alpha*psi)^2)*(1/alpha)*(EXP(alpha*(tax!Tau+zeta))-EXP(alpha*(tax!Tau+zeta+psi*tax!Size)))</f>
        <v>192.700582797528</v>
      </c>
      <c r="E20" s="1" t="n">
        <f aca="false">tau*beta*EXP(alpha*(tau+zeta))*(0-(1/(alpha*psi)^2))*(-1+EXP(alpha*psi*size))</f>
        <v>192.700582797528</v>
      </c>
      <c r="F20" s="1" t="n">
        <f aca="false">2*tau*beta*EXP(alpha*(2*tau+zeta))*(1/(alpha*psi)^2)*(EXP(alpha*psi*size))</f>
        <v>115.688641749677</v>
      </c>
      <c r="G20" s="1" t="n">
        <f aca="false">gamma*size</f>
        <v>40</v>
      </c>
      <c r="H20" s="1" t="n">
        <f aca="false">phi*beta*EXP(alpha*(zeta))*(0-1/(alpha*psi)^2)*((2/(alpha*psi))*(EXP(alpha*psi*size)-1)-(size*(EXP(alpha*psi*size)+1)))</f>
        <v>5.52865000555778</v>
      </c>
      <c r="I20" s="1" t="n">
        <f aca="false">(phi*beta*EXP(alpha*(tau+zeta)))*(0-1/(alpha*psi)^2)*((1/(alpha*psi))*(1-EXP(alpha*psi*size))+size*EXP(alpha*psi*size))</f>
        <v>6.69108497466257</v>
      </c>
      <c r="J20" s="1" t="n">
        <f aca="false">(phi*beta*EXP(alpha*(2*tau+zeta)))*(1/(alpha*psi)^2)*(size*EXP(alpha*psi*size))</f>
        <v>4.62754566998708</v>
      </c>
      <c r="K20" s="1" t="n">
        <f aca="false">theta*beta*(-1/(alpha*psi)^2)*EXP(alpha*(tax!Tau+zeta))*(EXP(alpha*psi*tax!Size)-1)</f>
        <v>19.2700582797528</v>
      </c>
      <c r="L20" s="1" t="n">
        <f aca="false">theta*beta*(1/(alpha*psi)^2)*EXP(alpha*(2*tax!Tau+zeta+psi*tax!Size))</f>
        <v>5.78443208748385</v>
      </c>
      <c r="M20" s="1"/>
      <c r="N20" s="0" t="n">
        <f aca="false">A20</f>
        <v>8</v>
      </c>
      <c r="O20" s="1" t="n">
        <f aca="false">P20+Q20-R20</f>
        <v>823.096522918984</v>
      </c>
      <c r="P20" s="1" t="n">
        <f aca="false">C20+D20</f>
        <v>429.869629846112</v>
      </c>
      <c r="Q20" s="0" t="n">
        <f aca="false">2*E20+F20</f>
        <v>501.089807344732</v>
      </c>
      <c r="R20" s="0" t="n">
        <f aca="false">G20+H20+2*I20+J20+2*K20+L20</f>
        <v>107.862914271859</v>
      </c>
      <c r="T20" s="0" t="n">
        <f aca="false">O20/N20</f>
        <v>102.887065364873</v>
      </c>
    </row>
    <row r="21" customFormat="false" ht="14.65" hidden="false" customHeight="false" outlineLevel="0" collapsed="false">
      <c r="A21" s="0" t="n">
        <f aca="false">A20+2</f>
        <v>10</v>
      </c>
      <c r="B21" s="0" t="n">
        <v>10</v>
      </c>
      <c r="C21" s="1" t="n">
        <f aca="false">beta*(1/(alpha*psi))*(1/alpha)*((-1/alpha*psi)*(EXP(alpha*(zeta+psi*tax!Size))-EXP(alpha*zeta))+(tax!Size*EXP(alpha*zeta)))</f>
        <v>349.937749111155</v>
      </c>
      <c r="D21" s="1" t="n">
        <f aca="false">beta*(-1/(alpha*psi)^2)*(1/alpha)*(EXP(alpha*(tax!Tau+zeta))-EXP(alpha*(tax!Tau+zeta+psi*tax!Size)))</f>
        <v>221.202845523351</v>
      </c>
      <c r="E21" s="1" t="n">
        <f aca="false">tau*beta*EXP(alpha*(tau+zeta))*(0-(1/(alpha*psi)^2))*(-1+EXP(alpha*psi*size))</f>
        <v>221.202845523351</v>
      </c>
      <c r="F21" s="1" t="n">
        <f aca="false">2*tau*beta*EXP(alpha*(2*tau+zeta))*(1/(alpha*psi)^2)*(EXP(alpha*psi*size))</f>
        <v>94.7178487822818</v>
      </c>
      <c r="G21" s="1" t="n">
        <f aca="false">gamma*size</f>
        <v>50</v>
      </c>
      <c r="H21" s="1" t="n">
        <f aca="false">phi*beta*EXP(alpha*(zeta))*(0-1/(alpha*psi)^2)*((2/(alpha*psi))*(EXP(alpha*psi*size)-1)-(size*(EXP(alpha*psi*size)+1)))</f>
        <v>9.85838228327522</v>
      </c>
      <c r="I21" s="1" t="n">
        <f aca="false">(phi*beta*EXP(alpha*(tau+zeta)))*(0-1/(alpha*psi)^2)*((1/(alpha*psi))*(1-EXP(alpha*psi*size))+size*EXP(alpha*psi*size))</f>
        <v>9.24679419355469</v>
      </c>
      <c r="J21" s="1" t="n">
        <f aca="false">(phi*beta*EXP(alpha*(2*tau+zeta)))*(1/(alpha*psi)^2)*(size*EXP(alpha*psi*size))</f>
        <v>4.73589243911409</v>
      </c>
      <c r="K21" s="1" t="n">
        <f aca="false">theta*beta*(-1/(alpha*psi)^2)*EXP(alpha*(tax!Tau+zeta))*(EXP(alpha*psi*tax!Size)-1)</f>
        <v>22.1202845523351</v>
      </c>
      <c r="L21" s="1" t="n">
        <f aca="false">theta*beta*(1/(alpha*psi)^2)*EXP(alpha*(2*tax!Tau+zeta+psi*tax!Size))</f>
        <v>4.73589243911409</v>
      </c>
      <c r="M21" s="1"/>
      <c r="N21" s="0" t="n">
        <f aca="false">A21</f>
        <v>10</v>
      </c>
      <c r="O21" s="1" t="n">
        <f aca="false">P21+Q21-R21</f>
        <v>976.199809810207</v>
      </c>
      <c r="P21" s="1" t="n">
        <f aca="false">C21+D21</f>
        <v>571.140594634506</v>
      </c>
      <c r="Q21" s="0" t="n">
        <f aca="false">2*E21+F21</f>
        <v>537.123539828984</v>
      </c>
      <c r="R21" s="0" t="n">
        <f aca="false">G21+H21+2*I21+J21+2*K21+L21</f>
        <v>132.064324653283</v>
      </c>
      <c r="T21" s="0" t="n">
        <f aca="false">O21/N21</f>
        <v>97.6199809810208</v>
      </c>
    </row>
    <row r="22" customFormat="false" ht="14.65" hidden="false" customHeight="false" outlineLevel="0" collapsed="false">
      <c r="A22" s="0" t="n">
        <v>12</v>
      </c>
      <c r="B22" s="0" t="n">
        <v>10</v>
      </c>
      <c r="C22" s="1" t="n">
        <f aca="false">beta*(1/(alpha*psi))*(1/alpha)*((-1/alpha*psi)*(EXP(alpha*(zeta+psi*tax!Size))-EXP(alpha*zeta))+(tax!Size*EXP(alpha*zeta)))</f>
        <v>476.750681760333</v>
      </c>
      <c r="D22" s="1" t="n">
        <f aca="false">beta*(-1/(alpha*psi)^2)*(1/alpha)*(EXP(alpha*(tax!Tau+zeta))-EXP(alpha*(tax!Tau+zeta+psi*tax!Size)))</f>
        <v>244.538524549291</v>
      </c>
      <c r="E22" s="1" t="n">
        <f aca="false">tau*beta*EXP(alpha*(tau+zeta))*(0-(1/(alpha*psi)^2))*(-1+EXP(alpha*psi*size))</f>
        <v>244.538524549291</v>
      </c>
      <c r="F22" s="1" t="n">
        <f aca="false">2*tau*beta*EXP(alpha*(2*tau+zeta))*(1/(alpha*psi)^2)*(EXP(alpha*psi*size))</f>
        <v>77.548415663444</v>
      </c>
      <c r="G22" s="1" t="n">
        <f aca="false">gamma*size</f>
        <v>60</v>
      </c>
      <c r="H22" s="1" t="n">
        <f aca="false">phi*beta*EXP(alpha*(zeta))*(0-1/(alpha*psi)^2)*((2/(alpha*psi))*(EXP(alpha*psi*size)-1)-(size*(EXP(alpha*psi*size)+1)))</f>
        <v>15.5831810352037</v>
      </c>
      <c r="I22" s="1" t="n">
        <f aca="false">(phi*beta*EXP(alpha*(tau+zeta)))*(0-1/(alpha*psi)^2)*((1/(alpha*psi))*(1-EXP(alpha*psi*size))+size*EXP(alpha*psi*size))</f>
        <v>11.8059455075054</v>
      </c>
      <c r="J22" s="1" t="n">
        <f aca="false">(phi*beta*EXP(alpha*(2*tau+zeta)))*(1/(alpha*psi)^2)*(size*EXP(alpha*psi*size))</f>
        <v>4.65290493980664</v>
      </c>
      <c r="K22" s="1" t="n">
        <f aca="false">theta*beta*(-1/(alpha*psi)^2)*EXP(alpha*(tax!Tau+zeta))*(EXP(alpha*psi*tax!Size)-1)</f>
        <v>24.4538524549291</v>
      </c>
      <c r="L22" s="1" t="n">
        <f aca="false">theta*beta*(1/(alpha*psi)^2)*EXP(alpha*(2*tax!Tau+zeta+psi*tax!Size))</f>
        <v>3.8774207831722</v>
      </c>
      <c r="M22" s="1"/>
      <c r="N22" s="0" t="n">
        <f aca="false">A22</f>
        <v>12</v>
      </c>
      <c r="O22" s="1" t="n">
        <f aca="false">P22+Q22-R22</f>
        <v>1131.2815683886</v>
      </c>
      <c r="P22" s="1" t="n">
        <f aca="false">C22+D22</f>
        <v>721.289206309624</v>
      </c>
      <c r="Q22" s="0" t="n">
        <f aca="false">2*E22+F22</f>
        <v>566.625464762026</v>
      </c>
      <c r="R22" s="0" t="n">
        <f aca="false">G22+H22+2*I22+J22+2*K22+L22</f>
        <v>156.633102683052</v>
      </c>
      <c r="T22" s="0" t="n">
        <f aca="false">O22/N22</f>
        <v>94.2734640323832</v>
      </c>
    </row>
    <row r="23" customFormat="false" ht="14.65" hidden="false" customHeight="false" outlineLevel="0" collapsed="false">
      <c r="A23" s="0" t="n">
        <f aca="false">A22+2</f>
        <v>14</v>
      </c>
      <c r="B23" s="0" t="n">
        <v>10</v>
      </c>
      <c r="C23" s="1" t="n">
        <f aca="false">beta*(1/(alpha*psi))*(1/alpha)*((-1/alpha*psi)*(EXP(alpha*(zeta+psi*tax!Size))-EXP(alpha*zeta))+(tax!Size*EXP(alpha*zeta)))</f>
        <v>615.062057894083</v>
      </c>
      <c r="D23" s="1" t="n">
        <f aca="false">beta*(-1/(alpha*psi)^2)*(1/alpha)*(EXP(alpha*(tax!Tau+zeta))-EXP(alpha*(tax!Tau+zeta+psi*tax!Size)))</f>
        <v>263.644162611785</v>
      </c>
      <c r="E23" s="1" t="n">
        <f aca="false">tau*beta*EXP(alpha*(tau+zeta))*(0-(1/(alpha*psi)^2))*(-1+EXP(alpha*psi*size))</f>
        <v>263.644162611785</v>
      </c>
      <c r="F23" s="1" t="n">
        <f aca="false">2*tau*beta*EXP(alpha*(2*tau+zeta))*(1/(alpha*psi)^2)*(EXP(alpha*psi*size))</f>
        <v>63.4912727561358</v>
      </c>
      <c r="G23" s="1" t="n">
        <f aca="false">gamma*size</f>
        <v>70</v>
      </c>
      <c r="H23" s="1" t="n">
        <f aca="false">phi*beta*EXP(alpha*(zeta))*(0-1/(alpha*psi)^2)*((2/(alpha*psi))*(EXP(alpha*psi*size)-1)-(size*(EXP(alpha*psi*size)+1)))</f>
        <v>22.6801324818483</v>
      </c>
      <c r="I23" s="1" t="n">
        <f aca="false">(phi*beta*EXP(alpha*(tau+zeta)))*(0-1/(alpha*psi)^2)*((1/(alpha*psi))*(1-EXP(alpha*psi*size))+size*EXP(alpha*psi*size))</f>
        <v>14.2833141512666</v>
      </c>
      <c r="J23" s="1" t="n">
        <f aca="false">(phi*beta*EXP(alpha*(2*tau+zeta)))*(1/(alpha*psi)^2)*(size*EXP(alpha*psi*size))</f>
        <v>4.44438909292951</v>
      </c>
      <c r="K23" s="1" t="n">
        <f aca="false">theta*beta*(-1/(alpha*psi)^2)*EXP(alpha*(tax!Tau+zeta))*(EXP(alpha*psi*tax!Size)-1)</f>
        <v>26.3644162611785</v>
      </c>
      <c r="L23" s="1" t="n">
        <f aca="false">theta*beta*(1/(alpha*psi)^2)*EXP(alpha*(2*tax!Tau+zeta+psi*tax!Size))</f>
        <v>3.17456363780679</v>
      </c>
      <c r="M23" s="1"/>
      <c r="N23" s="0" t="n">
        <f aca="false">A23</f>
        <v>14</v>
      </c>
      <c r="O23" s="1" t="n">
        <f aca="false">P23+Q23-R23</f>
        <v>1287.8912724481</v>
      </c>
      <c r="P23" s="1" t="n">
        <f aca="false">C23+D23</f>
        <v>878.706220505868</v>
      </c>
      <c r="Q23" s="0" t="n">
        <f aca="false">2*E23+F23</f>
        <v>590.779597979705</v>
      </c>
      <c r="R23" s="0" t="n">
        <f aca="false">G23+H23+2*I23+J23+2*K23+L23</f>
        <v>181.594546037475</v>
      </c>
      <c r="T23" s="0" t="n">
        <f aca="false">O23/N23</f>
        <v>91.9922337462928</v>
      </c>
    </row>
    <row r="24" customFormat="false" ht="14.65" hidden="false" customHeight="false" outlineLevel="0" collapsed="false">
      <c r="A24" s="0" t="n">
        <f aca="false">A23+2</f>
        <v>16</v>
      </c>
      <c r="B24" s="0" t="n">
        <v>10</v>
      </c>
      <c r="C24" s="1" t="n">
        <f aca="false">beta*(1/(alpha*psi))*(1/alpha)*((-1/alpha*psi)*(EXP(alpha*(zeta+psi*tax!Size))-EXP(alpha*zeta))+(tax!Size*EXP(alpha*zeta)))</f>
        <v>762.787563321183</v>
      </c>
      <c r="D24" s="1" t="n">
        <f aca="false">beta*(-1/(alpha*psi)^2)*(1/alpha)*(EXP(alpha*(tax!Tau+zeta))-EXP(alpha*(tax!Tau+zeta+psi*tax!Size)))</f>
        <v>279.286536050726</v>
      </c>
      <c r="E24" s="1" t="n">
        <f aca="false">tau*beta*EXP(alpha*(tau+zeta))*(0-(1/(alpha*psi)^2))*(-1+EXP(alpha*psi*size))</f>
        <v>279.286536050726</v>
      </c>
      <c r="F24" s="1" t="n">
        <f aca="false">2*tau*beta*EXP(alpha*(2*tau+zeta))*(1/(alpha*psi)^2)*(EXP(alpha*psi*size))</f>
        <v>51.9822575575107</v>
      </c>
      <c r="G24" s="1" t="n">
        <f aca="false">gamma*size</f>
        <v>80</v>
      </c>
      <c r="H24" s="1" t="n">
        <f aca="false">phi*beta*EXP(alpha*(zeta))*(0-1/(alpha*psi)^2)*((2/(alpha*psi))*(EXP(alpha*psi*size)-1)-(size*(EXP(alpha*psi*size)+1)))</f>
        <v>31.0887901234429</v>
      </c>
      <c r="I24" s="1" t="n">
        <f aca="false">(phi*beta*EXP(alpha*(tau+zeta)))*(0-1/(alpha*psi)^2)*((1/(alpha*psi))*(1-EXP(alpha*psi*size))+size*EXP(alpha*psi*size))</f>
        <v>16.6244595154038</v>
      </c>
      <c r="J24" s="1" t="n">
        <f aca="false">(phi*beta*EXP(alpha*(2*tau+zeta)))*(1/(alpha*psi)^2)*(size*EXP(alpha*psi*size))</f>
        <v>4.15858060460085</v>
      </c>
      <c r="K24" s="1" t="n">
        <f aca="false">theta*beta*(-1/(alpha*psi)^2)*EXP(alpha*(tax!Tau+zeta))*(EXP(alpha*psi*tax!Size)-1)</f>
        <v>27.9286536050726</v>
      </c>
      <c r="L24" s="1" t="n">
        <f aca="false">theta*beta*(1/(alpha*psi)^2)*EXP(alpha*(2*tax!Tau+zeta+psi*tax!Size))</f>
        <v>2.59911287787553</v>
      </c>
      <c r="M24" s="1"/>
      <c r="N24" s="0" t="n">
        <f aca="false">A24</f>
        <v>16</v>
      </c>
      <c r="O24" s="1" t="n">
        <f aca="false">P24+Q24-R24</f>
        <v>1445.676719184</v>
      </c>
      <c r="P24" s="1" t="n">
        <f aca="false">C24+D24</f>
        <v>1042.07409937191</v>
      </c>
      <c r="Q24" s="0" t="n">
        <f aca="false">2*E24+F24</f>
        <v>610.555329658962</v>
      </c>
      <c r="R24" s="0" t="n">
        <f aca="false">G24+H24+2*I24+J24+2*K24+L24</f>
        <v>206.952709846872</v>
      </c>
      <c r="T24" s="0" t="n">
        <f aca="false">O24/N24</f>
        <v>90.3547949489999</v>
      </c>
    </row>
    <row r="25" customFormat="false" ht="14.65" hidden="false" customHeight="false" outlineLevel="0" collapsed="false">
      <c r="A25" s="0" t="n">
        <f aca="false">A24+2</f>
        <v>18</v>
      </c>
      <c r="B25" s="0" t="n">
        <v>10</v>
      </c>
      <c r="C25" s="1" t="n">
        <f aca="false">beta*(1/(alpha*psi))*(1/alpha)*((-1/alpha*psi)*(EXP(alpha*(zeta+psi*tax!Size))-EXP(alpha*zeta))+(tax!Size*EXP(alpha*zeta)))</f>
        <v>918.220705914199</v>
      </c>
      <c r="D25" s="1" t="n">
        <f aca="false">beta*(-1/(alpha*psi)^2)*(1/alpha)*(EXP(alpha*(tax!Tau+zeta))-EXP(alpha*(tax!Tau+zeta+psi*tax!Size)))</f>
        <v>292.093428236317</v>
      </c>
      <c r="E25" s="1" t="n">
        <f aca="false">tau*beta*EXP(alpha*(tau+zeta))*(0-(1/(alpha*psi)^2))*(-1+EXP(alpha*psi*size))</f>
        <v>292.093428236317</v>
      </c>
      <c r="F25" s="1" t="n">
        <f aca="false">2*tau*beta*EXP(alpha*(2*tau+zeta))*(1/(alpha*psi)^2)*(EXP(alpha*psi*size))</f>
        <v>42.5594728767543</v>
      </c>
      <c r="G25" s="1" t="n">
        <f aca="false">gamma*size</f>
        <v>90</v>
      </c>
      <c r="H25" s="1" t="n">
        <f aca="false">phi*beta*EXP(alpha*(zeta))*(0-1/(alpha*psi)^2)*((2/(alpha*psi))*(EXP(alpha*psi*size)-1)-(size*(EXP(alpha*psi*size)+1)))</f>
        <v>40.7255347091642</v>
      </c>
      <c r="I25" s="1" t="n">
        <f aca="false">(phi*beta*EXP(alpha*(tau+zeta)))*(0-1/(alpha*psi)^2)*((1/(alpha*psi))*(1-EXP(alpha*psi*size))+size*EXP(alpha*psi*size))</f>
        <v>18.7973650661608</v>
      </c>
      <c r="J25" s="1" t="n">
        <f aca="false">(phi*beta*EXP(alpha*(2*tau+zeta)))*(1/(alpha*psi)^2)*(size*EXP(alpha*psi*size))</f>
        <v>3.83035255890789</v>
      </c>
      <c r="K25" s="1" t="n">
        <f aca="false">theta*beta*(-1/(alpha*psi)^2)*EXP(alpha*(tax!Tau+zeta))*(EXP(alpha*psi*tax!Size)-1)</f>
        <v>29.2093428236317</v>
      </c>
      <c r="L25" s="1" t="n">
        <f aca="false">theta*beta*(1/(alpha*psi)^2)*EXP(alpha*(2*tax!Tau+zeta+psi*tax!Size))</f>
        <v>2.12797364383772</v>
      </c>
      <c r="M25" s="1"/>
      <c r="N25" s="0" t="n">
        <f aca="false">A25</f>
        <v>18</v>
      </c>
      <c r="O25" s="1" t="n">
        <f aca="false">P25+Q25-R25</f>
        <v>1604.36318680841</v>
      </c>
      <c r="P25" s="1" t="n">
        <f aca="false">C25+D25</f>
        <v>1210.31413415052</v>
      </c>
      <c r="Q25" s="0" t="n">
        <f aca="false">2*E25+F25</f>
        <v>626.746329349388</v>
      </c>
      <c r="R25" s="0" t="n">
        <f aca="false">G25+H25+2*I25+J25+2*K25+L25</f>
        <v>232.697276691495</v>
      </c>
      <c r="T25" s="0" t="n">
        <f aca="false">O25/N25</f>
        <v>89.1312881560227</v>
      </c>
    </row>
    <row r="26" customFormat="false" ht="14.65" hidden="false" customHeight="false" outlineLevel="0" collapsed="false">
      <c r="A26" s="0" t="n">
        <f aca="false">A25+2</f>
        <v>20</v>
      </c>
      <c r="B26" s="0" t="n">
        <v>10</v>
      </c>
      <c r="C26" s="1" t="n">
        <f aca="false">beta*(1/(alpha*psi))*(1/alpha)*((-1/alpha*psi)*(EXP(alpha*(zeta+psi*tax!Size))-EXP(alpha*zeta))+(tax!Size*EXP(alpha*zeta)))</f>
        <v>1079.96432808852</v>
      </c>
      <c r="D26" s="1" t="n">
        <f aca="false">beta*(-1/(alpha*psi)^2)*(1/alpha)*(EXP(alpha*(tax!Tau+zeta))-EXP(alpha*(tax!Tau+zeta+psi*tax!Size)))</f>
        <v>302.578824720014</v>
      </c>
      <c r="E26" s="1" t="n">
        <f aca="false">tau*beta*EXP(alpha*(tau+zeta))*(0-(1/(alpha*psi)^2))*(-1+EXP(alpha*psi*size))</f>
        <v>302.578824720014</v>
      </c>
      <c r="F26" s="1" t="n">
        <f aca="false">2*tau*beta*EXP(alpha*(2*tau+zeta))*(1/(alpha*psi)^2)*(EXP(alpha*psi*size))</f>
        <v>34.844749278987</v>
      </c>
      <c r="G26" s="1" t="n">
        <f aca="false">gamma*size</f>
        <v>100</v>
      </c>
      <c r="H26" s="1" t="n">
        <f aca="false">phi*beta*EXP(alpha*(zeta))*(0-1/(alpha*psi)^2)*((2/(alpha*psi))*(EXP(alpha*psi*size)-1)-(size*(EXP(alpha*psi*size)+1)))</f>
        <v>51.4939614351217</v>
      </c>
      <c r="I26" s="1" t="n">
        <f aca="false">(phi*beta*EXP(alpha*(tau+zeta)))*(0-1/(alpha*psi)^2)*((1/(alpha*psi))*(1-EXP(alpha*psi*size))+size*EXP(alpha*psi*size))</f>
        <v>20.7860975937733</v>
      </c>
      <c r="J26" s="1" t="n">
        <f aca="false">(phi*beta*EXP(alpha*(2*tau+zeta)))*(1/(alpha*psi)^2)*(size*EXP(alpha*psi*size))</f>
        <v>3.4844749278987</v>
      </c>
      <c r="K26" s="1" t="n">
        <f aca="false">theta*beta*(-1/(alpha*psi)^2)*EXP(alpha*(tax!Tau+zeta))*(EXP(alpha*psi*tax!Size)-1)</f>
        <v>30.2578824720014</v>
      </c>
      <c r="L26" s="1" t="n">
        <f aca="false">theta*beta*(1/(alpha*psi)^2)*EXP(alpha*(2*tax!Tau+zeta+psi*tax!Size))</f>
        <v>1.74223746394935</v>
      </c>
      <c r="M26" s="1"/>
      <c r="N26" s="0" t="n">
        <f aca="false">A26</f>
        <v>20</v>
      </c>
      <c r="O26" s="1" t="n">
        <f aca="false">P26+Q26-R26</f>
        <v>1763.73691756903</v>
      </c>
      <c r="P26" s="1" t="n">
        <f aca="false">C26+D26</f>
        <v>1382.54315280853</v>
      </c>
      <c r="Q26" s="0" t="n">
        <f aca="false">2*E26+F26</f>
        <v>640.002398719016</v>
      </c>
      <c r="R26" s="0" t="n">
        <f aca="false">G26+H26+2*I26+J26+2*K26+L26</f>
        <v>258.808633958519</v>
      </c>
      <c r="T26" s="0" t="n">
        <f aca="false">O26/N26</f>
        <v>88.1868458784515</v>
      </c>
    </row>
    <row r="27" customFormat="false" ht="14.65" hidden="false" customHeight="false" outlineLevel="0" collapsed="false">
      <c r="A27" s="0" t="n">
        <f aca="false">A26+2</f>
        <v>22</v>
      </c>
      <c r="B27" s="0" t="n">
        <v>10</v>
      </c>
      <c r="C27" s="1" t="n">
        <f aca="false">beta*(1/(alpha*psi))*(1/alpha)*((-1/alpha*psi)*(EXP(alpha*(zeta+psi*tax!Size))-EXP(alpha*zeta))+(tax!Size*EXP(alpha*zeta)))</f>
        <v>1246.87453396272</v>
      </c>
      <c r="D27" s="1" t="n">
        <f aca="false">beta*(-1/(alpha*psi)^2)*(1/alpha)*(EXP(alpha*(tax!Tau+zeta))-EXP(alpha*(tax!Tau+zeta+psi*tax!Size)))</f>
        <v>311.163541279433</v>
      </c>
      <c r="E27" s="1" t="n">
        <f aca="false">tau*beta*EXP(alpha*(tau+zeta))*(0-(1/(alpha*psi)^2))*(-1+EXP(alpha*psi*size))</f>
        <v>311.163541279433</v>
      </c>
      <c r="F27" s="1" t="n">
        <f aca="false">2*tau*beta*EXP(alpha*(2*tau+zeta))*(1/(alpha*psi)^2)*(EXP(alpha*psi*size))</f>
        <v>28.5284678179985</v>
      </c>
      <c r="G27" s="1" t="n">
        <f aca="false">gamma*size</f>
        <v>110</v>
      </c>
      <c r="H27" s="1" t="n">
        <f aca="false">phi*beta*EXP(alpha*(zeta))*(0-1/(alpha*psi)^2)*((2/(alpha*psi))*(EXP(alpha*psi*size)-1)-(size*(EXP(alpha*psi*size)+1)))</f>
        <v>63.2922628059973</v>
      </c>
      <c r="I27" s="1" t="n">
        <f aca="false">(phi*beta*EXP(alpha*(tau+zeta)))*(0-1/(alpha*psi)^2)*((1/(alpha*psi))*(1-EXP(alpha*psi*size))+size*EXP(alpha*psi*size))</f>
        <v>22.5860284049645</v>
      </c>
      <c r="J27" s="1" t="n">
        <f aca="false">(phi*beta*EXP(alpha*(2*tau+zeta)))*(1/(alpha*psi)^2)*(size*EXP(alpha*psi*size))</f>
        <v>3.13813145997983</v>
      </c>
      <c r="K27" s="1" t="n">
        <f aca="false">theta*beta*(-1/(alpha*psi)^2)*EXP(alpha*(tax!Tau+zeta))*(EXP(alpha*psi*tax!Size)-1)</f>
        <v>31.1163541279433</v>
      </c>
      <c r="L27" s="1" t="n">
        <f aca="false">theta*beta*(1/(alpha*psi)^2)*EXP(alpha*(2*tax!Tau+zeta+psi*tax!Size))</f>
        <v>1.42642339089993</v>
      </c>
      <c r="M27" s="1"/>
      <c r="N27" s="0" t="n">
        <f aca="false">A27</f>
        <v>22</v>
      </c>
      <c r="O27" s="1" t="n">
        <f aca="false">P27+Q27-R27</f>
        <v>1923.63204289633</v>
      </c>
      <c r="P27" s="1" t="n">
        <f aca="false">C27+D27</f>
        <v>1558.03807524215</v>
      </c>
      <c r="Q27" s="0" t="n">
        <f aca="false">2*E27+F27</f>
        <v>650.855550376865</v>
      </c>
      <c r="R27" s="0" t="n">
        <f aca="false">G27+H27+2*I27+J27+2*K27+L27</f>
        <v>285.261582722693</v>
      </c>
      <c r="T27" s="0" t="n">
        <f aca="false">O27/N27</f>
        <v>87.4378201316512</v>
      </c>
    </row>
    <row r="28" customFormat="false" ht="14.65" hidden="false" customHeight="false" outlineLevel="0" collapsed="false">
      <c r="A28" s="0" t="n">
        <f aca="false">A27+2</f>
        <v>24</v>
      </c>
      <c r="B28" s="0" t="n">
        <v>10</v>
      </c>
      <c r="C28" s="1" t="n">
        <f aca="false">beta*(1/(alpha*psi))*(1/alpha)*((-1/alpha*psi)*(EXP(alpha*(zeta+psi*tax!Size))-EXP(alpha*zeta))+(tax!Size*EXP(alpha*zeta)))</f>
        <v>1418.01478080037</v>
      </c>
      <c r="D28" s="1" t="n">
        <f aca="false">beta*(-1/(alpha*psi)^2)*(1/alpha)*(EXP(alpha*(tax!Tau+zeta))-EXP(alpha*(tax!Tau+zeta+psi*tax!Size)))</f>
        <v>318.192112733087</v>
      </c>
      <c r="E28" s="1" t="n">
        <f aca="false">tau*beta*EXP(alpha*(tau+zeta))*(0-(1/(alpha*psi)^2))*(-1+EXP(alpha*psi*size))</f>
        <v>318.192112733087</v>
      </c>
      <c r="F28" s="1" t="n">
        <f aca="false">2*tau*beta*EXP(alpha*(2*tau+zeta))*(1/(alpha*psi)^2)*(EXP(alpha*psi*size))</f>
        <v>23.3571339407909</v>
      </c>
      <c r="G28" s="1" t="n">
        <f aca="false">gamma*size</f>
        <v>120</v>
      </c>
      <c r="H28" s="1" t="n">
        <f aca="false">phi*beta*EXP(alpha*(zeta))*(0-1/(alpha*psi)^2)*((2/(alpha*psi))*(EXP(alpha*psi*size)-1)-(size*(EXP(alpha*psi*size)+1)))</f>
        <v>76.0183550397516</v>
      </c>
      <c r="I28" s="1" t="n">
        <f aca="false">(phi*beta*EXP(alpha*(tau+zeta)))*(0-1/(alpha*psi)^2)*((1/(alpha*psi))*(1-EXP(alpha*psi*size))+size*EXP(alpha*psi*size))</f>
        <v>24.2002585425724</v>
      </c>
      <c r="J28" s="1" t="n">
        <f aca="false">(phi*beta*EXP(alpha*(2*tau+zeta)))*(1/(alpha*psi)^2)*(size*EXP(alpha*psi*size))</f>
        <v>2.80285607289491</v>
      </c>
      <c r="K28" s="1" t="n">
        <f aca="false">theta*beta*(-1/(alpha*psi)^2)*EXP(alpha*(tax!Tau+zeta))*(EXP(alpha*psi*tax!Size)-1)</f>
        <v>31.8192112733087</v>
      </c>
      <c r="L28" s="1" t="n">
        <f aca="false">theta*beta*(1/(alpha*psi)^2)*EXP(alpha*(2*tax!Tau+zeta+psi*tax!Size))</f>
        <v>1.16785669703954</v>
      </c>
      <c r="M28" s="1"/>
      <c r="N28" s="0" t="n">
        <f aca="false">A28</f>
        <v>24</v>
      </c>
      <c r="O28" s="1" t="n">
        <f aca="false">P28+Q28-R28</f>
        <v>2083.92024549897</v>
      </c>
      <c r="P28" s="1" t="n">
        <f aca="false">C28+D28</f>
        <v>1736.20689353346</v>
      </c>
      <c r="Q28" s="0" t="n">
        <f aca="false">2*E28+F28</f>
        <v>659.741359406966</v>
      </c>
      <c r="R28" s="0" t="n">
        <f aca="false">G28+H28+2*I28+J28+2*K28+L28</f>
        <v>312.028007441448</v>
      </c>
      <c r="T28" s="0" t="n">
        <f aca="false">O28/N28</f>
        <v>86.8300102291239</v>
      </c>
    </row>
    <row r="29" customFormat="false" ht="14.65" hidden="false" customHeight="false" outlineLevel="0" collapsed="false">
      <c r="A29" s="0" t="n">
        <f aca="false">A28+2</f>
        <v>26</v>
      </c>
      <c r="B29" s="0" t="n">
        <v>10</v>
      </c>
      <c r="C29" s="1" t="n">
        <f aca="false">beta*(1/(alpha*psi))*(1/alpha)*((-1/alpha*psi)*(EXP(alpha*(zeta+psi*tax!Size))-EXP(alpha*zeta))+(tax!Size*EXP(alpha*zeta)))</f>
        <v>1592.61829226157</v>
      </c>
      <c r="D29" s="1" t="n">
        <f aca="false">beta*(-1/(alpha*psi)^2)*(1/alpha)*(EXP(alpha*(tax!Tau+zeta))-EXP(alpha*(tax!Tau+zeta+psi*tax!Size)))</f>
        <v>323.9466203324</v>
      </c>
      <c r="E29" s="1" t="n">
        <f aca="false">tau*beta*EXP(alpha*(tau+zeta))*(0-(1/(alpha*psi)^2))*(-1+EXP(alpha*psi*size))</f>
        <v>323.9466203324</v>
      </c>
      <c r="F29" s="1" t="n">
        <f aca="false">2*tau*beta*EXP(alpha*(2*tau+zeta))*(1/(alpha*psi)^2)*(EXP(alpha*psi*size))</f>
        <v>19.123203861087</v>
      </c>
      <c r="G29" s="1" t="n">
        <f aca="false">gamma*size</f>
        <v>130</v>
      </c>
      <c r="H29" s="1" t="n">
        <f aca="false">phi*beta*EXP(alpha*(zeta))*(0-1/(alpha*psi)^2)*((2/(alpha*psi))*(EXP(alpha*psi*size)-1)-(size*(EXP(alpha*psi*size)+1)))</f>
        <v>89.5733234778404</v>
      </c>
      <c r="I29" s="1" t="n">
        <f aca="false">(phi*beta*EXP(alpha*(tau+zeta)))*(0-1/(alpha*psi)^2)*((1/(alpha*psi))*(1-EXP(alpha*psi*size))+size*EXP(alpha*psi*size))</f>
        <v>25.6369685507636</v>
      </c>
      <c r="J29" s="1" t="n">
        <f aca="false">(phi*beta*EXP(alpha*(2*tau+zeta)))*(1/(alpha*psi)^2)*(size*EXP(alpha*psi*size))</f>
        <v>2.48601650194131</v>
      </c>
      <c r="K29" s="1" t="n">
        <f aca="false">theta*beta*(-1/(alpha*psi)^2)*EXP(alpha*(tax!Tau+zeta))*(EXP(alpha*psi*tax!Size)-1)</f>
        <v>32.39466203324</v>
      </c>
      <c r="L29" s="1" t="n">
        <f aca="false">theta*beta*(1/(alpha*psi)^2)*EXP(alpha*(2*tax!Tau+zeta+psi*tax!Size))</f>
        <v>0.95616019305435</v>
      </c>
      <c r="M29" s="1"/>
      <c r="N29" s="0" t="n">
        <f aca="false">A29</f>
        <v>26</v>
      </c>
      <c r="O29" s="1" t="n">
        <f aca="false">P29+Q29-R29</f>
        <v>2244.50259577902</v>
      </c>
      <c r="P29" s="1" t="n">
        <f aca="false">C29+D29</f>
        <v>1916.56491259397</v>
      </c>
      <c r="Q29" s="0" t="n">
        <f aca="false">2*E29+F29</f>
        <v>667.016444525887</v>
      </c>
      <c r="R29" s="0" t="n">
        <f aca="false">G29+H29+2*I29+J29+2*K29+L29</f>
        <v>339.078761340843</v>
      </c>
      <c r="T29" s="0" t="n">
        <f aca="false">O29/N29</f>
        <v>86.3270229145775</v>
      </c>
    </row>
    <row r="30" customFormat="false" ht="14.65" hidden="false" customHeight="false" outlineLevel="0" collapsed="false">
      <c r="A30" s="0" t="n">
        <f aca="false">A29+2</f>
        <v>28</v>
      </c>
      <c r="B30" s="0" t="n">
        <v>10</v>
      </c>
      <c r="C30" s="1" t="n">
        <f aca="false">beta*(1/(alpha*psi))*(1/alpha)*((-1/alpha*psi)*(EXP(alpha*(zeta+psi*tax!Size))-EXP(alpha*zeta))+(tax!Size*EXP(alpha*zeta)))</f>
        <v>1770.05728497612</v>
      </c>
      <c r="D30" s="1" t="n">
        <f aca="false">beta*(-1/(alpha*psi)^2)*(1/alpha)*(EXP(alpha*(tax!Tau+zeta))-EXP(alpha*(tax!Tau+zeta+psi*tax!Size)))</f>
        <v>328.658012672778</v>
      </c>
      <c r="E30" s="1" t="n">
        <f aca="false">tau*beta*EXP(alpha*(tau+zeta))*(0-(1/(alpha*psi)^2))*(-1+EXP(alpha*psi*size))</f>
        <v>328.658012672778</v>
      </c>
      <c r="F30" s="1" t="n">
        <f aca="false">2*tau*beta*EXP(alpha*(2*tau+zeta))*(1/(alpha*psi)^2)*(EXP(alpha*psi*size))</f>
        <v>15.6567550984515</v>
      </c>
      <c r="G30" s="1" t="n">
        <f aca="false">gamma*size</f>
        <v>140</v>
      </c>
      <c r="H30" s="1" t="n">
        <f aca="false">phi*beta*EXP(alpha*(zeta))*(0-1/(alpha*psi)^2)*((2/(alpha*psi))*(EXP(alpha*psi*size)-1)-(size*(EXP(alpha*psi*size)+1)))</f>
        <v>103.86362797998</v>
      </c>
      <c r="I30" s="1" t="n">
        <f aca="false">(phi*beta*EXP(alpha*(tau+zeta)))*(0-1/(alpha*psi)^2)*((1/(alpha*psi))*(1-EXP(alpha*psi*size))+size*EXP(alpha*psi*size))</f>
        <v>26.9074750645322</v>
      </c>
      <c r="J30" s="1" t="n">
        <f aca="false">(phi*beta*EXP(alpha*(2*tau+zeta)))*(1/(alpha*psi)^2)*(size*EXP(alpha*psi*size))</f>
        <v>2.19194571378322</v>
      </c>
      <c r="K30" s="1" t="n">
        <f aca="false">theta*beta*(-1/(alpha*psi)^2)*EXP(alpha*(tax!Tau+zeta))*(EXP(alpha*psi*tax!Size)-1)</f>
        <v>32.8658012672778</v>
      </c>
      <c r="L30" s="1" t="n">
        <f aca="false">theta*beta*(1/(alpha*psi)^2)*EXP(alpha*(2*tax!Tau+zeta+psi*tax!Size))</f>
        <v>0.782837754922577</v>
      </c>
      <c r="M30" s="1"/>
      <c r="N30" s="0" t="n">
        <f aca="false">A30</f>
        <v>28</v>
      </c>
      <c r="O30" s="1" t="n">
        <f aca="false">P30+Q30-R30</f>
        <v>2405.3031139806</v>
      </c>
      <c r="P30" s="1" t="n">
        <f aca="false">C30+D30</f>
        <v>2098.7152976489</v>
      </c>
      <c r="Q30" s="0" t="n">
        <f aca="false">2*E30+F30</f>
        <v>672.972780444008</v>
      </c>
      <c r="R30" s="0" t="n">
        <f aca="false">G30+H30+2*I30+J30+2*K30+L30</f>
        <v>366.384964112305</v>
      </c>
      <c r="T30" s="0" t="n">
        <f aca="false">O30/N30</f>
        <v>85.9036826421644</v>
      </c>
    </row>
    <row r="31" customFormat="false" ht="14.65" hidden="false" customHeight="false" outlineLevel="0" collapsed="false">
      <c r="A31" s="0" t="n">
        <f aca="false">A30+2</f>
        <v>30</v>
      </c>
      <c r="B31" s="0" t="n">
        <v>10</v>
      </c>
      <c r="C31" s="1" t="n">
        <f aca="false">beta*(1/(alpha*psi))*(1/alpha)*((-1/alpha*psi)*(EXP(alpha*(zeta+psi*tax!Size))-EXP(alpha*zeta))+(tax!Size*EXP(alpha*zeta)))</f>
        <v>1949.81777339257</v>
      </c>
      <c r="D31" s="1" t="n">
        <f aca="false">beta*(-1/(alpha*psi)^2)*(1/alpha)*(EXP(alpha*(tax!Tau+zeta))-EXP(alpha*(tax!Tau+zeta+psi*tax!Size)))</f>
        <v>332.515374471662</v>
      </c>
      <c r="E31" s="1" t="n">
        <f aca="false">tau*beta*EXP(alpha*(tau+zeta))*(0-(1/(alpha*psi)^2))*(-1+EXP(alpha*psi*size))</f>
        <v>332.515374471662</v>
      </c>
      <c r="F31" s="1" t="n">
        <f aca="false">2*tau*beta*EXP(alpha*(2*tau+zeta))*(1/(alpha*psi)^2)*(EXP(alpha*psi*size))</f>
        <v>12.8186668925128</v>
      </c>
      <c r="G31" s="1" t="n">
        <f aca="false">gamma*size</f>
        <v>150</v>
      </c>
      <c r="H31" s="1" t="n">
        <f aca="false">phi*beta*EXP(alpha*(zeta))*(0-1/(alpha*psi)^2)*((2/(alpha*psi))*(EXP(alpha*psi*size)-1)-(size*(EXP(alpha*psi*size)+1)))</f>
        <v>118.802404645642</v>
      </c>
      <c r="I31" s="1" t="n">
        <f aca="false">(phi*beta*EXP(alpha*(tau+zeta)))*(0-1/(alpha*psi)^2)*((1/(alpha*psi))*(1-EXP(alpha*psi*size))+size*EXP(alpha*psi*size))</f>
        <v>28.0248250553181</v>
      </c>
      <c r="J31" s="1" t="n">
        <f aca="false">(phi*beta*EXP(alpha*(2*tau+zeta)))*(1/(alpha*psi)^2)*(size*EXP(alpha*psi*size))</f>
        <v>1.92280003387691</v>
      </c>
      <c r="K31" s="1" t="n">
        <f aca="false">theta*beta*(-1/(alpha*psi)^2)*EXP(alpha*(tax!Tau+zeta))*(EXP(alpha*psi*tax!Size)-1)</f>
        <v>33.2515374471662</v>
      </c>
      <c r="L31" s="1" t="n">
        <f aca="false">theta*beta*(1/(alpha*psi)^2)*EXP(alpha*(2*tax!Tau+zeta+psi*tax!Size))</f>
        <v>0.640933344625638</v>
      </c>
      <c r="M31" s="1"/>
      <c r="N31" s="0" t="n">
        <f aca="false">A31</f>
        <v>30</v>
      </c>
      <c r="O31" s="1" t="n">
        <f aca="false">P31+Q31-R31</f>
        <v>2566.26370067095</v>
      </c>
      <c r="P31" s="1" t="n">
        <f aca="false">C31+D31</f>
        <v>2282.33314786423</v>
      </c>
      <c r="Q31" s="0" t="n">
        <f aca="false">2*E31+F31</f>
        <v>677.849415835836</v>
      </c>
      <c r="R31" s="0" t="n">
        <f aca="false">G31+H31+2*I31+J31+2*K31+L31</f>
        <v>393.918863029113</v>
      </c>
      <c r="T31" s="0" t="n">
        <f aca="false">O31/N31</f>
        <v>85.5421233556985</v>
      </c>
    </row>
    <row r="32" customFormat="false" ht="14.65" hidden="false" customHeight="false" outlineLevel="0" collapsed="false">
      <c r="A32" s="0" t="n">
        <f aca="false">A31+2</f>
        <v>32</v>
      </c>
      <c r="B32" s="0" t="n">
        <v>10</v>
      </c>
      <c r="C32" s="1" t="n">
        <f aca="false">beta*(1/(alpha*psi))*(1/alpha)*((-1/alpha*psi)*(EXP(alpha*(zeta+psi*tax!Size))-EXP(alpha*zeta))+(tax!Size*EXP(alpha*zeta)))</f>
        <v>2131.47894173329</v>
      </c>
      <c r="D32" s="1" t="n">
        <f aca="false">beta*(-1/(alpha*psi)^2)*(1/alpha)*(EXP(alpha*(tax!Tau+zeta))-EXP(alpha*(tax!Tau+zeta+psi*tax!Size)))</f>
        <v>335.673515202156</v>
      </c>
      <c r="E32" s="1" t="n">
        <f aca="false">tau*beta*EXP(alpha*(tau+zeta))*(0-(1/(alpha*psi)^2))*(-1+EXP(alpha*psi*size))</f>
        <v>335.673515202156</v>
      </c>
      <c r="F32" s="1" t="n">
        <f aca="false">2*tau*beta*EXP(alpha*(2*tau+zeta))*(1/(alpha*psi)^2)*(EXP(alpha*psi*size))</f>
        <v>10.4950367983628</v>
      </c>
      <c r="G32" s="1" t="n">
        <f aca="false">gamma*size</f>
        <v>160</v>
      </c>
      <c r="H32" s="1" t="n">
        <f aca="false">phi*beta*EXP(alpha*(zeta))*(0-1/(alpha*psi)^2)*((2/(alpha*psi))*(EXP(alpha*psi*size)-1)-(size*(EXP(alpha*psi*size)+1)))</f>
        <v>134.310119012581</v>
      </c>
      <c r="I32" s="1" t="n">
        <f aca="false">(phi*beta*EXP(alpha*(tau+zeta)))*(0-1/(alpha*psi)^2)*((1/(alpha*psi))*(1-EXP(alpha*psi*size))+size*EXP(alpha*psi*size))</f>
        <v>29.0027966693359</v>
      </c>
      <c r="J32" s="1" t="n">
        <f aca="false">(phi*beta*EXP(alpha*(2*tau+zeta)))*(1/(alpha*psi)^2)*(size*EXP(alpha*psi*size))</f>
        <v>1.67920588773804</v>
      </c>
      <c r="K32" s="1" t="n">
        <f aca="false">theta*beta*(-1/(alpha*psi)^2)*EXP(alpha*(tax!Tau+zeta))*(EXP(alpha*psi*tax!Size)-1)</f>
        <v>33.5673515202156</v>
      </c>
      <c r="L32" s="1" t="n">
        <f aca="false">theta*beta*(1/(alpha*psi)^2)*EXP(alpha*(2*tax!Tau+zeta+psi*tax!Size))</f>
        <v>0.524751839918138</v>
      </c>
      <c r="M32" s="1"/>
      <c r="N32" s="0" t="n">
        <f aca="false">A32</f>
        <v>32</v>
      </c>
      <c r="O32" s="1" t="n">
        <f aca="false">P32+Q32-R32</f>
        <v>2727.34015101878</v>
      </c>
      <c r="P32" s="1" t="n">
        <f aca="false">C32+D32</f>
        <v>2467.15245693545</v>
      </c>
      <c r="Q32" s="0" t="n">
        <f aca="false">2*E32+F32</f>
        <v>681.842067202675</v>
      </c>
      <c r="R32" s="0" t="n">
        <f aca="false">G32+H32+2*I32+J32+2*K32+L32</f>
        <v>421.65437311934</v>
      </c>
      <c r="T32" s="0" t="n">
        <f aca="false">O32/N32</f>
        <v>85.229379719337</v>
      </c>
    </row>
    <row r="33" customFormat="false" ht="14.65" hidden="false" customHeight="false" outlineLevel="0" collapsed="false">
      <c r="A33" s="0" t="n">
        <f aca="false">A32+2</f>
        <v>34</v>
      </c>
      <c r="B33" s="0" t="n">
        <v>10</v>
      </c>
      <c r="C33" s="1" t="n">
        <f aca="false">beta*(1/(alpha*psi))*(1/alpha)*((-1/alpha*psi)*(EXP(alpha*(zeta+psi*tax!Size))-EXP(alpha*zeta))+(tax!Size*EXP(alpha*zeta)))</f>
        <v>2314.69625517978</v>
      </c>
      <c r="D33" s="1" t="n">
        <f aca="false">beta*(-1/(alpha*psi)^2)*(1/alpha)*(EXP(alpha*(tax!Tau+zeta))-EXP(alpha*(tax!Tau+zeta+psi*tax!Size)))</f>
        <v>338.25918214076</v>
      </c>
      <c r="E33" s="1" t="n">
        <f aca="false">tau*beta*EXP(alpha*(tau+zeta))*(0-(1/(alpha*psi)^2))*(-1+EXP(alpha*psi*size))</f>
        <v>338.25918214076</v>
      </c>
      <c r="F33" s="1" t="n">
        <f aca="false">2*tau*beta*EXP(alpha*(2*tau+zeta))*(1/(alpha*psi)^2)*(EXP(alpha*psi*size))</f>
        <v>8.59260938150467</v>
      </c>
      <c r="G33" s="1" t="n">
        <f aca="false">gamma*size</f>
        <v>170</v>
      </c>
      <c r="H33" s="1" t="n">
        <f aca="false">phi*beta*EXP(alpha*(zeta))*(0-1/(alpha*psi)^2)*((2/(alpha*psi))*(EXP(alpha*psi*size)-1)-(size*(EXP(alpha*psi*size)+1)))</f>
        <v>150.314763074257</v>
      </c>
      <c r="I33" s="1" t="n">
        <f aca="false">(phi*beta*EXP(alpha*(tau+zeta)))*(0-1/(alpha*psi)^2)*((1/(alpha*psi))*(1-EXP(alpha*psi*size))+size*EXP(alpha*psi*size))</f>
        <v>29.8552054441415</v>
      </c>
      <c r="J33" s="1" t="n">
        <f aca="false">(phi*beta*EXP(alpha*(2*tau+zeta)))*(1/(alpha*psi)^2)*(size*EXP(alpha*psi*size))</f>
        <v>1.46074359485579</v>
      </c>
      <c r="K33" s="1" t="n">
        <f aca="false">theta*beta*(-1/(alpha*psi)^2)*EXP(alpha*(tax!Tau+zeta))*(EXP(alpha*psi*tax!Size)-1)</f>
        <v>33.825918214076</v>
      </c>
      <c r="L33" s="1" t="n">
        <f aca="false">theta*beta*(1/(alpha*psi)^2)*EXP(alpha*(2*tax!Tau+zeta+psi*tax!Size))</f>
        <v>0.429630469075234</v>
      </c>
      <c r="M33" s="1"/>
      <c r="N33" s="0" t="n">
        <f aca="false">A33</f>
        <v>34</v>
      </c>
      <c r="O33" s="1" t="n">
        <f aca="false">P33+Q33-R33</f>
        <v>2888.49902652894</v>
      </c>
      <c r="P33" s="1" t="n">
        <f aca="false">C33+D33</f>
        <v>2652.95543732054</v>
      </c>
      <c r="Q33" s="0" t="n">
        <f aca="false">2*E33+F33</f>
        <v>685.110973663024</v>
      </c>
      <c r="R33" s="0" t="n">
        <f aca="false">G33+H33+2*I33+J33+2*K33+L33</f>
        <v>449.567384454623</v>
      </c>
      <c r="T33" s="0" t="n">
        <f aca="false">O33/N33</f>
        <v>84.9558537214395</v>
      </c>
    </row>
    <row r="34" customFormat="false" ht="14.65" hidden="false" customHeight="false" outlineLevel="0" collapsed="false">
      <c r="A34" s="0" t="n">
        <f aca="false">A33+2</f>
        <v>36</v>
      </c>
      <c r="B34" s="0" t="n">
        <v>10</v>
      </c>
      <c r="C34" s="1" t="n">
        <f aca="false">beta*(1/(alpha*psi))*(1/alpha)*((-1/alpha*psi)*(EXP(alpha*(zeta+psi*tax!Size))-EXP(alpha*zeta))+(tax!Size*EXP(alpha*zeta)))</f>
        <v>2499.18763248061</v>
      </c>
      <c r="D34" s="1" t="n">
        <f aca="false">beta*(-1/(alpha*psi)^2)*(1/alpha)*(EXP(alpha*(tax!Tau+zeta))-EXP(alpha*(tax!Tau+zeta+psi*tax!Size)))</f>
        <v>340.376147180612</v>
      </c>
      <c r="E34" s="1" t="n">
        <f aca="false">tau*beta*EXP(alpha*(tau+zeta))*(0-(1/(alpha*psi)^2))*(-1+EXP(alpha*psi*size))</f>
        <v>340.376147180612</v>
      </c>
      <c r="F34" s="1" t="n">
        <f aca="false">2*tau*beta*EXP(alpha*(2*tau+zeta))*(1/(alpha*psi)^2)*(EXP(alpha*psi*size))</f>
        <v>7.03503354982426</v>
      </c>
      <c r="G34" s="1" t="n">
        <f aca="false">gamma*size</f>
        <v>180</v>
      </c>
      <c r="H34" s="1" t="n">
        <f aca="false">phi*beta*EXP(alpha*(zeta))*(0-1/(alpha*psi)^2)*((2/(alpha*psi))*(EXP(alpha*psi*size)-1)-(size*(EXP(alpha*psi*size)+1)))</f>
        <v>166.751740036217</v>
      </c>
      <c r="I34" s="1" t="n">
        <f aca="false">(phi*beta*EXP(alpha*(tau+zeta)))*(0-1/(alpha*psi)^2)*((1/(alpha*psi))*(1-EXP(alpha*psi*size))+size*EXP(alpha*psi*size))</f>
        <v>30.5954380230655</v>
      </c>
      <c r="J34" s="1" t="n">
        <f aca="false">(phi*beta*EXP(alpha*(2*tau+zeta)))*(1/(alpha*psi)^2)*(size*EXP(alpha*psi*size))</f>
        <v>1.26630603896837</v>
      </c>
      <c r="K34" s="1" t="n">
        <f aca="false">theta*beta*(-1/(alpha*psi)^2)*EXP(alpha*(tax!Tau+zeta))*(EXP(alpha*psi*tax!Size)-1)</f>
        <v>34.0376147180612</v>
      </c>
      <c r="L34" s="1" t="n">
        <f aca="false">theta*beta*(1/(alpha*psi)^2)*EXP(alpha*(2*tax!Tau+zeta+psi*tax!Size))</f>
        <v>0.351751677491213</v>
      </c>
      <c r="M34" s="1"/>
      <c r="N34" s="0" t="n">
        <f aca="false">A34</f>
        <v>36</v>
      </c>
      <c r="O34" s="1" t="n">
        <f aca="false">P34+Q34-R34</f>
        <v>3049.71520433734</v>
      </c>
      <c r="P34" s="1" t="n">
        <f aca="false">C34+D34</f>
        <v>2839.56377966122</v>
      </c>
      <c r="Q34" s="0" t="n">
        <f aca="false">2*E34+F34</f>
        <v>687.787327911048</v>
      </c>
      <c r="R34" s="0" t="n">
        <f aca="false">G34+H34+2*I34+J34+2*K34+L34</f>
        <v>477.63590323493</v>
      </c>
      <c r="T34" s="0" t="n">
        <f aca="false">O34/N34</f>
        <v>84.7143112315928</v>
      </c>
    </row>
    <row r="35" customFormat="false" ht="14.65" hidden="false" customHeight="false" outlineLevel="0" collapsed="false">
      <c r="A35" s="0" t="n">
        <f aca="false">A34+2</f>
        <v>38</v>
      </c>
      <c r="B35" s="0" t="n">
        <v>10</v>
      </c>
      <c r="C35" s="1" t="n">
        <f aca="false">beta*(1/(alpha*psi))*(1/alpha)*((-1/alpha*psi)*(EXP(alpha*(zeta+psi*tax!Size))-EXP(alpha*zeta))+(tax!Size*EXP(alpha*zeta)))</f>
        <v>2684.72212504038</v>
      </c>
      <c r="D35" s="1" t="n">
        <f aca="false">beta*(-1/(alpha*psi)^2)*(1/alpha)*(EXP(alpha*(tax!Tau+zeta))-EXP(alpha*(tax!Tau+zeta+psi*tax!Size)))</f>
        <v>342.10937156193</v>
      </c>
      <c r="E35" s="1" t="n">
        <f aca="false">tau*beta*EXP(alpha*(tau+zeta))*(0-(1/(alpha*psi)^2))*(-1+EXP(alpha*psi*size))</f>
        <v>342.10937156193</v>
      </c>
      <c r="F35" s="1" t="n">
        <f aca="false">2*tau*beta*EXP(alpha*(2*tau+zeta))*(1/(alpha*psi)^2)*(EXP(alpha*psi*size))</f>
        <v>5.75979831617648</v>
      </c>
      <c r="G35" s="1" t="n">
        <f aca="false">gamma*size</f>
        <v>190</v>
      </c>
      <c r="H35" s="1" t="n">
        <f aca="false">phi*beta*EXP(alpha*(zeta))*(0-1/(alpha*psi)^2)*((2/(alpha*psi))*(EXP(alpha*psi*size)-1)-(size*(EXP(alpha*psi*size)+1)))</f>
        <v>183.563543544387</v>
      </c>
      <c r="I35" s="1" t="n">
        <f aca="false">(phi*beta*EXP(alpha*(tau+zeta)))*(0-1/(alpha*psi)^2)*((1/(alpha*psi))*(1-EXP(alpha*psi*size))+size*EXP(alpha*psi*size))</f>
        <v>31.2361536874872</v>
      </c>
      <c r="J35" s="1" t="n">
        <f aca="false">(phi*beta*EXP(alpha*(2*tau+zeta)))*(1/(alpha*psi)^2)*(size*EXP(alpha*psi*size))</f>
        <v>1.09436168007353</v>
      </c>
      <c r="K35" s="1" t="n">
        <f aca="false">theta*beta*(-1/(alpha*psi)^2)*EXP(alpha*(tax!Tau+zeta))*(EXP(alpha*psi*tax!Size)-1)</f>
        <v>34.210937156193</v>
      </c>
      <c r="L35" s="1" t="n">
        <f aca="false">theta*beta*(1/(alpha*psi)^2)*EXP(alpha*(2*tax!Tau+zeta+psi*tax!Size))</f>
        <v>0.287989915808824</v>
      </c>
      <c r="M35" s="1"/>
      <c r="N35" s="0" t="n">
        <f aca="false">A35</f>
        <v>38</v>
      </c>
      <c r="O35" s="1" t="n">
        <f aca="false">P35+Q35-R35</f>
        <v>3210.96996121471</v>
      </c>
      <c r="P35" s="1" t="n">
        <f aca="false">C35+D35</f>
        <v>3026.83149660231</v>
      </c>
      <c r="Q35" s="0" t="n">
        <f aca="false">2*E35+F35</f>
        <v>689.978541440035</v>
      </c>
      <c r="R35" s="0" t="n">
        <f aca="false">G35+H35+2*I35+J35+2*K35+L35</f>
        <v>505.84007682763</v>
      </c>
      <c r="T35" s="0" t="n">
        <f aca="false">O35/N35</f>
        <v>84.4992095056503</v>
      </c>
    </row>
    <row r="36" customFormat="false" ht="14.65" hidden="false" customHeight="false" outlineLevel="0" collapsed="false">
      <c r="A36" s="0" t="n">
        <f aca="false">A35+2</f>
        <v>40</v>
      </c>
      <c r="B36" s="0" t="n">
        <v>10</v>
      </c>
      <c r="C36" s="1" t="n">
        <f aca="false">beta*(1/(alpha*psi))*(1/alpha)*((-1/alpha*psi)*(EXP(alpha*(zeta+psi*tax!Size))-EXP(alpha*zeta))+(tax!Size*EXP(alpha*zeta)))</f>
        <v>2871.11064814164</v>
      </c>
      <c r="D36" s="1" t="n">
        <f aca="false">beta*(-1/(alpha*psi)^2)*(1/alpha)*(EXP(alpha*(tax!Tau+zeta))-EXP(alpha*(tax!Tau+zeta+psi*tax!Size)))</f>
        <v>343.528415664899</v>
      </c>
      <c r="E36" s="1" t="n">
        <f aca="false">tau*beta*EXP(alpha*(tau+zeta))*(0-(1/(alpha*psi)^2))*(-1+EXP(alpha*psi*size))</f>
        <v>343.528415664899</v>
      </c>
      <c r="F36" s="1" t="n">
        <f aca="false">2*tau*beta*EXP(alpha*(2*tau+zeta))*(1/(alpha*psi)^2)*(EXP(alpha*psi*size))</f>
        <v>4.71572401298046</v>
      </c>
      <c r="G36" s="1" t="n">
        <f aca="false">gamma*size</f>
        <v>200</v>
      </c>
      <c r="H36" s="1" t="n">
        <f aca="false">phi*beta*EXP(alpha*(zeta))*(0-1/(alpha*psi)^2)*((2/(alpha*psi))*(EXP(alpha*psi*size)-1)-(size*(EXP(alpha*psi*size)+1)))</f>
        <v>200.699309683839</v>
      </c>
      <c r="I36" s="1" t="n">
        <f aca="false">(phi*beta*EXP(alpha*(tau+zeta)))*(0-1/(alpha*psi)^2)*((1/(alpha*psi))*(1-EXP(alpha*psi*size))+size*EXP(alpha*psi*size))</f>
        <v>31.7891081879873</v>
      </c>
      <c r="J36" s="1" t="n">
        <f aca="false">(phi*beta*EXP(alpha*(2*tau+zeta)))*(1/(alpha*psi)^2)*(size*EXP(alpha*psi*size))</f>
        <v>0.943144802596093</v>
      </c>
      <c r="K36" s="1" t="n">
        <f aca="false">theta*beta*(-1/(alpha*psi)^2)*EXP(alpha*(tax!Tau+zeta))*(EXP(alpha*psi*tax!Size)-1)</f>
        <v>34.3528415664899</v>
      </c>
      <c r="L36" s="1" t="n">
        <f aca="false">theta*beta*(1/(alpha*psi)^2)*EXP(alpha*(2*tax!Tau+zeta+psi*tax!Size))</f>
        <v>0.235786200649023</v>
      </c>
      <c r="M36" s="1"/>
      <c r="N36" s="0" t="n">
        <f aca="false">A36</f>
        <v>40</v>
      </c>
      <c r="O36" s="1" t="n">
        <f aca="false">P36+Q36-R36</f>
        <v>3372.24947895328</v>
      </c>
      <c r="P36" s="1" t="n">
        <f aca="false">C36+D36</f>
        <v>3214.63906380654</v>
      </c>
      <c r="Q36" s="0" t="n">
        <f aca="false">2*E36+F36</f>
        <v>691.772555342778</v>
      </c>
      <c r="R36" s="0" t="n">
        <f aca="false">G36+H36+2*I36+J36+2*K36+L36</f>
        <v>534.162140196039</v>
      </c>
      <c r="T36" s="0" t="n">
        <f aca="false">O36/N36</f>
        <v>84.3062369738319</v>
      </c>
    </row>
    <row r="37" customFormat="false" ht="14.65" hidden="false" customHeight="false" outlineLevel="0" collapsed="false">
      <c r="A37" s="0" t="n">
        <f aca="false">A36+2</f>
        <v>42</v>
      </c>
      <c r="B37" s="0" t="n">
        <v>10</v>
      </c>
      <c r="C37" s="1" t="n">
        <f aca="false">beta*(1/(alpha*psi))*(1/alpha)*((-1/alpha*psi)*(EXP(alpha*(zeta+psi*tax!Size))-EXP(alpha*zeta))+(tax!Size*EXP(alpha*zeta)))</f>
        <v>3058.19839231128</v>
      </c>
      <c r="D37" s="1" t="n">
        <f aca="false">beta*(-1/(alpha*psi)^2)*(1/alpha)*(EXP(alpha*(tax!Tau+zeta))-EXP(alpha*(tax!Tau+zeta+psi*tax!Size)))</f>
        <v>344.690230711974</v>
      </c>
      <c r="E37" s="1" t="n">
        <f aca="false">tau*beta*EXP(alpha*(tau+zeta))*(0-(1/(alpha*psi)^2))*(-1+EXP(alpha*psi*size))</f>
        <v>344.690230711974</v>
      </c>
      <c r="F37" s="1" t="n">
        <f aca="false">2*tau*beta*EXP(alpha*(2*tau+zeta))*(1/(alpha*psi)^2)*(EXP(alpha*psi*size))</f>
        <v>3.86090827245542</v>
      </c>
      <c r="G37" s="1" t="n">
        <f aca="false">gamma*size</f>
        <v>210</v>
      </c>
      <c r="H37" s="1" t="n">
        <f aca="false">phi*beta*EXP(alpha*(zeta))*(0-1/(alpha*psi)^2)*((2/(alpha*psi))*(EXP(alpha*psi*size)-1)-(size*(EXP(alpha*psi*size)+1)))</f>
        <v>218.114298413737</v>
      </c>
      <c r="I37" s="1" t="n">
        <f aca="false">(phi*beta*EXP(alpha*(tau+zeta)))*(0-1/(alpha*psi)^2)*((1/(alpha*psi))*(1-EXP(alpha*psi*size))+size*EXP(alpha*psi*size))</f>
        <v>32.2650653435412</v>
      </c>
      <c r="J37" s="1" t="n">
        <f aca="false">(phi*beta*EXP(alpha*(2*tau+zeta)))*(1/(alpha*psi)^2)*(size*EXP(alpha*psi*size))</f>
        <v>0.810790737215637</v>
      </c>
      <c r="K37" s="1" t="n">
        <f aca="false">theta*beta*(-1/(alpha*psi)^2)*EXP(alpha*(tax!Tau+zeta))*(EXP(alpha*psi*tax!Size)-1)</f>
        <v>34.4690230711974</v>
      </c>
      <c r="L37" s="1" t="n">
        <f aca="false">theta*beta*(1/(alpha*psi)^2)*EXP(alpha*(2*tax!Tau+zeta+psi*tax!Size))</f>
        <v>0.193045413622771</v>
      </c>
      <c r="M37" s="1"/>
      <c r="N37" s="0" t="n">
        <f aca="false">A37</f>
        <v>42</v>
      </c>
      <c r="O37" s="1" t="n">
        <f aca="false">P37+Q37-R37</f>
        <v>3533.54368132561</v>
      </c>
      <c r="P37" s="1" t="n">
        <f aca="false">C37+D37</f>
        <v>3402.88862302326</v>
      </c>
      <c r="Q37" s="0" t="n">
        <f aca="false">2*E37+F37</f>
        <v>693.241369696403</v>
      </c>
      <c r="R37" s="0" t="n">
        <f aca="false">G37+H37+2*I37+J37+2*K37+L37</f>
        <v>562.586311394052</v>
      </c>
      <c r="T37" s="0" t="n">
        <f aca="false">O37/N37</f>
        <v>84.1319924125145</v>
      </c>
    </row>
    <row r="38" customFormat="false" ht="14.65" hidden="false" customHeight="false" outlineLevel="0" collapsed="false">
      <c r="C38" s="1"/>
      <c r="D38" s="1"/>
      <c r="L38" s="1"/>
      <c r="M38" s="1"/>
    </row>
    <row r="39" customFormat="false" ht="14.65" hidden="false" customHeight="false" outlineLevel="0" collapsed="false">
      <c r="A39" s="0" t="s">
        <v>9</v>
      </c>
      <c r="B39" s="0" t="s">
        <v>10</v>
      </c>
      <c r="C39" s="0" t="s">
        <v>11</v>
      </c>
      <c r="D39" s="0" t="s">
        <v>12</v>
      </c>
      <c r="E39" s="0" t="s">
        <v>13</v>
      </c>
      <c r="F39" s="0" t="s">
        <v>14</v>
      </c>
      <c r="G39" s="0" t="s">
        <v>15</v>
      </c>
      <c r="H39" s="0" t="s">
        <v>16</v>
      </c>
      <c r="I39" s="0" t="s">
        <v>17</v>
      </c>
      <c r="J39" s="0" t="s">
        <v>18</v>
      </c>
      <c r="K39" s="0" t="s">
        <v>19</v>
      </c>
      <c r="L39" s="0" t="s">
        <v>20</v>
      </c>
      <c r="M39" s="1"/>
      <c r="N39" s="0" t="s">
        <v>10</v>
      </c>
      <c r="O39" s="0" t="s">
        <v>21</v>
      </c>
      <c r="P39" s="0" t="s">
        <v>22</v>
      </c>
      <c r="Q39" s="0" t="s">
        <v>23</v>
      </c>
      <c r="R39" s="0" t="s">
        <v>24</v>
      </c>
    </row>
    <row r="40" customFormat="false" ht="14.65" hidden="false" customHeight="false" outlineLevel="0" collapsed="false">
      <c r="A40" s="0" t="n">
        <v>5</v>
      </c>
      <c r="B40" s="0" t="n">
        <v>0</v>
      </c>
      <c r="C40" s="1" t="n">
        <f aca="false">beta*(1/(alpha*psi))*(1/alpha)*((-1/alpha*psi)*(EXP(alpha*(zeta+psi*tax!Size))-EXP(alpha*zeta))+(tax!Size*EXP(alpha*zeta)))</f>
        <v>101.33509813013</v>
      </c>
      <c r="D40" s="1" t="n">
        <f aca="false">beta*(-1/(alpha*psi)^2)*(1/alpha)*(EXP(alpha*(tax!Tau+zeta))-EXP(alpha*(tax!Tau+zeta+psi*tax!Size)))</f>
        <v>374.279614120227</v>
      </c>
      <c r="E40" s="1" t="n">
        <f aca="false">tau*beta*EXP(alpha*(tau+zeta))*(0-(1/(alpha*psi)^2))*(-1+EXP(alpha*psi*size))</f>
        <v>0</v>
      </c>
      <c r="F40" s="1" t="n">
        <f aca="false">2*tau*beta*EXP(alpha*(2*tau+zeta))*(1/(alpha*psi)^2)*(EXP(alpha*psi*size))</f>
        <v>0</v>
      </c>
      <c r="G40" s="1" t="n">
        <f aca="false">gamma*size</f>
        <v>25</v>
      </c>
      <c r="H40" s="1" t="n">
        <f aca="false">phi*beta*EXP(alpha*(zeta))*(0-1/(alpha*psi)^2)*((2/(alpha*psi))*(EXP(alpha*psi*size)-1)-(size*(EXP(alpha*psi*size)+1)))</f>
        <v>1.55303892001457</v>
      </c>
      <c r="I40" s="1" t="n">
        <f aca="false">(phi*beta*EXP(alpha*(tau+zeta)))*(0-1/(alpha*psi)^2)*((1/(alpha*psi))*(1-EXP(alpha*psi*size))+size*EXP(alpha*psi*size))</f>
        <v>8.5804708929984</v>
      </c>
      <c r="J40" s="1" t="n">
        <f aca="false">(phi*beta*EXP(alpha*(2*tau+zeta)))*(1/(alpha*psi)^2)*(size*EXP(alpha*psi*size))</f>
        <v>28.8474905190243</v>
      </c>
      <c r="K40" s="1" t="n">
        <f aca="false">theta*beta*(-1/(alpha*psi)^2)*EXP(alpha*(tax!Tau+zeta))*(EXP(alpha*psi*tax!Size)-1)</f>
        <v>37.4279614120227</v>
      </c>
      <c r="L40" s="1" t="n">
        <f aca="false">theta*beta*(1/(alpha*psi)^2)*EXP(alpha*(2*tax!Tau+zeta+psi*tax!Size))</f>
        <v>57.6949810380487</v>
      </c>
      <c r="M40" s="1"/>
      <c r="N40" s="0" t="n">
        <f aca="false">B40</f>
        <v>0</v>
      </c>
      <c r="O40" s="1" t="n">
        <f aca="false">P40+Q40-R40</f>
        <v>270.502337163227</v>
      </c>
      <c r="P40" s="1" t="n">
        <f aca="false">C40+D40</f>
        <v>475.614712250357</v>
      </c>
      <c r="Q40" s="0" t="n">
        <f aca="false">2*E40+F40</f>
        <v>0</v>
      </c>
      <c r="R40" s="0" t="n">
        <f aca="false">G40+H40+2*I40+J40+2*K40+L40</f>
        <v>205.11237508713</v>
      </c>
    </row>
    <row r="41" customFormat="false" ht="14.65" hidden="false" customHeight="false" outlineLevel="0" collapsed="false">
      <c r="A41" s="0" t="n">
        <v>5</v>
      </c>
      <c r="B41" s="0" t="n">
        <v>1</v>
      </c>
      <c r="C41" s="1" t="n">
        <f aca="false">beta*(1/(alpha*psi))*(1/alpha)*((-1/alpha*psi)*(EXP(alpha*(zeta+psi*tax!Size))-EXP(alpha*zeta))+(tax!Size*EXP(alpha*zeta)))</f>
        <v>101.33509813013</v>
      </c>
      <c r="D41" s="1" t="n">
        <f aca="false">beta*(-1/(alpha*psi)^2)*(1/alpha)*(EXP(alpha*(tax!Tau+zeta))-EXP(alpha*(tax!Tau+zeta+psi*tax!Size)))</f>
        <v>338.662199664042</v>
      </c>
      <c r="E41" s="1" t="n">
        <f aca="false">tau*beta*EXP(alpha*(tau+zeta))*(0-(1/(alpha*psi)^2))*(-1+EXP(alpha*psi*size))</f>
        <v>33.8662199664042</v>
      </c>
      <c r="F41" s="1" t="n">
        <f aca="false">2*tau*beta*EXP(alpha*(2*tau+zeta))*(1/(alpha*psi)^2)*(EXP(alpha*psi*size))</f>
        <v>94.4733105482029</v>
      </c>
      <c r="G41" s="1" t="n">
        <f aca="false">gamma*size</f>
        <v>25</v>
      </c>
      <c r="H41" s="1" t="n">
        <f aca="false">phi*beta*EXP(alpha*(zeta))*(0-1/(alpha*psi)^2)*((2/(alpha*psi))*(EXP(alpha*psi*size)-1)-(size*(EXP(alpha*psi*size)+1)))</f>
        <v>1.55303892001457</v>
      </c>
      <c r="I41" s="1" t="n">
        <f aca="false">(phi*beta*EXP(alpha*(tau+zeta)))*(0-1/(alpha*psi)^2)*((1/(alpha*psi))*(1-EXP(alpha*psi*size))+size*EXP(alpha*psi*size))</f>
        <v>7.76393112835338</v>
      </c>
      <c r="J41" s="1" t="n">
        <f aca="false">(phi*beta*EXP(alpha*(2*tau+zeta)))*(1/(alpha*psi)^2)*(size*EXP(alpha*psi*size))</f>
        <v>23.6183276370507</v>
      </c>
      <c r="K41" s="1" t="n">
        <f aca="false">theta*beta*(-1/(alpha*psi)^2)*EXP(alpha*(tax!Tau+zeta))*(EXP(alpha*psi*tax!Size)-1)</f>
        <v>33.8662199664042</v>
      </c>
      <c r="L41" s="1" t="n">
        <f aca="false">theta*beta*(1/(alpha*psi)^2)*EXP(alpha*(2*tax!Tau+zeta+psi*tax!Size))</f>
        <v>47.2366552741015</v>
      </c>
      <c r="M41" s="1"/>
      <c r="N41" s="0" t="n">
        <f aca="false">B41</f>
        <v>1</v>
      </c>
      <c r="O41" s="1" t="n">
        <f aca="false">P41+Q41-R41</f>
        <v>421.534724254501</v>
      </c>
      <c r="P41" s="1" t="n">
        <f aca="false">C41+D41</f>
        <v>439.997297794171</v>
      </c>
      <c r="Q41" s="0" t="n">
        <f aca="false">2*E41+F41</f>
        <v>162.205750481011</v>
      </c>
      <c r="R41" s="0" t="n">
        <f aca="false">G41+H41+2*I41+J41+2*K41+L41</f>
        <v>180.668324020682</v>
      </c>
    </row>
    <row r="42" customFormat="false" ht="14.65" hidden="false" customHeight="false" outlineLevel="0" collapsed="false">
      <c r="A42" s="0" t="n">
        <v>5</v>
      </c>
      <c r="B42" s="0" t="n">
        <v>2</v>
      </c>
      <c r="C42" s="1" t="n">
        <f aca="false">beta*(1/(alpha*psi))*(1/alpha)*((-1/alpha*psi)*(EXP(alpha*(zeta+psi*tax!Size))-EXP(alpha*zeta))+(tax!Size*EXP(alpha*zeta)))</f>
        <v>101.33509813013</v>
      </c>
      <c r="D42" s="1" t="n">
        <f aca="false">beta*(-1/(alpha*psi)^2)*(1/alpha)*(EXP(alpha*(tax!Tau+zeta))-EXP(alpha*(tax!Tau+zeta+psi*tax!Size)))</f>
        <v>306.43423033039</v>
      </c>
      <c r="E42" s="1" t="n">
        <f aca="false">tau*beta*EXP(alpha*(tau+zeta))*(0-(1/(alpha*psi)^2))*(-1+EXP(alpha*psi*size))</f>
        <v>61.286846066078</v>
      </c>
      <c r="F42" s="1" t="n">
        <f aca="false">2*tau*beta*EXP(alpha*(2*tau+zeta))*(1/(alpha*psi)^2)*(EXP(alpha*psi*size))</f>
        <v>154.6964093818</v>
      </c>
      <c r="G42" s="1" t="n">
        <f aca="false">gamma*size</f>
        <v>25</v>
      </c>
      <c r="H42" s="1" t="n">
        <f aca="false">phi*beta*EXP(alpha*(zeta))*(0-1/(alpha*psi)^2)*((2/(alpha*psi))*(EXP(alpha*psi*size)-1)-(size*(EXP(alpha*psi*size)+1)))</f>
        <v>1.55303892001457</v>
      </c>
      <c r="I42" s="1" t="n">
        <f aca="false">(phi*beta*EXP(alpha*(tau+zeta)))*(0-1/(alpha*psi)^2)*((1/(alpha*psi))*(1-EXP(alpha*psi*size))+size*EXP(alpha*psi*size))</f>
        <v>7.02509539598828</v>
      </c>
      <c r="J42" s="1" t="n">
        <f aca="false">(phi*beta*EXP(alpha*(2*tau+zeta)))*(1/(alpha*psi)^2)*(size*EXP(alpha*psi*size))</f>
        <v>19.3370511727251</v>
      </c>
      <c r="K42" s="1" t="n">
        <f aca="false">theta*beta*(-1/(alpha*psi)^2)*EXP(alpha*(tax!Tau+zeta))*(EXP(alpha*psi*tax!Size)-1)</f>
        <v>30.643423033039</v>
      </c>
      <c r="L42" s="1" t="n">
        <f aca="false">theta*beta*(1/(alpha*psi)^2)*EXP(alpha*(2*tax!Tau+zeta+psi*tax!Size))</f>
        <v>38.6741023454501</v>
      </c>
      <c r="M42" s="1"/>
      <c r="N42" s="0" t="n">
        <f aca="false">B42</f>
        <v>2</v>
      </c>
      <c r="O42" s="1" t="n">
        <f aca="false">P42+Q42-R42</f>
        <v>525.138200678232</v>
      </c>
      <c r="P42" s="1" t="n">
        <f aca="false">C42+D42</f>
        <v>407.76932846052</v>
      </c>
      <c r="Q42" s="0" t="n">
        <f aca="false">2*E42+F42</f>
        <v>277.270101513957</v>
      </c>
      <c r="R42" s="0" t="n">
        <f aca="false">G42+H42+2*I42+J42+2*K42+L42</f>
        <v>159.901229296244</v>
      </c>
    </row>
    <row r="43" customFormat="false" ht="14.65" hidden="false" customHeight="false" outlineLevel="0" collapsed="false">
      <c r="A43" s="0" t="n">
        <v>5</v>
      </c>
      <c r="B43" s="0" t="n">
        <v>3</v>
      </c>
      <c r="C43" s="1" t="n">
        <f aca="false">beta*(1/(alpha*psi))*(1/alpha)*((-1/alpha*psi)*(EXP(alpha*(zeta+psi*tax!Size))-EXP(alpha*zeta))+(tax!Size*EXP(alpha*zeta)))</f>
        <v>101.33509813013</v>
      </c>
      <c r="D43" s="1" t="n">
        <f aca="false">beta*(-1/(alpha*psi)^2)*(1/alpha)*(EXP(alpha*(tax!Tau+zeta))-EXP(alpha*(tax!Tau+zeta+psi*tax!Size)))</f>
        <v>277.273157769987</v>
      </c>
      <c r="E43" s="1" t="n">
        <f aca="false">tau*beta*EXP(alpha*(tau+zeta))*(0-(1/(alpha*psi)^2))*(-1+EXP(alpha*psi*size))</f>
        <v>83.181947330996</v>
      </c>
      <c r="F43" s="1" t="n">
        <f aca="false">2*tau*beta*EXP(alpha*(2*tau+zeta))*(1/(alpha*psi)^2)*(EXP(alpha*psi*size))</f>
        <v>189.982061627432</v>
      </c>
      <c r="G43" s="1" t="n">
        <f aca="false">gamma*size</f>
        <v>25</v>
      </c>
      <c r="H43" s="1" t="n">
        <f aca="false">phi*beta*EXP(alpha*(zeta))*(0-1/(alpha*psi)^2)*((2/(alpha*psi))*(EXP(alpha*psi*size)-1)-(size*(EXP(alpha*psi*size)+1)))</f>
        <v>1.55303892001457</v>
      </c>
      <c r="I43" s="1" t="n">
        <f aca="false">(phi*beta*EXP(alpha*(tau+zeta)))*(0-1/(alpha*psi)^2)*((1/(alpha*psi))*(1-EXP(alpha*psi*size))+size*EXP(alpha*psi*size))</f>
        <v>6.35656917956234</v>
      </c>
      <c r="J43" s="1" t="n">
        <f aca="false">(phi*beta*EXP(alpha*(2*tau+zeta)))*(1/(alpha*psi)^2)*(size*EXP(alpha*psi*size))</f>
        <v>15.8318384689527</v>
      </c>
      <c r="K43" s="1" t="n">
        <f aca="false">theta*beta*(-1/(alpha*psi)^2)*EXP(alpha*(tax!Tau+zeta))*(EXP(alpha*psi*tax!Size)-1)</f>
        <v>27.7273157769987</v>
      </c>
      <c r="L43" s="1" t="n">
        <f aca="false">theta*beta*(1/(alpha*psi)^2)*EXP(alpha*(2*tax!Tau+zeta+psi*tax!Size))</f>
        <v>31.6636769379053</v>
      </c>
      <c r="M43" s="1"/>
      <c r="N43" s="0" t="n">
        <f aca="false">B43</f>
        <v>3</v>
      </c>
      <c r="O43" s="1" t="n">
        <f aca="false">P43+Q43-R43</f>
        <v>592.737887949546</v>
      </c>
      <c r="P43" s="1" t="n">
        <f aca="false">C43+D43</f>
        <v>378.608255900116</v>
      </c>
      <c r="Q43" s="0" t="n">
        <f aca="false">2*E43+F43</f>
        <v>356.345956289424</v>
      </c>
      <c r="R43" s="0" t="n">
        <f aca="false">G43+H43+2*I43+J43+2*K43+L43</f>
        <v>142.216324239995</v>
      </c>
    </row>
    <row r="44" customFormat="false" ht="14.65" hidden="false" customHeight="false" outlineLevel="0" collapsed="false">
      <c r="A44" s="0" t="n">
        <v>5</v>
      </c>
      <c r="B44" s="0" t="n">
        <v>4</v>
      </c>
      <c r="C44" s="1" t="n">
        <f aca="false">beta*(1/(alpha*psi))*(1/alpha)*((-1/alpha*psi)*(EXP(alpha*(zeta+psi*tax!Size))-EXP(alpha*zeta))+(tax!Size*EXP(alpha*zeta)))</f>
        <v>101.33509813013</v>
      </c>
      <c r="D44" s="1" t="n">
        <f aca="false">beta*(-1/(alpha*psi)^2)*(1/alpha)*(EXP(alpha*(tax!Tau+zeta))-EXP(alpha*(tax!Tau+zeta+psi*tax!Size)))</f>
        <v>250.887128167272</v>
      </c>
      <c r="E44" s="1" t="n">
        <f aca="false">tau*beta*EXP(alpha*(tau+zeta))*(0-(1/(alpha*psi)^2))*(-1+EXP(alpha*psi*size))</f>
        <v>100.354851266909</v>
      </c>
      <c r="F44" s="1" t="n">
        <f aca="false">2*tau*beta*EXP(alpha*(2*tau+zeta))*(1/(alpha*psi)^2)*(EXP(alpha*psi*size))</f>
        <v>207.392208516713</v>
      </c>
      <c r="G44" s="1" t="n">
        <f aca="false">gamma*size</f>
        <v>25</v>
      </c>
      <c r="H44" s="1" t="n">
        <f aca="false">phi*beta*EXP(alpha*(zeta))*(0-1/(alpha*psi)^2)*((2/(alpha*psi))*(EXP(alpha*psi*size)-1)-(size*(EXP(alpha*psi*size)+1)))</f>
        <v>1.55303892001457</v>
      </c>
      <c r="I44" s="1" t="n">
        <f aca="false">(phi*beta*EXP(alpha*(tau+zeta)))*(0-1/(alpha*psi)^2)*((1/(alpha*psi))*(1-EXP(alpha*psi*size))+size*EXP(alpha*psi*size))</f>
        <v>5.75166164400215</v>
      </c>
      <c r="J44" s="1" t="n">
        <f aca="false">(phi*beta*EXP(alpha*(2*tau+zeta)))*(1/(alpha*psi)^2)*(size*EXP(alpha*psi*size))</f>
        <v>12.9620130322946</v>
      </c>
      <c r="K44" s="1" t="n">
        <f aca="false">theta*beta*(-1/(alpha*psi)^2)*EXP(alpha*(tax!Tau+zeta))*(EXP(alpha*psi*tax!Size)-1)</f>
        <v>25.0887128167272</v>
      </c>
      <c r="L44" s="1" t="n">
        <f aca="false">theta*beta*(1/(alpha*psi)^2)*EXP(alpha*(2*tax!Tau+zeta+psi*tax!Size))</f>
        <v>25.9240260645891</v>
      </c>
      <c r="M44" s="1"/>
      <c r="N44" s="0" t="n">
        <f aca="false">B44</f>
        <v>4</v>
      </c>
      <c r="O44" s="1" t="n">
        <f aca="false">P44+Q44-R44</f>
        <v>633.204310409576</v>
      </c>
      <c r="P44" s="1" t="n">
        <f aca="false">C44+D44</f>
        <v>352.222226297402</v>
      </c>
      <c r="Q44" s="0" t="n">
        <f aca="false">2*E44+F44</f>
        <v>408.101911050531</v>
      </c>
      <c r="R44" s="0" t="n">
        <f aca="false">G44+H44+2*I44+J44+2*K44+L44</f>
        <v>127.119826938357</v>
      </c>
    </row>
    <row r="45" customFormat="false" ht="14.65" hidden="false" customHeight="false" outlineLevel="0" collapsed="false">
      <c r="A45" s="0" t="n">
        <v>5</v>
      </c>
      <c r="B45" s="0" t="n">
        <v>5</v>
      </c>
      <c r="C45" s="1" t="n">
        <f aca="false">beta*(1/(alpha*psi))*(1/alpha)*((-1/alpha*psi)*(EXP(alpha*(zeta+psi*tax!Size))-EXP(alpha*zeta))+(tax!Size*EXP(alpha*zeta)))</f>
        <v>101.33509813013</v>
      </c>
      <c r="D45" s="1" t="n">
        <f aca="false">beta*(-1/(alpha*psi)^2)*(1/alpha)*(EXP(alpha*(tax!Tau+zeta))-EXP(alpha*(tax!Tau+zeta+psi*tax!Size)))</f>
        <v>227.012061269331</v>
      </c>
      <c r="E45" s="1" t="n">
        <f aca="false">tau*beta*EXP(alpha*(tau+zeta))*(0-(1/(alpha*psi)^2))*(-1+EXP(alpha*psi*size))</f>
        <v>113.506030634666</v>
      </c>
      <c r="F45" s="1" t="n">
        <f aca="false">2*tau*beta*EXP(alpha*(2*tau+zeta))*(1/(alpha*psi)^2)*(EXP(alpha*psi*size))</f>
        <v>212.247973826743</v>
      </c>
      <c r="G45" s="1" t="n">
        <f aca="false">gamma*size</f>
        <v>25</v>
      </c>
      <c r="H45" s="1" t="n">
        <f aca="false">phi*beta*EXP(alpha*(zeta))*(0-1/(alpha*psi)^2)*((2/(alpha*psi))*(EXP(alpha*psi*size)-1)-(size*(EXP(alpha*psi*size)+1)))</f>
        <v>1.55303892001457</v>
      </c>
      <c r="I45" s="1" t="n">
        <f aca="false">(phi*beta*EXP(alpha*(tau+zeta)))*(0-1/(alpha*psi)^2)*((1/(alpha*psi))*(1-EXP(alpha*psi*size))+size*EXP(alpha*psi*size))</f>
        <v>5.20431867137537</v>
      </c>
      <c r="J45" s="1" t="n">
        <f aca="false">(phi*beta*EXP(alpha*(2*tau+zeta)))*(1/(alpha*psi)^2)*(size*EXP(alpha*psi*size))</f>
        <v>10.6123986913372</v>
      </c>
      <c r="K45" s="1" t="n">
        <f aca="false">theta*beta*(-1/(alpha*psi)^2)*EXP(alpha*(tax!Tau+zeta))*(EXP(alpha*psi*tax!Size)-1)</f>
        <v>22.7012061269331</v>
      </c>
      <c r="L45" s="1" t="n">
        <f aca="false">theta*beta*(1/(alpha*psi)^2)*EXP(alpha*(2*tax!Tau+zeta+psi*tax!Size))</f>
        <v>21.2247973826743</v>
      </c>
      <c r="M45" s="1"/>
      <c r="N45" s="0" t="n">
        <f aca="false">B45</f>
        <v>5</v>
      </c>
      <c r="O45" s="1" t="n">
        <f aca="false">P45+Q45-R45</f>
        <v>653.405909904892</v>
      </c>
      <c r="P45" s="1" t="n">
        <f aca="false">C45+D45</f>
        <v>328.347159399461</v>
      </c>
      <c r="Q45" s="0" t="n">
        <f aca="false">2*E45+F45</f>
        <v>439.260035096074</v>
      </c>
      <c r="R45" s="0" t="n">
        <f aca="false">G45+H45+2*I45+J45+2*K45+L45</f>
        <v>114.201284590643</v>
      </c>
    </row>
    <row r="46" customFormat="false" ht="14.65" hidden="false" customHeight="false" outlineLevel="0" collapsed="false">
      <c r="A46" s="0" t="n">
        <v>5</v>
      </c>
      <c r="B46" s="0" t="n">
        <v>6</v>
      </c>
      <c r="C46" s="1" t="n">
        <f aca="false">beta*(1/(alpha*psi))*(1/alpha)*((-1/alpha*psi)*(EXP(alpha*(zeta+psi*tax!Size))-EXP(alpha*zeta))+(tax!Size*EXP(alpha*zeta)))</f>
        <v>101.33509813013</v>
      </c>
      <c r="D46" s="1" t="n">
        <f aca="false">beta*(-1/(alpha*psi)^2)*(1/alpha)*(EXP(alpha*(tax!Tau+zeta))-EXP(alpha*(tax!Tau+zeta+psi*tax!Size)))</f>
        <v>205.409007381963</v>
      </c>
      <c r="E46" s="1" t="n">
        <f aca="false">tau*beta*EXP(alpha*(tau+zeta))*(0-(1/(alpha*psi)^2))*(-1+EXP(alpha*psi*size))</f>
        <v>123.245404429178</v>
      </c>
      <c r="F46" s="1" t="n">
        <f aca="false">2*tau*beta*EXP(alpha*(2*tau+zeta))*(1/(alpha*psi)^2)*(EXP(alpha*psi*size))</f>
        <v>208.528732140534</v>
      </c>
      <c r="G46" s="1" t="n">
        <f aca="false">gamma*size</f>
        <v>25</v>
      </c>
      <c r="H46" s="1" t="n">
        <f aca="false">phi*beta*EXP(alpha*(zeta))*(0-1/(alpha*psi)^2)*((2/(alpha*psi))*(EXP(alpha*psi*size)-1)-(size*(EXP(alpha*psi*size)+1)))</f>
        <v>1.55303892001457</v>
      </c>
      <c r="I46" s="1" t="n">
        <f aca="false">(phi*beta*EXP(alpha*(tau+zeta)))*(0-1/(alpha*psi)^2)*((1/(alpha*psi))*(1-EXP(alpha*psi*size))+size*EXP(alpha*psi*size))</f>
        <v>4.70906226924362</v>
      </c>
      <c r="J46" s="1" t="n">
        <f aca="false">(phi*beta*EXP(alpha*(2*tau+zeta)))*(1/(alpha*psi)^2)*(size*EXP(alpha*psi*size))</f>
        <v>8.68869717252225</v>
      </c>
      <c r="K46" s="1" t="n">
        <f aca="false">theta*beta*(-1/(alpha*psi)^2)*EXP(alpha*(tax!Tau+zeta))*(EXP(alpha*psi*tax!Size)-1)</f>
        <v>20.5409007381963</v>
      </c>
      <c r="L46" s="1" t="n">
        <f aca="false">theta*beta*(1/(alpha*psi)^2)*EXP(alpha*(2*tax!Tau+zeta+psi*tax!Size))</f>
        <v>17.3773943450445</v>
      </c>
      <c r="M46" s="1"/>
      <c r="N46" s="0" t="n">
        <f aca="false">B46</f>
        <v>6</v>
      </c>
      <c r="O46" s="1" t="n">
        <f aca="false">P46+Q46-R46</f>
        <v>658.644590058521</v>
      </c>
      <c r="P46" s="1" t="n">
        <f aca="false">C46+D46</f>
        <v>306.744105512093</v>
      </c>
      <c r="Q46" s="0" t="n">
        <f aca="false">2*E46+F46</f>
        <v>455.019540998889</v>
      </c>
      <c r="R46" s="0" t="n">
        <f aca="false">G46+H46+2*I46+J46+2*K46+L46</f>
        <v>103.119056452461</v>
      </c>
    </row>
    <row r="47" customFormat="false" ht="14.65" hidden="false" customHeight="false" outlineLevel="0" collapsed="false">
      <c r="A47" s="0" t="n">
        <v>5</v>
      </c>
      <c r="B47" s="0" t="n">
        <v>7</v>
      </c>
      <c r="C47" s="1" t="n">
        <f aca="false">beta*(1/(alpha*psi))*(1/alpha)*((-1/alpha*psi)*(EXP(alpha*(zeta+psi*tax!Size))-EXP(alpha*zeta))+(tax!Size*EXP(alpha*zeta)))</f>
        <v>101.33509813013</v>
      </c>
      <c r="D47" s="1" t="n">
        <f aca="false">beta*(-1/(alpha*psi)^2)*(1/alpha)*(EXP(alpha*(tax!Tau+zeta))-EXP(alpha*(tax!Tau+zeta+psi*tax!Size)))</f>
        <v>185.861755880825</v>
      </c>
      <c r="E47" s="1" t="n">
        <f aca="false">tau*beta*EXP(alpha*(tau+zeta))*(0-(1/(alpha*psi)^2))*(-1+EXP(alpha*psi*size))</f>
        <v>130.103229116577</v>
      </c>
      <c r="F47" s="1" t="n">
        <f aca="false">2*tau*beta*EXP(alpha*(2*tau+zeta))*(1/(alpha*psi)^2)*(EXP(alpha*psi*size))</f>
        <v>199.183700221119</v>
      </c>
      <c r="G47" s="1" t="n">
        <f aca="false">gamma*size</f>
        <v>25</v>
      </c>
      <c r="H47" s="1" t="n">
        <f aca="false">phi*beta*EXP(alpha*(zeta))*(0-1/(alpha*psi)^2)*((2/(alpha*psi))*(EXP(alpha*psi*size)-1)-(size*(EXP(alpha*psi*size)+1)))</f>
        <v>1.55303892001457</v>
      </c>
      <c r="I47" s="1" t="n">
        <f aca="false">(phi*beta*EXP(alpha*(tau+zeta)))*(0-1/(alpha*psi)^2)*((1/(alpha*psi))*(1-EXP(alpha*psi*size))+size*EXP(alpha*psi*size))</f>
        <v>4.26093574507296</v>
      </c>
      <c r="J47" s="1" t="n">
        <f aca="false">(phi*beta*EXP(alpha*(2*tau+zeta)))*(1/(alpha*psi)^2)*(size*EXP(alpha*psi*size))</f>
        <v>7.11370357932568</v>
      </c>
      <c r="K47" s="1" t="n">
        <f aca="false">theta*beta*(-1/(alpha*psi)^2)*EXP(alpha*(tax!Tau+zeta))*(EXP(alpha*psi*tax!Size)-1)</f>
        <v>18.5861755880825</v>
      </c>
      <c r="L47" s="1" t="n">
        <f aca="false">theta*beta*(1/(alpha*psi)^2)*EXP(alpha*(2*tax!Tau+zeta+psi*tax!Size))</f>
        <v>14.2274071586514</v>
      </c>
      <c r="M47" s="1"/>
      <c r="N47" s="0" t="n">
        <f aca="false">B47</f>
        <v>7</v>
      </c>
      <c r="O47" s="1" t="n">
        <f aca="false">P47+Q47-R47</f>
        <v>652.998640140925</v>
      </c>
      <c r="P47" s="1" t="n">
        <f aca="false">C47+D47</f>
        <v>287.196854010954</v>
      </c>
      <c r="Q47" s="0" t="n">
        <f aca="false">2*E47+F47</f>
        <v>459.390158454273</v>
      </c>
      <c r="R47" s="0" t="n">
        <f aca="false">G47+H47+2*I47+J47+2*K47+L47</f>
        <v>93.5883723243024</v>
      </c>
    </row>
    <row r="48" customFormat="false" ht="14.65" hidden="false" customHeight="false" outlineLevel="0" collapsed="false">
      <c r="A48" s="0" t="n">
        <v>5</v>
      </c>
      <c r="B48" s="0" t="n">
        <v>8</v>
      </c>
      <c r="C48" s="1" t="n">
        <f aca="false">beta*(1/(alpha*psi))*(1/alpha)*((-1/alpha*psi)*(EXP(alpha*(zeta+psi*tax!Size))-EXP(alpha*zeta))+(tax!Size*EXP(alpha*zeta)))</f>
        <v>101.33509813013</v>
      </c>
      <c r="D48" s="1" t="n">
        <f aca="false">beta*(-1/(alpha*psi)^2)*(1/alpha)*(EXP(alpha*(tax!Tau+zeta))-EXP(alpha*(tax!Tau+zeta+psi*tax!Size)))</f>
        <v>168.174671302835</v>
      </c>
      <c r="E48" s="1" t="n">
        <f aca="false">tau*beta*EXP(alpha*(tau+zeta))*(0-(1/(alpha*psi)^2))*(-1+EXP(alpha*psi*size))</f>
        <v>134.539737042268</v>
      </c>
      <c r="F48" s="1" t="n">
        <f aca="false">2*tau*beta*EXP(alpha*(2*tau+zeta))*(1/(alpha*psi)^2)*(EXP(alpha*psi*size))</f>
        <v>186.374652437595</v>
      </c>
      <c r="G48" s="1" t="n">
        <f aca="false">gamma*size</f>
        <v>25</v>
      </c>
      <c r="H48" s="1" t="n">
        <f aca="false">phi*beta*EXP(alpha*(zeta))*(0-1/(alpha*psi)^2)*((2/(alpha*psi))*(EXP(alpha*psi*size)-1)-(size*(EXP(alpha*psi*size)+1)))</f>
        <v>1.55303892001457</v>
      </c>
      <c r="I48" s="1" t="n">
        <f aca="false">(phi*beta*EXP(alpha*(tau+zeta)))*(0-1/(alpha*psi)^2)*((1/(alpha*psi))*(1-EXP(alpha*psi*size))+size*EXP(alpha*psi*size))</f>
        <v>3.85545409798894</v>
      </c>
      <c r="J48" s="1" t="n">
        <f aca="false">(phi*beta*EXP(alpha*(2*tau+zeta)))*(1/(alpha*psi)^2)*(size*EXP(alpha*psi*size))</f>
        <v>5.82420788867485</v>
      </c>
      <c r="K48" s="1" t="n">
        <f aca="false">theta*beta*(-1/(alpha*psi)^2)*EXP(alpha*(tax!Tau+zeta))*(EXP(alpha*psi*tax!Size)-1)</f>
        <v>16.8174671302835</v>
      </c>
      <c r="L48" s="1" t="n">
        <f aca="false">theta*beta*(1/(alpha*psi)^2)*EXP(alpha*(2*tax!Tau+zeta+psi*tax!Size))</f>
        <v>11.6484157773497</v>
      </c>
      <c r="M48" s="1"/>
      <c r="N48" s="0" t="n">
        <f aca="false">B48</f>
        <v>8</v>
      </c>
      <c r="O48" s="1" t="n">
        <f aca="false">P48+Q48-R48</f>
        <v>639.592390912512</v>
      </c>
      <c r="P48" s="1" t="n">
        <f aca="false">C48+D48</f>
        <v>269.509769432965</v>
      </c>
      <c r="Q48" s="0" t="n">
        <f aca="false">2*E48+F48</f>
        <v>455.454126522131</v>
      </c>
      <c r="R48" s="0" t="n">
        <f aca="false">G48+H48+2*I48+J48+2*K48+L48</f>
        <v>85.371505042584</v>
      </c>
    </row>
    <row r="49" customFormat="false" ht="14.65" hidden="false" customHeight="false" outlineLevel="0" collapsed="false">
      <c r="A49" s="0" t="n">
        <v>5</v>
      </c>
      <c r="B49" s="0" t="n">
        <v>9</v>
      </c>
      <c r="C49" s="1" t="n">
        <f aca="false">beta*(1/(alpha*psi))*(1/alpha)*((-1/alpha*psi)*(EXP(alpha*(zeta+psi*tax!Size))-EXP(alpha*zeta))+(tax!Size*EXP(alpha*zeta)))</f>
        <v>101.33509813013</v>
      </c>
      <c r="D49" s="1" t="n">
        <f aca="false">beta*(-1/(alpha*psi)^2)*(1/alpha)*(EXP(alpha*(tax!Tau+zeta))-EXP(alpha*(tax!Tau+zeta+psi*tax!Size)))</f>
        <v>152.170735360704</v>
      </c>
      <c r="E49" s="1" t="n">
        <f aca="false">tau*beta*EXP(alpha*(tau+zeta))*(0-(1/(alpha*psi)^2))*(-1+EXP(alpha*psi*size))</f>
        <v>136.953661824633</v>
      </c>
      <c r="F49" s="1" t="n">
        <f aca="false">2*tau*beta*EXP(alpha*(2*tau+zeta))*(1/(alpha*psi)^2)*(EXP(alpha*psi*size))</f>
        <v>171.664491987989</v>
      </c>
      <c r="G49" s="1" t="n">
        <f aca="false">gamma*size</f>
        <v>25</v>
      </c>
      <c r="H49" s="1" t="n">
        <f aca="false">phi*beta*EXP(alpha*(zeta))*(0-1/(alpha*psi)^2)*((2/(alpha*psi))*(EXP(alpha*psi*size)-1)-(size*(EXP(alpha*psi*size)+1)))</f>
        <v>1.55303892001457</v>
      </c>
      <c r="I49" s="1" t="n">
        <f aca="false">(phi*beta*EXP(alpha*(tau+zeta)))*(0-1/(alpha*psi)^2)*((1/(alpha*psi))*(1-EXP(alpha*psi*size))+size*EXP(alpha*psi*size))</f>
        <v>3.48855913138047</v>
      </c>
      <c r="J49" s="1" t="n">
        <f aca="false">(phi*beta*EXP(alpha*(2*tau+zeta)))*(1/(alpha*psi)^2)*(size*EXP(alpha*psi*size))</f>
        <v>4.76845811077748</v>
      </c>
      <c r="K49" s="1" t="n">
        <f aca="false">theta*beta*(-1/(alpha*psi)^2)*EXP(alpha*(tax!Tau+zeta))*(EXP(alpha*psi*tax!Size)-1)</f>
        <v>15.2170735360704</v>
      </c>
      <c r="L49" s="1" t="n">
        <f aca="false">theta*beta*(1/(alpha*psi)^2)*EXP(alpha*(2*tax!Tau+zeta+psi*tax!Size))</f>
        <v>9.53691622155496</v>
      </c>
      <c r="M49" s="1"/>
      <c r="N49" s="0" t="n">
        <f aca="false">B49</f>
        <v>9</v>
      </c>
      <c r="O49" s="1" t="n">
        <f aca="false">P49+Q49-R49</f>
        <v>620.80797054084</v>
      </c>
      <c r="P49" s="1" t="n">
        <f aca="false">C49+D49</f>
        <v>253.505833490833</v>
      </c>
      <c r="Q49" s="0" t="n">
        <f aca="false">2*E49+F49</f>
        <v>445.571815637256</v>
      </c>
      <c r="R49" s="0" t="n">
        <f aca="false">G49+H49+2*I49+J49+2*K49+L49</f>
        <v>78.2696785872487</v>
      </c>
    </row>
    <row r="50" customFormat="false" ht="14.65" hidden="false" customHeight="false" outlineLevel="0" collapsed="false">
      <c r="A50" s="0" t="n">
        <v>5</v>
      </c>
      <c r="B50" s="0" t="n">
        <v>10</v>
      </c>
      <c r="C50" s="1" t="n">
        <f aca="false">beta*(1/(alpha*psi))*(1/alpha)*((-1/alpha*psi)*(EXP(alpha*(zeta+psi*tax!Size))-EXP(alpha*zeta))+(tax!Size*EXP(alpha*zeta)))</f>
        <v>101.33509813013</v>
      </c>
      <c r="D50" s="1" t="n">
        <f aca="false">beta*(-1/(alpha*psi)^2)*(1/alpha)*(EXP(alpha*(tax!Tau+zeta))-EXP(alpha*(tax!Tau+zeta+psi*tax!Size)))</f>
        <v>137.689775284412</v>
      </c>
      <c r="E50" s="1" t="n">
        <f aca="false">tau*beta*EXP(alpha*(tau+zeta))*(0-(1/(alpha*psi)^2))*(-1+EXP(alpha*psi*size))</f>
        <v>137.689775284412</v>
      </c>
      <c r="F50" s="1" t="n">
        <f aca="false">2*tau*beta*EXP(alpha*(2*tau+zeta))*(1/(alpha*psi)^2)*(EXP(alpha*psi*size))</f>
        <v>156.163332002306</v>
      </c>
      <c r="G50" s="1" t="n">
        <f aca="false">gamma*size</f>
        <v>25</v>
      </c>
      <c r="H50" s="1" t="n">
        <f aca="false">phi*beta*EXP(alpha*(zeta))*(0-1/(alpha*psi)^2)*((2/(alpha*psi))*(EXP(alpha*psi*size)-1)-(size*(EXP(alpha*psi*size)+1)))</f>
        <v>1.55303892001457</v>
      </c>
      <c r="I50" s="1" t="n">
        <f aca="false">(phi*beta*EXP(alpha*(tau+zeta)))*(0-1/(alpha*psi)^2)*((1/(alpha*psi))*(1-EXP(alpha*psi*size))+size*EXP(alpha*psi*size))</f>
        <v>3.15657883710408</v>
      </c>
      <c r="J50" s="1" t="n">
        <f aca="false">(phi*beta*EXP(alpha*(2*tau+zeta)))*(1/(alpha*psi)^2)*(size*EXP(alpha*psi*size))</f>
        <v>3.90408330005766</v>
      </c>
      <c r="K50" s="1" t="n">
        <f aca="false">theta*beta*(-1/(alpha*psi)^2)*EXP(alpha*(tax!Tau+zeta))*(EXP(alpha*psi*tax!Size)-1)</f>
        <v>13.7689775284412</v>
      </c>
      <c r="L50" s="1" t="n">
        <f aca="false">theta*beta*(1/(alpha*psi)^2)*EXP(alpha*(2*tax!Tau+zeta+psi*tax!Size))</f>
        <v>7.80816660011531</v>
      </c>
      <c r="M50" s="1"/>
      <c r="N50" s="0" t="n">
        <f aca="false">B50</f>
        <v>10</v>
      </c>
      <c r="O50" s="1" t="n">
        <f aca="false">P50+Q50-R50</f>
        <v>598.451354434395</v>
      </c>
      <c r="P50" s="1" t="n">
        <f aca="false">C50+D50</f>
        <v>239.024873414542</v>
      </c>
      <c r="Q50" s="0" t="n">
        <f aca="false">2*E50+F50</f>
        <v>431.542882571131</v>
      </c>
      <c r="R50" s="0" t="n">
        <f aca="false">G50+H50+2*I50+J50+2*K50+L50</f>
        <v>72.1164015512782</v>
      </c>
    </row>
    <row r="51" customFormat="false" ht="14.65" hidden="false" customHeight="false" outlineLevel="0" collapsed="false">
      <c r="A51" s="0" t="n">
        <v>5</v>
      </c>
      <c r="B51" s="0" t="n">
        <v>11</v>
      </c>
      <c r="C51" s="1" t="n">
        <f aca="false">beta*(1/(alpha*psi))*(1/alpha)*((-1/alpha*psi)*(EXP(alpha*(zeta+psi*tax!Size))-EXP(alpha*zeta))+(tax!Size*EXP(alpha*zeta)))</f>
        <v>101.33509813013</v>
      </c>
      <c r="D51" s="1" t="n">
        <f aca="false">beta*(-1/(alpha*psi)^2)*(1/alpha)*(EXP(alpha*(tax!Tau+zeta))-EXP(alpha*(tax!Tau+zeta+psi*tax!Size)))</f>
        <v>124.586860758299</v>
      </c>
      <c r="E51" s="1" t="n">
        <f aca="false">tau*beta*EXP(alpha*(tau+zeta))*(0-(1/(alpha*psi)^2))*(-1+EXP(alpha*psi*size))</f>
        <v>137.045546834129</v>
      </c>
      <c r="F51" s="1" t="n">
        <f aca="false">2*tau*beta*EXP(alpha*(2*tau+zeta))*(1/(alpha*psi)^2)*(EXP(alpha*psi*size))</f>
        <v>140.641294654757</v>
      </c>
      <c r="G51" s="1" t="n">
        <f aca="false">gamma*size</f>
        <v>25</v>
      </c>
      <c r="H51" s="1" t="n">
        <f aca="false">phi*beta*EXP(alpha*(zeta))*(0-1/(alpha*psi)^2)*((2/(alpha*psi))*(EXP(alpha*psi*size)-1)-(size*(EXP(alpha*psi*size)+1)))</f>
        <v>1.55303892001457</v>
      </c>
      <c r="I51" s="1" t="n">
        <f aca="false">(phi*beta*EXP(alpha*(tau+zeta)))*(0-1/(alpha*psi)^2)*((1/(alpha*psi))*(1-EXP(alpha*psi*size))+size*EXP(alpha*psi*size))</f>
        <v>2.8561906447922</v>
      </c>
      <c r="J51" s="1" t="n">
        <f aca="false">(phi*beta*EXP(alpha*(2*tau+zeta)))*(1/(alpha*psi)^2)*(size*EXP(alpha*psi*size))</f>
        <v>3.19639306033538</v>
      </c>
      <c r="K51" s="1" t="n">
        <f aca="false">theta*beta*(-1/(alpha*psi)^2)*EXP(alpha*(tax!Tau+zeta))*(EXP(alpha*psi*tax!Size)-1)</f>
        <v>12.4586860758299</v>
      </c>
      <c r="L51" s="1" t="n">
        <f aca="false">theta*beta*(1/(alpha*psi)^2)*EXP(alpha*(2*tax!Tau+zeta+psi*tax!Size))</f>
        <v>6.39278612067076</v>
      </c>
      <c r="M51" s="1"/>
      <c r="N51" s="0" t="n">
        <f aca="false">B51</f>
        <v>11</v>
      </c>
      <c r="O51" s="1" t="n">
        <f aca="false">P51+Q51-R51</f>
        <v>573.882375669178</v>
      </c>
      <c r="P51" s="1" t="n">
        <f aca="false">C51+D51</f>
        <v>225.921958888429</v>
      </c>
      <c r="Q51" s="0" t="n">
        <f aca="false">2*E51+F51</f>
        <v>414.732388323015</v>
      </c>
      <c r="R51" s="0" t="n">
        <f aca="false">G51+H51+2*I51+J51+2*K51+L51</f>
        <v>66.7719715422649</v>
      </c>
    </row>
    <row r="52" customFormat="false" ht="14.65" hidden="false" customHeight="false" outlineLevel="0" collapsed="false">
      <c r="A52" s="0" t="n">
        <v>5</v>
      </c>
      <c r="B52" s="0" t="n">
        <v>12</v>
      </c>
      <c r="C52" s="1" t="n">
        <f aca="false">beta*(1/(alpha*psi))*(1/alpha)*((-1/alpha*psi)*(EXP(alpha*(zeta+psi*tax!Size))-EXP(alpha*zeta))+(tax!Size*EXP(alpha*zeta)))</f>
        <v>101.33509813013</v>
      </c>
      <c r="D52" s="1" t="n">
        <f aca="false">beta*(-1/(alpha*psi)^2)*(1/alpha)*(EXP(alpha*(tax!Tau+zeta))-EXP(alpha*(tax!Tau+zeta+psi*tax!Size)))</f>
        <v>112.730853409745</v>
      </c>
      <c r="E52" s="1" t="n">
        <f aca="false">tau*beta*EXP(alpha*(tau+zeta))*(0-(1/(alpha*psi)^2))*(-1+EXP(alpha*psi*size))</f>
        <v>135.277024091694</v>
      </c>
      <c r="F52" s="1" t="n">
        <f aca="false">2*tau*beta*EXP(alpha*(2*tau+zeta))*(1/(alpha*psi)^2)*(EXP(alpha*psi*size))</f>
        <v>125.615294276238</v>
      </c>
      <c r="G52" s="1" t="n">
        <f aca="false">gamma*size</f>
        <v>25</v>
      </c>
      <c r="H52" s="1" t="n">
        <f aca="false">phi*beta*EXP(alpha*(zeta))*(0-1/(alpha*psi)^2)*((2/(alpha*psi))*(EXP(alpha*psi*size)-1)-(size*(EXP(alpha*psi*size)+1)))</f>
        <v>1.55303892001457</v>
      </c>
      <c r="I52" s="1" t="n">
        <f aca="false">(phi*beta*EXP(alpha*(tau+zeta)))*(0-1/(alpha*psi)^2)*((1/(alpha*psi))*(1-EXP(alpha*psi*size))+size*EXP(alpha*psi*size))</f>
        <v>2.58438816845224</v>
      </c>
      <c r="J52" s="1" t="n">
        <f aca="false">(phi*beta*EXP(alpha*(2*tau+zeta)))*(1/(alpha*psi)^2)*(size*EXP(alpha*psi*size))</f>
        <v>2.61698529742162</v>
      </c>
      <c r="K52" s="1" t="n">
        <f aca="false">theta*beta*(-1/(alpha*psi)^2)*EXP(alpha*(tax!Tau+zeta))*(EXP(alpha*psi*tax!Size)-1)</f>
        <v>11.2730853409745</v>
      </c>
      <c r="L52" s="1" t="n">
        <f aca="false">theta*beta*(1/(alpha*psi)^2)*EXP(alpha*(2*tax!Tau+zeta+psi*tax!Size))</f>
        <v>5.23397059484324</v>
      </c>
      <c r="M52" s="1"/>
      <c r="N52" s="0" t="n">
        <f aca="false">B52</f>
        <v>12</v>
      </c>
      <c r="O52" s="1" t="n">
        <f aca="false">P52+Q52-R52</f>
        <v>548.116352168367</v>
      </c>
      <c r="P52" s="1" t="n">
        <f aca="false">C52+D52</f>
        <v>214.065951539875</v>
      </c>
      <c r="Q52" s="0" t="n">
        <f aca="false">2*E52+F52</f>
        <v>396.169342459626</v>
      </c>
      <c r="R52" s="0" t="n">
        <f aca="false">G52+H52+2*I52+J52+2*K52+L52</f>
        <v>62.1189418311329</v>
      </c>
    </row>
    <row r="53" customFormat="false" ht="14.65" hidden="false" customHeight="false" outlineLevel="0" collapsed="false">
      <c r="A53" s="0" t="n">
        <v>5</v>
      </c>
      <c r="B53" s="0" t="n">
        <v>13</v>
      </c>
      <c r="C53" s="1" t="n">
        <f aca="false">beta*(1/(alpha*psi))*(1/alpha)*((-1/alpha*psi)*(EXP(alpha*(zeta+psi*tax!Size))-EXP(alpha*zeta))+(tax!Size*EXP(alpha*zeta)))</f>
        <v>101.33509813013</v>
      </c>
      <c r="D53" s="1" t="n">
        <f aca="false">beta*(-1/(alpha*psi)^2)*(1/alpha)*(EXP(alpha*(tax!Tau+zeta))-EXP(alpha*(tax!Tau+zeta+psi*tax!Size)))</f>
        <v>102.003094332264</v>
      </c>
      <c r="E53" s="1" t="n">
        <f aca="false">tau*beta*EXP(alpha*(tau+zeta))*(0-(1/(alpha*psi)^2))*(-1+EXP(alpha*psi*size))</f>
        <v>132.604022631943</v>
      </c>
      <c r="F53" s="1" t="n">
        <f aca="false">2*tau*beta*EXP(alpha*(2*tau+zeta))*(1/(alpha*psi)^2)*(EXP(alpha*psi*size))</f>
        <v>111.415529854304</v>
      </c>
      <c r="G53" s="1" t="n">
        <f aca="false">gamma*size</f>
        <v>25</v>
      </c>
      <c r="H53" s="1" t="n">
        <f aca="false">phi*beta*EXP(alpha*(zeta))*(0-1/(alpha*psi)^2)*((2/(alpha*psi))*(EXP(alpha*psi*size)-1)-(size*(EXP(alpha*psi*size)+1)))</f>
        <v>1.55303892001457</v>
      </c>
      <c r="I53" s="1" t="n">
        <f aca="false">(phi*beta*EXP(alpha*(tau+zeta)))*(0-1/(alpha*psi)^2)*((1/(alpha*psi))*(1-EXP(alpha*psi*size))+size*EXP(alpha*psi*size))</f>
        <v>2.33845111754501</v>
      </c>
      <c r="J53" s="1" t="n">
        <f aca="false">(phi*beta*EXP(alpha*(2*tau+zeta)))*(1/(alpha*psi)^2)*(size*EXP(alpha*psi*size))</f>
        <v>2.14260634335201</v>
      </c>
      <c r="K53" s="1" t="n">
        <f aca="false">theta*beta*(-1/(alpha*psi)^2)*EXP(alpha*(tax!Tau+zeta))*(EXP(alpha*psi*tax!Size)-1)</f>
        <v>10.2003094332264</v>
      </c>
      <c r="L53" s="1" t="n">
        <f aca="false">theta*beta*(1/(alpha*psi)^2)*EXP(alpha*(2*tax!Tau+zeta+psi*tax!Size))</f>
        <v>4.28521268670402</v>
      </c>
      <c r="M53" s="1"/>
      <c r="N53" s="0" t="n">
        <f aca="false">B53</f>
        <v>13</v>
      </c>
      <c r="O53" s="1" t="n">
        <f aca="false">P53+Q53-R53</f>
        <v>521.903388528971</v>
      </c>
      <c r="P53" s="1" t="n">
        <f aca="false">C53+D53</f>
        <v>203.338192462394</v>
      </c>
      <c r="Q53" s="0" t="n">
        <f aca="false">2*E53+F53</f>
        <v>376.623575118191</v>
      </c>
      <c r="R53" s="0" t="n">
        <f aca="false">G53+H53+2*I53+J53+2*K53+L53</f>
        <v>58.0583790516134</v>
      </c>
    </row>
    <row r="54" customFormat="false" ht="14.65" hidden="false" customHeight="false" outlineLevel="0" collapsed="false">
      <c r="A54" s="0" t="n">
        <v>5</v>
      </c>
      <c r="B54" s="0" t="n">
        <v>14</v>
      </c>
      <c r="C54" s="1" t="n">
        <f aca="false">beta*(1/(alpha*psi))*(1/alpha)*((-1/alpha*psi)*(EXP(alpha*(zeta+psi*tax!Size))-EXP(alpha*zeta))+(tax!Size*EXP(alpha*zeta)))</f>
        <v>101.33509813013</v>
      </c>
      <c r="D54" s="1" t="n">
        <f aca="false">beta*(-1/(alpha*psi)^2)*(1/alpha)*(EXP(alpha*(tax!Tau+zeta))-EXP(alpha*(tax!Tau+zeta+psi*tax!Size)))</f>
        <v>92.2962165072841</v>
      </c>
      <c r="E54" s="1" t="n">
        <f aca="false">tau*beta*EXP(alpha*(tau+zeta))*(0-(1/(alpha*psi)^2))*(-1+EXP(alpha*psi*size))</f>
        <v>129.214703110198</v>
      </c>
      <c r="F54" s="1" t="n">
        <f aca="false">2*tau*beta*EXP(alpha*(2*tau+zeta))*(1/(alpha*psi)^2)*(EXP(alpha*psi*size))</f>
        <v>98.236191482366</v>
      </c>
      <c r="G54" s="1" t="n">
        <f aca="false">gamma*size</f>
        <v>25</v>
      </c>
      <c r="H54" s="1" t="n">
        <f aca="false">phi*beta*EXP(alpha*(zeta))*(0-1/(alpha*psi)^2)*((2/(alpha*psi))*(EXP(alpha*psi*size)-1)-(size*(EXP(alpha*psi*size)+1)))</f>
        <v>1.55303892001457</v>
      </c>
      <c r="I54" s="1" t="n">
        <f aca="false">(phi*beta*EXP(alpha*(tau+zeta)))*(0-1/(alpha*psi)^2)*((1/(alpha*psi))*(1-EXP(alpha*psi*size))+size*EXP(alpha*psi*size))</f>
        <v>2.11591807140273</v>
      </c>
      <c r="J54" s="1" t="n">
        <f aca="false">(phi*beta*EXP(alpha*(2*tau+zeta)))*(1/(alpha*psi)^2)*(size*EXP(alpha*psi*size))</f>
        <v>1.75421770504225</v>
      </c>
      <c r="K54" s="1" t="n">
        <f aca="false">theta*beta*(-1/(alpha*psi)^2)*EXP(alpha*(tax!Tau+zeta))*(EXP(alpha*psi*tax!Size)-1)</f>
        <v>9.22962165072841</v>
      </c>
      <c r="L54" s="1" t="n">
        <f aca="false">theta*beta*(1/(alpha*psi)^2)*EXP(alpha*(2*tax!Tau+zeta+psi*tax!Size))</f>
        <v>3.5084354100845</v>
      </c>
      <c r="M54" s="1"/>
      <c r="N54" s="0" t="n">
        <f aca="false">B54</f>
        <v>14</v>
      </c>
      <c r="O54" s="1" t="n">
        <f aca="false">P54+Q54-R54</f>
        <v>495.790140860772</v>
      </c>
      <c r="P54" s="1" t="n">
        <f aca="false">C54+D54</f>
        <v>193.631314637414</v>
      </c>
      <c r="Q54" s="0" t="n">
        <f aca="false">2*E54+F54</f>
        <v>356.665597702761</v>
      </c>
      <c r="R54" s="0" t="n">
        <f aca="false">G54+H54+2*I54+J54+2*K54+L54</f>
        <v>54.5067714794036</v>
      </c>
    </row>
    <row r="55" customFormat="false" ht="14.65" hidden="false" customHeight="false" outlineLevel="0" collapsed="false">
      <c r="A55" s="0" t="n">
        <v>5</v>
      </c>
      <c r="B55" s="0" t="n">
        <v>15</v>
      </c>
      <c r="C55" s="1" t="n">
        <f aca="false">beta*(1/(alpha*psi))*(1/alpha)*((-1/alpha*psi)*(EXP(alpha*(zeta+psi*tax!Size))-EXP(alpha*zeta))+(tax!Size*EXP(alpha*zeta)))</f>
        <v>101.33509813013</v>
      </c>
      <c r="D55" s="1" t="n">
        <f aca="false">beta*(-1/(alpha*psi)^2)*(1/alpha)*(EXP(alpha*(tax!Tau+zeta))-EXP(alpha*(tax!Tau+zeta+psi*tax!Size)))</f>
        <v>83.5130702389389</v>
      </c>
      <c r="E55" s="1" t="n">
        <f aca="false">tau*beta*EXP(alpha*(tau+zeta))*(0-(1/(alpha*psi)^2))*(-1+EXP(alpha*psi*size))</f>
        <v>125.269605358408</v>
      </c>
      <c r="F55" s="1" t="n">
        <f aca="false">2*tau*beta*EXP(alpha*(2*tau+zeta))*(1/(alpha*psi)^2)*(EXP(alpha*psi*size))</f>
        <v>86.1739189627183</v>
      </c>
      <c r="G55" s="1" t="n">
        <f aca="false">gamma*size</f>
        <v>25</v>
      </c>
      <c r="H55" s="1" t="n">
        <f aca="false">phi*beta*EXP(alpha*(zeta))*(0-1/(alpha*psi)^2)*((2/(alpha*psi))*(EXP(alpha*psi*size)-1)-(size*(EXP(alpha*psi*size)+1)))</f>
        <v>1.55303892001457</v>
      </c>
      <c r="I55" s="1" t="n">
        <f aca="false">(phi*beta*EXP(alpha*(tau+zeta)))*(0-1/(alpha*psi)^2)*((1/(alpha*psi))*(1-EXP(alpha*psi*size))+size*EXP(alpha*psi*size))</f>
        <v>1.91456184450367</v>
      </c>
      <c r="J55" s="1" t="n">
        <f aca="false">(phi*beta*EXP(alpha*(2*tau+zeta)))*(1/(alpha*psi)^2)*(size*EXP(alpha*psi*size))</f>
        <v>1.43623198271197</v>
      </c>
      <c r="K55" s="1" t="n">
        <f aca="false">theta*beta*(-1/(alpha*psi)^2)*EXP(alpha*(tax!Tau+zeta))*(EXP(alpha*psi*tax!Size)-1)</f>
        <v>8.35130702389388</v>
      </c>
      <c r="L55" s="1" t="n">
        <f aca="false">theta*beta*(1/(alpha*psi)^2)*EXP(alpha*(2*tax!Tau+zeta+psi*tax!Size))</f>
        <v>2.87246396542394</v>
      </c>
      <c r="M55" s="1"/>
      <c r="N55" s="0" t="n">
        <f aca="false">B55</f>
        <v>15</v>
      </c>
      <c r="O55" s="1" t="n">
        <f aca="false">P55+Q55-R55</f>
        <v>470.167825443658</v>
      </c>
      <c r="P55" s="1" t="n">
        <f aca="false">C55+D55</f>
        <v>184.848168369069</v>
      </c>
      <c r="Q55" s="0" t="n">
        <f aca="false">2*E55+F55</f>
        <v>336.713129679535</v>
      </c>
      <c r="R55" s="0" t="n">
        <f aca="false">G55+H55+2*I55+J55+2*K55+L55</f>
        <v>51.3934726049456</v>
      </c>
    </row>
    <row r="56" customFormat="false" ht="14.65" hidden="false" customHeight="false" outlineLevel="0" collapsed="false">
      <c r="A56" s="0" t="n">
        <v>5</v>
      </c>
      <c r="B56" s="0" t="n">
        <v>16</v>
      </c>
      <c r="C56" s="1" t="n">
        <f aca="false">beta*(1/(alpha*psi))*(1/alpha)*((-1/alpha*psi)*(EXP(alpha*(zeta+psi*tax!Size))-EXP(alpha*zeta))+(tax!Size*EXP(alpha*zeta)))</f>
        <v>101.33509813013</v>
      </c>
      <c r="D56" s="1" t="n">
        <f aca="false">beta*(-1/(alpha*psi)^2)*(1/alpha)*(EXP(alpha*(tax!Tau+zeta))-EXP(alpha*(tax!Tau+zeta+psi*tax!Size)))</f>
        <v>75.5657508472571</v>
      </c>
      <c r="E56" s="1" t="n">
        <f aca="false">tau*beta*EXP(alpha*(tau+zeta))*(0-(1/(alpha*psi)^2))*(-1+EXP(alpha*psi*size))</f>
        <v>120.905201355611</v>
      </c>
      <c r="F56" s="1" t="n">
        <f aca="false">2*tau*beta*EXP(alpha*(2*tau+zeta))*(1/(alpha*psi)^2)*(EXP(alpha*psi*size))</f>
        <v>75.2567867392291</v>
      </c>
      <c r="G56" s="1" t="n">
        <f aca="false">gamma*size</f>
        <v>25</v>
      </c>
      <c r="H56" s="1" t="n">
        <f aca="false">phi*beta*EXP(alpha*(zeta))*(0-1/(alpha*psi)^2)*((2/(alpha*psi))*(EXP(alpha*psi*size)-1)-(size*(EXP(alpha*psi*size)+1)))</f>
        <v>1.55303892001457</v>
      </c>
      <c r="I56" s="1" t="n">
        <f aca="false">(phi*beta*EXP(alpha*(tau+zeta)))*(0-1/(alpha*psi)^2)*((1/(alpha*psi))*(1-EXP(alpha*psi*size))+size*EXP(alpha*psi*size))</f>
        <v>1.73236719605087</v>
      </c>
      <c r="J56" s="1" t="n">
        <f aca="false">(phi*beta*EXP(alpha*(2*tau+zeta)))*(1/(alpha*psi)^2)*(size*EXP(alpha*psi*size))</f>
        <v>1.17588729280046</v>
      </c>
      <c r="K56" s="1" t="n">
        <f aca="false">theta*beta*(-1/(alpha*psi)^2)*EXP(alpha*(tax!Tau+zeta))*(EXP(alpha*psi*tax!Size)-1)</f>
        <v>7.55657508472571</v>
      </c>
      <c r="L56" s="1" t="n">
        <f aca="false">theta*beta*(1/(alpha*psi)^2)*EXP(alpha*(2*tax!Tau+zeta+psi*tax!Size))</f>
        <v>2.35177458560091</v>
      </c>
      <c r="M56" s="1"/>
      <c r="N56" s="0" t="n">
        <f aca="false">B56</f>
        <v>16</v>
      </c>
      <c r="O56" s="1" t="n">
        <f aca="false">P56+Q56-R56</f>
        <v>445.30945306787</v>
      </c>
      <c r="P56" s="1" t="n">
        <f aca="false">C56+D56</f>
        <v>176.900848977387</v>
      </c>
      <c r="Q56" s="0" t="n">
        <f aca="false">2*E56+F56</f>
        <v>317.067189450452</v>
      </c>
      <c r="R56" s="0" t="n">
        <f aca="false">G56+H56+2*I56+J56+2*K56+L56</f>
        <v>48.6585853599691</v>
      </c>
    </row>
    <row r="57" customFormat="false" ht="14.65" hidden="false" customHeight="false" outlineLevel="0" collapsed="false">
      <c r="A57" s="0" t="n">
        <v>5</v>
      </c>
      <c r="B57" s="0" t="n">
        <v>17</v>
      </c>
      <c r="C57" s="1" t="n">
        <f aca="false">beta*(1/(alpha*psi))*(1/alpha)*((-1/alpha*psi)*(EXP(alpha*(zeta+psi*tax!Size))-EXP(alpha*zeta))+(tax!Size*EXP(alpha*zeta)))</f>
        <v>101.33509813013</v>
      </c>
      <c r="D57" s="1" t="n">
        <f aca="false">beta*(-1/(alpha*psi)^2)*(1/alpha)*(EXP(alpha*(tax!Tau+zeta))-EXP(alpha*(tax!Tau+zeta+psi*tax!Size)))</f>
        <v>68.3747188885808</v>
      </c>
      <c r="E57" s="1" t="n">
        <f aca="false">tau*beta*EXP(alpha*(tau+zeta))*(0-(1/(alpha*psi)^2))*(-1+EXP(alpha*psi*size))</f>
        <v>116.237022110587</v>
      </c>
      <c r="F57" s="1" t="n">
        <f aca="false">2*tau*beta*EXP(alpha*(2*tau+zeta))*(1/(alpha*psi)^2)*(EXP(alpha*psi*size))</f>
        <v>65.4659860363155</v>
      </c>
      <c r="G57" s="1" t="n">
        <f aca="false">gamma*size</f>
        <v>25</v>
      </c>
      <c r="H57" s="1" t="n">
        <f aca="false">phi*beta*EXP(alpha*(zeta))*(0-1/(alpha*psi)^2)*((2/(alpha*psi))*(EXP(alpha*psi*size)-1)-(size*(EXP(alpha*psi*size)+1)))</f>
        <v>1.55303892001457</v>
      </c>
      <c r="I57" s="1" t="n">
        <f aca="false">(phi*beta*EXP(alpha*(tau+zeta)))*(0-1/(alpha*psi)^2)*((1/(alpha*psi))*(1-EXP(alpha*psi*size))+size*EXP(alpha*psi*size))</f>
        <v>1.56751066076486</v>
      </c>
      <c r="J57" s="1" t="n">
        <f aca="false">(phi*beta*EXP(alpha*(2*tau+zeta)))*(1/(alpha*psi)^2)*(size*EXP(alpha*psi*size))</f>
        <v>0.962735088769346</v>
      </c>
      <c r="K57" s="1" t="n">
        <f aca="false">theta*beta*(-1/(alpha*psi)^2)*EXP(alpha*(tax!Tau+zeta))*(EXP(alpha*psi*tax!Size)-1)</f>
        <v>6.83747188885808</v>
      </c>
      <c r="L57" s="1" t="n">
        <f aca="false">theta*beta*(1/(alpha*psi)^2)*EXP(alpha*(2*tax!Tau+zeta+psi*tax!Size))</f>
        <v>1.92547017753869</v>
      </c>
      <c r="M57" s="1"/>
      <c r="N57" s="0" t="n">
        <f aca="false">B57</f>
        <v>17</v>
      </c>
      <c r="O57" s="1" t="n">
        <f aca="false">P57+Q57-R57</f>
        <v>421.398637990632</v>
      </c>
      <c r="P57" s="1" t="n">
        <f aca="false">C57+D57</f>
        <v>169.70981701871</v>
      </c>
      <c r="Q57" s="0" t="n">
        <f aca="false">2*E57+F57</f>
        <v>297.94003025749</v>
      </c>
      <c r="R57" s="0" t="n">
        <f aca="false">G57+H57+2*I57+J57+2*K57+L57</f>
        <v>46.2512092855685</v>
      </c>
    </row>
    <row r="58" customFormat="false" ht="14.65" hidden="false" customHeight="false" outlineLevel="0" collapsed="false">
      <c r="A58" s="0" t="n">
        <v>5</v>
      </c>
      <c r="B58" s="0" t="n">
        <v>18</v>
      </c>
      <c r="C58" s="1" t="n">
        <f aca="false">beta*(1/(alpha*psi))*(1/alpha)*((-1/alpha*psi)*(EXP(alpha*(zeta+psi*tax!Size))-EXP(alpha*zeta))+(tax!Size*EXP(alpha*zeta)))</f>
        <v>101.33509813013</v>
      </c>
      <c r="D58" s="1" t="n">
        <f aca="false">beta*(-1/(alpha*psi)^2)*(1/alpha)*(EXP(alpha*(tax!Tau+zeta))-EXP(alpha*(tax!Tau+zeta+psi*tax!Size)))</f>
        <v>61.868004098078</v>
      </c>
      <c r="E58" s="1" t="n">
        <f aca="false">tau*beta*EXP(alpha*(tau+zeta))*(0-(1/(alpha*psi)^2))*(-1+EXP(alpha*psi*size))</f>
        <v>111.36240737654</v>
      </c>
      <c r="F58" s="1" t="n">
        <f aca="false">2*tau*beta*EXP(alpha*(2*tau+zeta))*(1/(alpha*psi)^2)*(EXP(alpha*psi*size))</f>
        <v>56.7518993454761</v>
      </c>
      <c r="G58" s="1" t="n">
        <f aca="false">gamma*size</f>
        <v>25</v>
      </c>
      <c r="H58" s="1" t="n">
        <f aca="false">phi*beta*EXP(alpha*(zeta))*(0-1/(alpha*psi)^2)*((2/(alpha*psi))*(EXP(alpha*psi*size)-1)-(size*(EXP(alpha*psi*size)+1)))</f>
        <v>1.55303892001457</v>
      </c>
      <c r="I58" s="1" t="n">
        <f aca="false">(phi*beta*EXP(alpha*(tau+zeta)))*(0-1/(alpha*psi)^2)*((1/(alpha*psi))*(1-EXP(alpha*psi*size))+size*EXP(alpha*psi*size))</f>
        <v>1.41834229903032</v>
      </c>
      <c r="J58" s="1" t="n">
        <f aca="false">(phi*beta*EXP(alpha*(2*tau+zeta)))*(1/(alpha*psi)^2)*(size*EXP(alpha*psi*size))</f>
        <v>0.788220824242724</v>
      </c>
      <c r="K58" s="1" t="n">
        <f aca="false">theta*beta*(-1/(alpha*psi)^2)*EXP(alpha*(tax!Tau+zeta))*(EXP(alpha*psi*tax!Size)-1)</f>
        <v>6.1868004098078</v>
      </c>
      <c r="L58" s="1" t="n">
        <f aca="false">theta*beta*(1/(alpha*psi)^2)*EXP(alpha*(2*tax!Tau+zeta+psi*tax!Size))</f>
        <v>1.57644164848545</v>
      </c>
      <c r="M58" s="1"/>
      <c r="N58" s="0" t="n">
        <f aca="false">B58</f>
        <v>18</v>
      </c>
      <c r="O58" s="1" t="n">
        <f aca="false">P58+Q58-R58</f>
        <v>398.551829516346</v>
      </c>
      <c r="P58" s="1" t="n">
        <f aca="false">C58+D58</f>
        <v>163.203102228208</v>
      </c>
      <c r="Q58" s="0" t="n">
        <f aca="false">2*E58+F58</f>
        <v>279.476714098557</v>
      </c>
      <c r="R58" s="0" t="n">
        <f aca="false">G58+H58+2*I58+J58+2*K58+L58</f>
        <v>44.127986810419</v>
      </c>
    </row>
    <row r="59" customFormat="false" ht="14.65" hidden="false" customHeight="false" outlineLevel="0" collapsed="false">
      <c r="A59" s="0" t="n">
        <v>5</v>
      </c>
      <c r="B59" s="0" t="n">
        <v>19</v>
      </c>
      <c r="C59" s="1" t="n">
        <f aca="false">beta*(1/(alpha*psi))*(1/alpha)*((-1/alpha*psi)*(EXP(alpha*(zeta+psi*tax!Size))-EXP(alpha*zeta))+(tax!Size*EXP(alpha*zeta)))</f>
        <v>101.33509813013</v>
      </c>
      <c r="D59" s="1" t="n">
        <f aca="false">beta*(-1/(alpha*psi)^2)*(1/alpha)*(EXP(alpha*(tax!Tau+zeta))-EXP(alpha*(tax!Tau+zeta+psi*tax!Size)))</f>
        <v>55.980485087143</v>
      </c>
      <c r="E59" s="1" t="n">
        <f aca="false">tau*beta*EXP(alpha*(tau+zeta))*(0-(1/(alpha*psi)^2))*(-1+EXP(alpha*psi*size))</f>
        <v>106.362921665572</v>
      </c>
      <c r="F59" s="1" t="n">
        <f aca="false">2*tau*beta*EXP(alpha*(2*tau+zeta))*(1/(alpha*psi)^2)*(EXP(alpha*psi*size))</f>
        <v>49.0458878058235</v>
      </c>
      <c r="G59" s="1" t="n">
        <f aca="false">gamma*size</f>
        <v>25</v>
      </c>
      <c r="H59" s="1" t="n">
        <f aca="false">phi*beta*EXP(alpha*(zeta))*(0-1/(alpha*psi)^2)*((2/(alpha*psi))*(EXP(alpha*psi*size)-1)-(size*(EXP(alpha*psi*size)+1)))</f>
        <v>1.55303892001457</v>
      </c>
      <c r="I59" s="1" t="n">
        <f aca="false">(phi*beta*EXP(alpha*(tau+zeta)))*(0-1/(alpha*psi)^2)*((1/(alpha*psi))*(1-EXP(alpha*psi*size))+size*EXP(alpha*psi*size))</f>
        <v>1.28336918374578</v>
      </c>
      <c r="J59" s="1" t="n">
        <f aca="false">(phi*beta*EXP(alpha*(2*tau+zeta)))*(1/(alpha*psi)^2)*(size*EXP(alpha*psi*size))</f>
        <v>0.645340629023993</v>
      </c>
      <c r="K59" s="1" t="n">
        <f aca="false">theta*beta*(-1/(alpha*psi)^2)*EXP(alpha*(tax!Tau+zeta))*(EXP(alpha*psi*tax!Size)-1)</f>
        <v>5.5980485087143</v>
      </c>
      <c r="L59" s="1" t="n">
        <f aca="false">theta*beta*(1/(alpha*psi)^2)*EXP(alpha*(2*tax!Tau+zeta+psi*tax!Size))</f>
        <v>1.29068125804799</v>
      </c>
      <c r="M59" s="1"/>
      <c r="N59" s="0" t="n">
        <f aca="false">B59</f>
        <v>19</v>
      </c>
      <c r="O59" s="1" t="n">
        <f aca="false">P59+Q59-R59</f>
        <v>376.835418162233</v>
      </c>
      <c r="P59" s="1" t="n">
        <f aca="false">C59+D59</f>
        <v>157.315583217273</v>
      </c>
      <c r="Q59" s="0" t="n">
        <f aca="false">2*E59+F59</f>
        <v>261.771731136967</v>
      </c>
      <c r="R59" s="0" t="n">
        <f aca="false">G59+H59+2*I59+J59+2*K59+L59</f>
        <v>42.2518961920067</v>
      </c>
    </row>
    <row r="60" customFormat="false" ht="14.65" hidden="false" customHeight="false" outlineLevel="0" collapsed="false">
      <c r="A60" s="0" t="n">
        <v>5</v>
      </c>
      <c r="B60" s="0" t="n">
        <v>20</v>
      </c>
      <c r="C60" s="1" t="n">
        <f aca="false">beta*(1/(alpha*psi))*(1/alpha)*((-1/alpha*psi)*(EXP(alpha*(zeta+psi*tax!Size))-EXP(alpha*zeta))+(tax!Size*EXP(alpha*zeta)))</f>
        <v>101.33509813013</v>
      </c>
      <c r="D60" s="1" t="n">
        <f aca="false">beta*(-1/(alpha*psi)^2)*(1/alpha)*(EXP(alpha*(tax!Tau+zeta))-EXP(alpha*(tax!Tau+zeta+psi*tax!Size)))</f>
        <v>50.653237586651</v>
      </c>
      <c r="E60" s="1" t="n">
        <f aca="false">tau*beta*EXP(alpha*(tau+zeta))*(0-(1/(alpha*psi)^2))*(-1+EXP(alpha*psi*size))</f>
        <v>101.306475173302</v>
      </c>
      <c r="F60" s="1" t="n">
        <f aca="false">2*tau*beta*EXP(alpha*(2*tau+zeta))*(1/(alpha*psi)^2)*(EXP(alpha*psi*size))</f>
        <v>42.2688175354106</v>
      </c>
      <c r="G60" s="1" t="n">
        <f aca="false">gamma*size</f>
        <v>25</v>
      </c>
      <c r="H60" s="1" t="n">
        <f aca="false">phi*beta*EXP(alpha*(zeta))*(0-1/(alpha*psi)^2)*((2/(alpha*psi))*(EXP(alpha*psi*size)-1)-(size*(EXP(alpha*psi*size)+1)))</f>
        <v>1.55303892001457</v>
      </c>
      <c r="I60" s="1" t="n">
        <f aca="false">(phi*beta*EXP(alpha*(tau+zeta)))*(0-1/(alpha*psi)^2)*((1/(alpha*psi))*(1-EXP(alpha*psi*size))+size*EXP(alpha*psi*size))</f>
        <v>1.16124045860745</v>
      </c>
      <c r="J60" s="1" t="n">
        <f aca="false">(phi*beta*EXP(alpha*(2*tau+zeta)))*(1/(alpha*psi)^2)*(size*EXP(alpha*psi*size))</f>
        <v>0.528360219192633</v>
      </c>
      <c r="K60" s="1" t="n">
        <f aca="false">theta*beta*(-1/(alpha*psi)^2)*EXP(alpha*(tax!Tau+zeta))*(EXP(alpha*psi*tax!Size)-1)</f>
        <v>5.0653237586651</v>
      </c>
      <c r="L60" s="1" t="n">
        <f aca="false">theta*beta*(1/(alpha*psi)^2)*EXP(alpha*(2*tax!Tau+zeta+psi*tax!Size))</f>
        <v>1.05672043838527</v>
      </c>
      <c r="M60" s="1"/>
      <c r="N60" s="0" t="n">
        <f aca="false">B60</f>
        <v>20</v>
      </c>
      <c r="O60" s="1" t="n">
        <f aca="false">P60+Q60-R60</f>
        <v>356.278855586658</v>
      </c>
      <c r="P60" s="1" t="n">
        <f aca="false">C60+D60</f>
        <v>151.988335716781</v>
      </c>
      <c r="Q60" s="0" t="n">
        <f aca="false">2*E60+F60</f>
        <v>244.881767882015</v>
      </c>
      <c r="R60" s="0" t="n">
        <f aca="false">G60+H60+2*I60+J60+2*K60+L60</f>
        <v>40.5912480121376</v>
      </c>
    </row>
    <row r="61" customFormat="false" ht="14.65" hidden="false" customHeight="false" outlineLevel="0" collapsed="false">
      <c r="A61" s="0" t="n">
        <v>5</v>
      </c>
      <c r="B61" s="0" t="n">
        <v>21</v>
      </c>
      <c r="C61" s="1" t="n">
        <f aca="false">beta*(1/(alpha*psi))*(1/alpha)*((-1/alpha*psi)*(EXP(alpha*(zeta+psi*tax!Size))-EXP(alpha*zeta))+(tax!Size*EXP(alpha*zeta)))</f>
        <v>101.33509813013</v>
      </c>
      <c r="D61" s="1" t="n">
        <f aca="false">beta*(-1/(alpha*psi)^2)*(1/alpha)*(EXP(alpha*(tax!Tau+zeta))-EXP(alpha*(tax!Tau+zeta+psi*tax!Size)))</f>
        <v>45.8329447130674</v>
      </c>
      <c r="E61" s="1" t="n">
        <f aca="false">tau*beta*EXP(alpha*(tau+zeta))*(0-(1/(alpha*psi)^2))*(-1+EXP(alpha*psi*size))</f>
        <v>96.2491838974415</v>
      </c>
      <c r="F61" s="1" t="n">
        <f aca="false">2*tau*beta*EXP(alpha*(2*tau+zeta))*(1/(alpha*psi)^2)*(EXP(alpha*psi*size))</f>
        <v>36.3371198531067</v>
      </c>
      <c r="G61" s="1" t="n">
        <f aca="false">gamma*size</f>
        <v>25</v>
      </c>
      <c r="H61" s="1" t="n">
        <f aca="false">phi*beta*EXP(alpha*(zeta))*(0-1/(alpha*psi)^2)*((2/(alpha*psi))*(EXP(alpha*psi*size)-1)-(size*(EXP(alpha*psi*size)+1)))</f>
        <v>1.55303892001457</v>
      </c>
      <c r="I61" s="1" t="n">
        <f aca="false">(phi*beta*EXP(alpha*(tau+zeta)))*(0-1/(alpha*psi)^2)*((1/(alpha*psi))*(1-EXP(alpha*psi*size))+size*EXP(alpha*psi*size))</f>
        <v>1.05073381828526</v>
      </c>
      <c r="J61" s="1" t="n">
        <f aca="false">(phi*beta*EXP(alpha*(2*tau+zeta)))*(1/(alpha*psi)^2)*(size*EXP(alpha*psi*size))</f>
        <v>0.432584760156032</v>
      </c>
      <c r="K61" s="1" t="n">
        <f aca="false">theta*beta*(-1/(alpha*psi)^2)*EXP(alpha*(tax!Tau+zeta))*(EXP(alpha*psi*tax!Size)-1)</f>
        <v>4.58329447130674</v>
      </c>
      <c r="L61" s="1" t="n">
        <f aca="false">theta*beta*(1/(alpha*psi)^2)*EXP(alpha*(2*tax!Tau+zeta+psi*tax!Size))</f>
        <v>0.865169520312063</v>
      </c>
      <c r="M61" s="1"/>
      <c r="N61" s="0" t="n">
        <f aca="false">B61</f>
        <v>21</v>
      </c>
      <c r="O61" s="1" t="n">
        <f aca="false">P61+Q61-R61</f>
        <v>336.88468071152</v>
      </c>
      <c r="P61" s="1" t="n">
        <f aca="false">C61+D61</f>
        <v>147.168042843197</v>
      </c>
      <c r="Q61" s="0" t="n">
        <f aca="false">2*E61+F61</f>
        <v>228.83548764799</v>
      </c>
      <c r="R61" s="0" t="n">
        <f aca="false">G61+H61+2*I61+J61+2*K61+L61</f>
        <v>39.1188497796667</v>
      </c>
    </row>
    <row r="62" customFormat="false" ht="14.65" hidden="false" customHeight="false" outlineLevel="0" collapsed="false">
      <c r="A62" s="0" t="n">
        <v>5</v>
      </c>
      <c r="B62" s="0" t="n">
        <v>22</v>
      </c>
      <c r="C62" s="1" t="n">
        <f aca="false">beta*(1/(alpha*psi))*(1/alpha)*((-1/alpha*psi)*(EXP(alpha*(zeta+psi*tax!Size))-EXP(alpha*zeta))+(tax!Size*EXP(alpha*zeta)))</f>
        <v>101.33509813013</v>
      </c>
      <c r="D62" s="1" t="n">
        <f aca="false">beta*(-1/(alpha*psi)^2)*(1/alpha)*(EXP(alpha*(tax!Tau+zeta))-EXP(alpha*(tax!Tau+zeta+psi*tax!Size)))</f>
        <v>41.4713633551568</v>
      </c>
      <c r="E62" s="1" t="n">
        <f aca="false">tau*beta*EXP(alpha*(tau+zeta))*(0-(1/(alpha*psi)^2))*(-1+EXP(alpha*psi*size))</f>
        <v>91.2369993813449</v>
      </c>
      <c r="F62" s="1" t="n">
        <f aca="false">2*tau*beta*EXP(alpha*(2*tau+zeta))*(1/(alpha*psi)^2)*(EXP(alpha*psi*size))</f>
        <v>31.1669992878293</v>
      </c>
      <c r="G62" s="1" t="n">
        <f aca="false">gamma*size</f>
        <v>25</v>
      </c>
      <c r="H62" s="1" t="n">
        <f aca="false">phi*beta*EXP(alpha*(zeta))*(0-1/(alpha*psi)^2)*((2/(alpha*psi))*(EXP(alpha*psi*size)-1)-(size*(EXP(alpha*psi*size)+1)))</f>
        <v>1.55303892001457</v>
      </c>
      <c r="I62" s="1" t="n">
        <f aca="false">(phi*beta*EXP(alpha*(tau+zeta)))*(0-1/(alpha*psi)^2)*((1/(alpha*psi))*(1-EXP(alpha*psi*size))+size*EXP(alpha*psi*size))</f>
        <v>0.950743275180298</v>
      </c>
      <c r="J62" s="1" t="n">
        <f aca="false">(phi*beta*EXP(alpha*(2*tau+zeta)))*(1/(alpha*psi)^2)*(size*EXP(alpha*psi*size))</f>
        <v>0.354170446452606</v>
      </c>
      <c r="K62" s="1" t="n">
        <f aca="false">theta*beta*(-1/(alpha*psi)^2)*EXP(alpha*(tax!Tau+zeta))*(EXP(alpha*psi*tax!Size)-1)</f>
        <v>4.14713633551568</v>
      </c>
      <c r="L62" s="1" t="n">
        <f aca="false">theta*beta*(1/(alpha*psi)^2)*EXP(alpha*(2*tax!Tau+zeta+psi*tax!Size))</f>
        <v>0.708340892905212</v>
      </c>
      <c r="M62" s="1"/>
      <c r="N62" s="0" t="n">
        <f aca="false">B62</f>
        <v>22</v>
      </c>
      <c r="O62" s="1" t="n">
        <f aca="false">P62+Q62-R62</f>
        <v>318.636150055041</v>
      </c>
      <c r="P62" s="1" t="n">
        <f aca="false">C62+D62</f>
        <v>142.806461485286</v>
      </c>
      <c r="Q62" s="0" t="n">
        <f aca="false">2*E62+F62</f>
        <v>213.640998050519</v>
      </c>
      <c r="R62" s="0" t="n">
        <f aca="false">G62+H62+2*I62+J62+2*K62+L62</f>
        <v>37.8113094807643</v>
      </c>
    </row>
    <row r="63" customFormat="false" ht="14.65" hidden="false" customHeight="false" outlineLevel="0" collapsed="false">
      <c r="A63" s="0" t="n">
        <v>5</v>
      </c>
      <c r="B63" s="0" t="n">
        <v>23</v>
      </c>
      <c r="C63" s="1" t="n">
        <f aca="false">beta*(1/(alpha*psi))*(1/alpha)*((-1/alpha*psi)*(EXP(alpha*(zeta+psi*tax!Size))-EXP(alpha*zeta))+(tax!Size*EXP(alpha*zeta)))</f>
        <v>101.33509813013</v>
      </c>
      <c r="D63" s="1" t="n">
        <f aca="false">beta*(-1/(alpha*psi)^2)*(1/alpha)*(EXP(alpha*(tax!Tau+zeta))-EXP(alpha*(tax!Tau+zeta+psi*tax!Size)))</f>
        <v>37.5248413407112</v>
      </c>
      <c r="E63" s="1" t="n">
        <f aca="false">tau*beta*EXP(alpha*(tau+zeta))*(0-(1/(alpha*psi)^2))*(-1+EXP(alpha*psi*size))</f>
        <v>86.3071350836356</v>
      </c>
      <c r="F63" s="1" t="n">
        <f aca="false">2*tau*beta*EXP(alpha*(2*tau+zeta))*(1/(alpha*psi)^2)*(EXP(alpha*psi*size))</f>
        <v>26.6772617434738</v>
      </c>
      <c r="G63" s="1" t="n">
        <f aca="false">gamma*size</f>
        <v>25</v>
      </c>
      <c r="H63" s="1" t="n">
        <f aca="false">phi*beta*EXP(alpha*(zeta))*(0-1/(alpha*psi)^2)*((2/(alpha*psi))*(EXP(alpha*psi*size)-1)-(size*(EXP(alpha*psi*size)+1)))</f>
        <v>1.55303892001457</v>
      </c>
      <c r="I63" s="1" t="n">
        <f aca="false">(phi*beta*EXP(alpha*(tau+zeta)))*(0-1/(alpha*psi)^2)*((1/(alpha*psi))*(1-EXP(alpha*psi*size))+size*EXP(alpha*psi*size))</f>
        <v>0.860268090329193</v>
      </c>
      <c r="J63" s="1" t="n">
        <f aca="false">(phi*beta*EXP(alpha*(2*tau+zeta)))*(1/(alpha*psi)^2)*(size*EXP(alpha*psi*size))</f>
        <v>0.289970236342107</v>
      </c>
      <c r="K63" s="1" t="n">
        <f aca="false">theta*beta*(-1/(alpha*psi)^2)*EXP(alpha*(tax!Tau+zeta))*(EXP(alpha*psi*tax!Size)-1)</f>
        <v>3.75248413407112</v>
      </c>
      <c r="L63" s="1" t="n">
        <f aca="false">theta*beta*(1/(alpha*psi)^2)*EXP(alpha*(2*tax!Tau+zeta+psi*tax!Size))</f>
        <v>0.579940472684214</v>
      </c>
      <c r="M63" s="1"/>
      <c r="N63" s="0" t="n">
        <f aca="false">B63</f>
        <v>23</v>
      </c>
      <c r="O63" s="1" t="n">
        <f aca="false">P63+Q63-R63</f>
        <v>301.503017303744</v>
      </c>
      <c r="P63" s="1" t="n">
        <f aca="false">C63+D63</f>
        <v>138.859939470841</v>
      </c>
      <c r="Q63" s="0" t="n">
        <f aca="false">2*E63+F63</f>
        <v>199.291531910745</v>
      </c>
      <c r="R63" s="0" t="n">
        <f aca="false">G63+H63+2*I63+J63+2*K63+L63</f>
        <v>36.6484540778415</v>
      </c>
    </row>
    <row r="64" customFormat="false" ht="14.65" hidden="false" customHeight="false" outlineLevel="0" collapsed="false">
      <c r="A64" s="0" t="n">
        <v>5</v>
      </c>
      <c r="B64" s="0" t="n">
        <v>24</v>
      </c>
      <c r="C64" s="1" t="n">
        <f aca="false">beta*(1/(alpha*psi))*(1/alpha)*((-1/alpha*psi)*(EXP(alpha*(zeta+psi*tax!Size))-EXP(alpha*zeta))+(tax!Size*EXP(alpha*zeta)))</f>
        <v>101.33509813013</v>
      </c>
      <c r="D64" s="1" t="n">
        <f aca="false">beta*(-1/(alpha*psi)^2)*(1/alpha)*(EXP(alpha*(tax!Tau+zeta))-EXP(alpha*(tax!Tau+zeta+psi*tax!Size)))</f>
        <v>33.9538805509381</v>
      </c>
      <c r="E64" s="1" t="n">
        <f aca="false">tau*beta*EXP(alpha*(tau+zeta))*(0-(1/(alpha*psi)^2))*(-1+EXP(alpha*psi*size))</f>
        <v>81.4893133222515</v>
      </c>
      <c r="F64" s="1" t="n">
        <f aca="false">2*tau*beta*EXP(alpha*(2*tau+zeta))*(1/(alpha*psi)^2)*(EXP(alpha*psi*size))</f>
        <v>22.7911247971751</v>
      </c>
      <c r="G64" s="1" t="n">
        <f aca="false">gamma*size</f>
        <v>25</v>
      </c>
      <c r="H64" s="1" t="n">
        <f aca="false">phi*beta*EXP(alpha*(zeta))*(0-1/(alpha*psi)^2)*((2/(alpha*psi))*(EXP(alpha*psi*size)-1)-(size*(EXP(alpha*psi*size)+1)))</f>
        <v>1.55303892001457</v>
      </c>
      <c r="I64" s="1" t="n">
        <f aca="false">(phi*beta*EXP(alpha*(tau+zeta)))*(0-1/(alpha*psi)^2)*((1/(alpha*psi))*(1-EXP(alpha*psi*size))+size*EXP(alpha*psi*size))</f>
        <v>0.778402757672192</v>
      </c>
      <c r="J64" s="1" t="n">
        <f aca="false">(phi*beta*EXP(alpha*(2*tau+zeta)))*(1/(alpha*psi)^2)*(size*EXP(alpha*psi*size))</f>
        <v>0.237407549970574</v>
      </c>
      <c r="K64" s="1" t="n">
        <f aca="false">theta*beta*(-1/(alpha*psi)^2)*EXP(alpha*(tax!Tau+zeta))*(EXP(alpha*psi*tax!Size)-1)</f>
        <v>3.39538805509381</v>
      </c>
      <c r="L64" s="1" t="n">
        <f aca="false">theta*beta*(1/(alpha*psi)^2)*EXP(alpha*(2*tax!Tau+zeta+psi*tax!Size))</f>
        <v>0.474815099941147</v>
      </c>
      <c r="M64" s="1"/>
      <c r="N64" s="0" t="n">
        <f aca="false">B64</f>
        <v>24</v>
      </c>
      <c r="O64" s="1" t="n">
        <f aca="false">P64+Q64-R64</f>
        <v>285.445886927287</v>
      </c>
      <c r="P64" s="1" t="n">
        <f aca="false">C64+D64</f>
        <v>135.288978681068</v>
      </c>
      <c r="Q64" s="0" t="n">
        <f aca="false">2*E64+F64</f>
        <v>185.769751441678</v>
      </c>
      <c r="R64" s="0" t="n">
        <f aca="false">G64+H64+2*I64+J64+2*K64+L64</f>
        <v>35.6128431954583</v>
      </c>
    </row>
    <row r="65" customFormat="false" ht="14.65" hidden="false" customHeight="false" outlineLevel="0" collapsed="false">
      <c r="A65" s="0" t="n">
        <v>5</v>
      </c>
      <c r="B65" s="0" t="n">
        <v>25</v>
      </c>
      <c r="C65" s="1" t="n">
        <f aca="false">beta*(1/(alpha*psi))*(1/alpha)*((-1/alpha*psi)*(EXP(alpha*(zeta+psi*tax!Size))-EXP(alpha*zeta))+(tax!Size*EXP(alpha*zeta)))</f>
        <v>101.33509813013</v>
      </c>
      <c r="D65" s="1" t="n">
        <f aca="false">beta*(-1/(alpha*psi)^2)*(1/alpha)*(EXP(alpha*(tax!Tau+zeta))-EXP(alpha*(tax!Tau+zeta+psi*tax!Size)))</f>
        <v>30.7227416100122</v>
      </c>
      <c r="E65" s="1" t="n">
        <f aca="false">tau*beta*EXP(alpha*(tau+zeta))*(0-(1/(alpha*psi)^2))*(-1+EXP(alpha*psi*size))</f>
        <v>76.8068540250306</v>
      </c>
      <c r="F65" s="1" t="n">
        <f aca="false">2*tau*beta*EXP(alpha*(2*tau+zeta))*(1/(alpha*psi)^2)*(EXP(alpha*psi*size))</f>
        <v>19.4372862173806</v>
      </c>
      <c r="G65" s="1" t="n">
        <f aca="false">gamma*size</f>
        <v>25</v>
      </c>
      <c r="H65" s="1" t="n">
        <f aca="false">phi*beta*EXP(alpha*(zeta))*(0-1/(alpha*psi)^2)*((2/(alpha*psi))*(EXP(alpha*psi*size)-1)-(size*(EXP(alpha*psi*size)+1)))</f>
        <v>1.55303892001457</v>
      </c>
      <c r="I65" s="1" t="n">
        <f aca="false">(phi*beta*EXP(alpha*(tau+zeta)))*(0-1/(alpha*psi)^2)*((1/(alpha*psi))*(1-EXP(alpha*psi*size))+size*EXP(alpha*psi*size))</f>
        <v>0.704327941444177</v>
      </c>
      <c r="J65" s="1" t="n">
        <f aca="false">(phi*beta*EXP(alpha*(2*tau+zeta)))*(1/(alpha*psi)^2)*(size*EXP(alpha*psi*size))</f>
        <v>0.194372862173806</v>
      </c>
      <c r="K65" s="1" t="n">
        <f aca="false">theta*beta*(-1/(alpha*psi)^2)*EXP(alpha*(tax!Tau+zeta))*(EXP(alpha*psi*tax!Size)-1)</f>
        <v>3.07227416100122</v>
      </c>
      <c r="L65" s="1" t="n">
        <f aca="false">theta*beta*(1/(alpha*psi)^2)*EXP(alpha*(2*tax!Tau+zeta+psi*tax!Size))</f>
        <v>0.388745724347613</v>
      </c>
      <c r="M65" s="1"/>
      <c r="N65" s="0" t="n">
        <f aca="false">B65</f>
        <v>25</v>
      </c>
      <c r="O65" s="1" t="n">
        <f aca="false">P65+Q65-R65</f>
        <v>270.419472296157</v>
      </c>
      <c r="P65" s="1" t="n">
        <f aca="false">C65+D65</f>
        <v>132.057839740142</v>
      </c>
      <c r="Q65" s="0" t="n">
        <f aca="false">2*E65+F65</f>
        <v>173.050994267442</v>
      </c>
      <c r="R65" s="0" t="n">
        <f aca="false">G65+H65+2*I65+J65+2*K65+L65</f>
        <v>34.6893617114268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1:I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4" activeCellId="0" sqref="G14 G14"/>
    </sheetView>
  </sheetViews>
  <sheetFormatPr defaultColWidth="11.0546875" defaultRowHeight="14.65" customHeight="false" zeroHeight="false" outlineLevelRow="0" outlineLevelCol="0"/>
  <sheetData>
    <row r="11" customFormat="false" ht="14.65" hidden="false" customHeight="false" outlineLevel="0" collapsed="false">
      <c r="A11" s="0" t="s">
        <v>26</v>
      </c>
      <c r="B11" s="0" t="s">
        <v>27</v>
      </c>
      <c r="C11" s="0" t="s">
        <v>28</v>
      </c>
      <c r="D11" s="0" t="s">
        <v>15</v>
      </c>
      <c r="E11" s="0" t="s">
        <v>29</v>
      </c>
      <c r="F11" s="0" t="s">
        <v>30</v>
      </c>
      <c r="G11" s="0" t="s">
        <v>31</v>
      </c>
      <c r="I11" s="0" t="s">
        <v>32</v>
      </c>
    </row>
    <row r="12" customFormat="false" ht="14.65" hidden="false" customHeight="false" outlineLevel="0" collapsed="false">
      <c r="B12" s="0" t="n">
        <v>1</v>
      </c>
      <c r="C12" s="0" t="n">
        <f aca="false">beta*(1/((alpha^2)*(psi)))*bsize*EXP(alpha*zeta)</f>
        <v>95.1229424500714</v>
      </c>
      <c r="D12" s="0" t="n">
        <f aca="false">gamma*bsize</f>
        <v>5</v>
      </c>
      <c r="E12" s="0" t="n">
        <f aca="false">bsize*phi*beta*EXP(alpha*zeta)*(1/(alpha*psi)^2)</f>
        <v>9.51229424500714</v>
      </c>
      <c r="F12" s="0" t="n">
        <v>0</v>
      </c>
      <c r="G12" s="0" t="n">
        <f aca="false">C12-D12-E12</f>
        <v>80.6106482050643</v>
      </c>
      <c r="I12" s="0" t="n">
        <f aca="false">(C12-E12-D12)/B12</f>
        <v>80.6106482050643</v>
      </c>
    </row>
    <row r="13" customFormat="false" ht="14.65" hidden="false" customHeight="false" outlineLevel="0" collapsed="false">
      <c r="B13" s="0" t="n">
        <v>2</v>
      </c>
      <c r="C13" s="0" t="n">
        <f aca="false">beta*(1/((alpha^2)*(psi)))*bsize*EXP(alpha*zeta)</f>
        <v>190.245884900143</v>
      </c>
      <c r="D13" s="0" t="n">
        <f aca="false">gamma*bsize</f>
        <v>10</v>
      </c>
      <c r="E13" s="0" t="n">
        <f aca="false">bsize*phi*beta*EXP(alpha*zeta)*(1/(alpha*psi)^2)</f>
        <v>19.0245884900143</v>
      </c>
      <c r="F13" s="0" t="n">
        <v>0</v>
      </c>
      <c r="G13" s="0" t="n">
        <f aca="false">C13-D13-E13</f>
        <v>161.221296410129</v>
      </c>
      <c r="I13" s="0" t="n">
        <f aca="false">(C13-E13-D13)/B13</f>
        <v>80.6106482050643</v>
      </c>
    </row>
    <row r="14" customFormat="false" ht="14.65" hidden="false" customHeight="false" outlineLevel="0" collapsed="false">
      <c r="B14" s="0" t="n">
        <v>3</v>
      </c>
      <c r="C14" s="0" t="n">
        <f aca="false">beta*(1/((alpha^2)*(psi)))*bsize*EXP(alpha*zeta)</f>
        <v>285.368827350214</v>
      </c>
      <c r="D14" s="0" t="n">
        <f aca="false">gamma*bsize</f>
        <v>15</v>
      </c>
      <c r="E14" s="0" t="n">
        <f aca="false">bsize*phi*beta*EXP(alpha*zeta)*(1/(alpha*psi)^2)</f>
        <v>28.5368827350214</v>
      </c>
      <c r="F14" s="0" t="n">
        <v>0</v>
      </c>
      <c r="G14" s="0" t="n">
        <f aca="false">C14-D14-E14</f>
        <v>241.831944615193</v>
      </c>
      <c r="I14" s="0" t="n">
        <f aca="false">(C14-E14-D14)/B14</f>
        <v>80.6106482050642</v>
      </c>
    </row>
    <row r="15" customFormat="false" ht="14.65" hidden="false" customHeight="false" outlineLevel="0" collapsed="false">
      <c r="B15" s="0" t="n">
        <v>4</v>
      </c>
      <c r="C15" s="0" t="n">
        <f aca="false">beta*(1/((alpha^2)*(psi)))*bsize*EXP(alpha*zeta)</f>
        <v>380.491769800286</v>
      </c>
      <c r="D15" s="0" t="n">
        <f aca="false">gamma*bsize</f>
        <v>20</v>
      </c>
      <c r="E15" s="0" t="n">
        <f aca="false">bsize*phi*beta*EXP(alpha*zeta)*(1/(alpha*psi)^2)</f>
        <v>38.0491769800286</v>
      </c>
      <c r="F15" s="0" t="n">
        <v>0</v>
      </c>
      <c r="G15" s="0" t="n">
        <f aca="false">C15-D15-E15</f>
        <v>322.442592820257</v>
      </c>
      <c r="I15" s="0" t="n">
        <f aca="false">(C15-E15-D15)/B15</f>
        <v>80.6106482050643</v>
      </c>
    </row>
    <row r="16" customFormat="false" ht="14.65" hidden="false" customHeight="false" outlineLevel="0" collapsed="false">
      <c r="B16" s="0" t="n">
        <v>5</v>
      </c>
      <c r="C16" s="0" t="n">
        <f aca="false">beta*(1/((alpha^2)*(psi)))*bsize*EXP(alpha*zeta)</f>
        <v>475.614712250357</v>
      </c>
      <c r="D16" s="0" t="n">
        <f aca="false">gamma*bsize</f>
        <v>25</v>
      </c>
      <c r="E16" s="0" t="n">
        <f aca="false">bsize*phi*beta*EXP(alpha*zeta)*(1/(alpha*psi)^2)</f>
        <v>47.5614712250357</v>
      </c>
      <c r="F16" s="0" t="n">
        <v>0</v>
      </c>
      <c r="G16" s="0" t="n">
        <f aca="false">C16-D16-E16</f>
        <v>403.053241025321</v>
      </c>
      <c r="I16" s="0" t="n">
        <f aca="false">(C16-E16-D16)/B16</f>
        <v>80.6106482050643</v>
      </c>
    </row>
    <row r="17" customFormat="false" ht="14.65" hidden="false" customHeight="false" outlineLevel="0" collapsed="false">
      <c r="B17" s="0" t="n">
        <v>6</v>
      </c>
      <c r="C17" s="0" t="n">
        <f aca="false">beta*(1/((alpha^2)*(psi)))*bsize*EXP(alpha*zeta)</f>
        <v>570.737654700428</v>
      </c>
      <c r="D17" s="0" t="n">
        <f aca="false">gamma*bsize</f>
        <v>30</v>
      </c>
      <c r="E17" s="0" t="n">
        <f aca="false">bsize*phi*beta*EXP(alpha*zeta)*(1/(alpha*psi)^2)</f>
        <v>57.0737654700428</v>
      </c>
      <c r="F17" s="0" t="n">
        <v>0</v>
      </c>
      <c r="G17" s="0" t="n">
        <f aca="false">C17-D17-E17</f>
        <v>483.663889230385</v>
      </c>
      <c r="I17" s="0" t="n">
        <f aca="false">(C17-E17-D17)/B17</f>
        <v>80.6106482050642</v>
      </c>
    </row>
    <row r="18" customFormat="false" ht="14.65" hidden="false" customHeight="false" outlineLevel="0" collapsed="false">
      <c r="B18" s="0" t="n">
        <v>7</v>
      </c>
      <c r="C18" s="0" t="n">
        <f aca="false">beta*(1/((alpha^2)*(psi)))*bsize*EXP(alpha*zeta)</f>
        <v>665.8605971505</v>
      </c>
      <c r="D18" s="0" t="n">
        <f aca="false">gamma*bsize</f>
        <v>35</v>
      </c>
      <c r="E18" s="0" t="n">
        <f aca="false">bsize*phi*beta*EXP(alpha*zeta)*(1/(alpha*psi)^2)</f>
        <v>66.58605971505</v>
      </c>
      <c r="F18" s="0" t="n">
        <v>0</v>
      </c>
      <c r="G18" s="0" t="n">
        <f aca="false">C18-D18-E18</f>
        <v>564.27453743545</v>
      </c>
      <c r="I18" s="0" t="n">
        <f aca="false">(C18-E18-D18)/B18</f>
        <v>80.6106482050643</v>
      </c>
    </row>
    <row r="19" customFormat="false" ht="14.65" hidden="false" customHeight="false" outlineLevel="0" collapsed="false">
      <c r="B19" s="0" t="n">
        <v>8</v>
      </c>
      <c r="C19" s="0" t="n">
        <f aca="false">beta*(1/((alpha^2)*(psi)))*bsize*EXP(alpha*zeta)</f>
        <v>760.983539600571</v>
      </c>
      <c r="D19" s="0" t="n">
        <f aca="false">gamma*bsize</f>
        <v>40</v>
      </c>
      <c r="E19" s="0" t="n">
        <f aca="false">bsize*phi*beta*EXP(alpha*zeta)*(1/(alpha*psi)^2)</f>
        <v>76.0983539600571</v>
      </c>
      <c r="F19" s="0" t="n">
        <v>0</v>
      </c>
      <c r="G19" s="0" t="n">
        <f aca="false">C19-D19-E19</f>
        <v>644.885185640514</v>
      </c>
      <c r="I19" s="0" t="n">
        <f aca="false">(C19-E19-D19)/B19</f>
        <v>80.6106482050643</v>
      </c>
    </row>
    <row r="20" customFormat="false" ht="14.65" hidden="false" customHeight="false" outlineLevel="0" collapsed="false">
      <c r="B20" s="0" t="n">
        <v>9</v>
      </c>
      <c r="C20" s="0" t="n">
        <f aca="false">beta*(1/((alpha^2)*(psi)))*bsize*EXP(alpha*zeta)</f>
        <v>856.106482050643</v>
      </c>
      <c r="D20" s="0" t="n">
        <f aca="false">gamma*bsize</f>
        <v>45</v>
      </c>
      <c r="E20" s="0" t="n">
        <f aca="false">bsize*phi*beta*EXP(alpha*zeta)*(1/(alpha*psi)^2)</f>
        <v>85.6106482050643</v>
      </c>
      <c r="F20" s="0" t="n">
        <v>0</v>
      </c>
      <c r="G20" s="0" t="n">
        <f aca="false">C20-D20-E20</f>
        <v>725.495833845578</v>
      </c>
      <c r="I20" s="0" t="n">
        <f aca="false">(C20-E20-D20)/B20</f>
        <v>80.6106482050643</v>
      </c>
    </row>
    <row r="21" customFormat="false" ht="14.65" hidden="false" customHeight="false" outlineLevel="0" collapsed="false">
      <c r="B21" s="0" t="n">
        <v>10</v>
      </c>
      <c r="C21" s="0" t="n">
        <f aca="false">beta*(1/((alpha^2)*(psi)))*bsize*EXP(alpha*zeta)</f>
        <v>951.229424500714</v>
      </c>
      <c r="D21" s="0" t="n">
        <f aca="false">gamma*bsize</f>
        <v>50</v>
      </c>
      <c r="E21" s="0" t="n">
        <f aca="false">bsize*phi*beta*EXP(alpha*zeta)*(1/(alpha*psi)^2)</f>
        <v>95.1229424500714</v>
      </c>
      <c r="F21" s="0" t="n">
        <v>0</v>
      </c>
      <c r="G21" s="0" t="n">
        <f aca="false">C21-D21-E21</f>
        <v>806.106482050643</v>
      </c>
      <c r="I21" s="0" t="n">
        <f aca="false">(C21-E21-D21)/B21</f>
        <v>80.6106482050643</v>
      </c>
    </row>
    <row r="22" customFormat="false" ht="14.65" hidden="false" customHeight="false" outlineLevel="0" collapsed="false">
      <c r="B22" s="0" t="n">
        <f aca="false">B21+1</f>
        <v>11</v>
      </c>
      <c r="C22" s="0" t="n">
        <f aca="false">beta*(1/((alpha^2)*(psi)))*bsize*EXP(alpha*zeta)</f>
        <v>1046.35236695079</v>
      </c>
      <c r="D22" s="0" t="n">
        <f aca="false">gamma*bsize</f>
        <v>55</v>
      </c>
      <c r="E22" s="0" t="n">
        <f aca="false">bsize*phi*beta*EXP(alpha*zeta)*(1/(alpha*psi)^2)</f>
        <v>104.635236695079</v>
      </c>
      <c r="F22" s="0" t="n">
        <v>0</v>
      </c>
      <c r="G22" s="0" t="n">
        <f aca="false">C22-D22-E22</f>
        <v>886.717130255707</v>
      </c>
    </row>
    <row r="23" customFormat="false" ht="14.65" hidden="false" customHeight="false" outlineLevel="0" collapsed="false">
      <c r="B23" s="0" t="n">
        <f aca="false">B22+1</f>
        <v>12</v>
      </c>
      <c r="C23" s="0" t="n">
        <f aca="false">beta*(1/((alpha^2)*(psi)))*bsize*EXP(alpha*zeta)</f>
        <v>1141.47530940086</v>
      </c>
      <c r="D23" s="0" t="n">
        <f aca="false">gamma*bsize</f>
        <v>60</v>
      </c>
      <c r="E23" s="0" t="n">
        <f aca="false">bsize*phi*beta*EXP(alpha*zeta)*(1/(alpha*psi)^2)</f>
        <v>114.147530940086</v>
      </c>
      <c r="F23" s="0" t="n">
        <v>0</v>
      </c>
      <c r="G23" s="0" t="n">
        <f aca="false">C23-D23-E23</f>
        <v>967.327778460771</v>
      </c>
    </row>
    <row r="24" customFormat="false" ht="14.65" hidden="false" customHeight="false" outlineLevel="0" collapsed="false">
      <c r="B24" s="0" t="n">
        <f aca="false">B23+1</f>
        <v>13</v>
      </c>
      <c r="C24" s="0" t="n">
        <f aca="false">beta*(1/((alpha^2)*(psi)))*bsize*EXP(alpha*zeta)</f>
        <v>1236.59825185093</v>
      </c>
      <c r="D24" s="0" t="n">
        <f aca="false">gamma*bsize</f>
        <v>65</v>
      </c>
      <c r="E24" s="0" t="n">
        <f aca="false">bsize*phi*beta*EXP(alpha*zeta)*(1/(alpha*psi)^2)</f>
        <v>123.659825185093</v>
      </c>
      <c r="F24" s="0" t="n">
        <v>0</v>
      </c>
      <c r="G24" s="0" t="n">
        <f aca="false">C24-D24-E24</f>
        <v>1047.93842666584</v>
      </c>
    </row>
    <row r="25" customFormat="false" ht="14.65" hidden="false" customHeight="false" outlineLevel="0" collapsed="false">
      <c r="B25" s="0" t="n">
        <f aca="false">B24+1</f>
        <v>14</v>
      </c>
      <c r="C25" s="0" t="n">
        <f aca="false">beta*(1/((alpha^2)*(psi)))*bsize*EXP(alpha*zeta)</f>
        <v>1331.721194301</v>
      </c>
      <c r="D25" s="0" t="n">
        <f aca="false">gamma*bsize</f>
        <v>70</v>
      </c>
      <c r="E25" s="0" t="n">
        <f aca="false">bsize*phi*beta*EXP(alpha*zeta)*(1/(alpha*psi)^2)</f>
        <v>133.1721194301</v>
      </c>
      <c r="F25" s="0" t="n">
        <v>0</v>
      </c>
      <c r="G25" s="0" t="n">
        <f aca="false">C25-D25-E25</f>
        <v>1128.5490748709</v>
      </c>
    </row>
    <row r="26" customFormat="false" ht="14.65" hidden="false" customHeight="false" outlineLevel="0" collapsed="false">
      <c r="B26" s="0" t="n">
        <f aca="false">B25+1</f>
        <v>15</v>
      </c>
      <c r="C26" s="0" t="n">
        <f aca="false">beta*(1/((alpha^2)*(psi)))*bsize*EXP(alpha*zeta)</f>
        <v>1426.84413675107</v>
      </c>
      <c r="D26" s="0" t="n">
        <f aca="false">gamma*bsize</f>
        <v>75</v>
      </c>
      <c r="E26" s="0" t="n">
        <f aca="false">bsize*phi*beta*EXP(alpha*zeta)*(1/(alpha*psi)^2)</f>
        <v>142.684413675107</v>
      </c>
      <c r="F26" s="0" t="n">
        <v>0</v>
      </c>
      <c r="G26" s="0" t="n">
        <f aca="false">C26-D26-E26</f>
        <v>1209.15972307596</v>
      </c>
    </row>
    <row r="27" customFormat="false" ht="14.65" hidden="false" customHeight="false" outlineLevel="0" collapsed="false">
      <c r="B27" s="0" t="n">
        <f aca="false">B26+1</f>
        <v>16</v>
      </c>
      <c r="C27" s="0" t="n">
        <f aca="false">beta*(1/((alpha^2)*(psi)))*bsize*EXP(alpha*zeta)</f>
        <v>1521.96707920114</v>
      </c>
      <c r="D27" s="0" t="n">
        <f aca="false">gamma*bsize</f>
        <v>80</v>
      </c>
      <c r="E27" s="0" t="n">
        <f aca="false">bsize*phi*beta*EXP(alpha*zeta)*(1/(alpha*psi)^2)</f>
        <v>152.196707920114</v>
      </c>
      <c r="F27" s="0" t="n">
        <v>0</v>
      </c>
      <c r="G27" s="0" t="n">
        <f aca="false">C27-D27-E27</f>
        <v>1289.77037128103</v>
      </c>
    </row>
    <row r="28" customFormat="false" ht="14.65" hidden="false" customHeight="false" outlineLevel="0" collapsed="false">
      <c r="B28" s="0" t="n">
        <f aca="false">B27+1</f>
        <v>17</v>
      </c>
      <c r="C28" s="0" t="n">
        <f aca="false">beta*(1/((alpha^2)*(psi)))*bsize*EXP(alpha*zeta)</f>
        <v>1617.09002165121</v>
      </c>
      <c r="D28" s="0" t="n">
        <f aca="false">gamma*bsize</f>
        <v>85</v>
      </c>
      <c r="E28" s="0" t="n">
        <f aca="false">bsize*phi*beta*EXP(alpha*zeta)*(1/(alpha*psi)^2)</f>
        <v>161.709002165121</v>
      </c>
      <c r="F28" s="0" t="n">
        <v>0</v>
      </c>
      <c r="G28" s="0" t="n">
        <f aca="false">C28-D28-E28</f>
        <v>1370.38101948609</v>
      </c>
    </row>
    <row r="29" customFormat="false" ht="14.65" hidden="false" customHeight="false" outlineLevel="0" collapsed="false">
      <c r="B29" s="0" t="n">
        <f aca="false">B28+1</f>
        <v>18</v>
      </c>
      <c r="C29" s="0" t="n">
        <f aca="false">beta*(1/((alpha^2)*(psi)))*bsize*EXP(alpha*zeta)</f>
        <v>1712.21296410129</v>
      </c>
      <c r="D29" s="0" t="n">
        <f aca="false">gamma*bsize</f>
        <v>90</v>
      </c>
      <c r="E29" s="0" t="n">
        <f aca="false">bsize*phi*beta*EXP(alpha*zeta)*(1/(alpha*psi)^2)</f>
        <v>171.221296410129</v>
      </c>
      <c r="F29" s="0" t="n">
        <v>0</v>
      </c>
      <c r="G29" s="0" t="n">
        <f aca="false">C29-D29-E29</f>
        <v>1450.99166769116</v>
      </c>
    </row>
    <row r="30" customFormat="false" ht="14.65" hidden="false" customHeight="false" outlineLevel="0" collapsed="false">
      <c r="B30" s="0" t="n">
        <f aca="false">B29+1</f>
        <v>19</v>
      </c>
      <c r="C30" s="0" t="n">
        <f aca="false">beta*(1/((alpha^2)*(psi)))*bsize*EXP(alpha*zeta)</f>
        <v>1807.33590655136</v>
      </c>
      <c r="D30" s="0" t="n">
        <f aca="false">gamma*bsize</f>
        <v>95</v>
      </c>
      <c r="E30" s="0" t="n">
        <f aca="false">bsize*phi*beta*EXP(alpha*zeta)*(1/(alpha*psi)^2)</f>
        <v>180.733590655136</v>
      </c>
      <c r="F30" s="0" t="n">
        <v>0</v>
      </c>
      <c r="G30" s="0" t="n">
        <f aca="false">C30-D30-E30</f>
        <v>1531.60231589622</v>
      </c>
    </row>
    <row r="31" customFormat="false" ht="14.65" hidden="false" customHeight="false" outlineLevel="0" collapsed="false">
      <c r="B31" s="0" t="n">
        <f aca="false">B30+1</f>
        <v>20</v>
      </c>
      <c r="C31" s="0" t="n">
        <f aca="false">beta*(1/((alpha^2)*(psi)))*bsize*EXP(alpha*zeta)</f>
        <v>1902.45884900143</v>
      </c>
      <c r="D31" s="0" t="n">
        <f aca="false">gamma*bsize</f>
        <v>100</v>
      </c>
      <c r="E31" s="0" t="n">
        <f aca="false">bsize*phi*beta*EXP(alpha*zeta)*(1/(alpha*psi)^2)</f>
        <v>190.245884900143</v>
      </c>
      <c r="F31" s="0" t="n">
        <v>0</v>
      </c>
      <c r="G31" s="0" t="n">
        <f aca="false">C31-D31-E31</f>
        <v>1612.21296410129</v>
      </c>
    </row>
    <row r="32" customFormat="false" ht="14.65" hidden="false" customHeight="false" outlineLevel="0" collapsed="false">
      <c r="B32" s="0" t="n">
        <f aca="false">B31+1</f>
        <v>21</v>
      </c>
      <c r="C32" s="0" t="n">
        <f aca="false">beta*(1/((alpha^2)*(psi)))*bsize*EXP(alpha*zeta)</f>
        <v>1997.5817914515</v>
      </c>
      <c r="D32" s="0" t="n">
        <f aca="false">gamma*bsize</f>
        <v>105</v>
      </c>
      <c r="E32" s="0" t="n">
        <f aca="false">bsize*phi*beta*EXP(alpha*zeta)*(1/(alpha*psi)^2)</f>
        <v>199.75817914515</v>
      </c>
      <c r="F32" s="0" t="n">
        <v>0</v>
      </c>
      <c r="G32" s="0" t="n">
        <f aca="false">C32-D32-E32</f>
        <v>1692.82361230635</v>
      </c>
    </row>
    <row r="33" customFormat="false" ht="14.65" hidden="false" customHeight="false" outlineLevel="0" collapsed="false">
      <c r="B33" s="0" t="n">
        <f aca="false">B32+1</f>
        <v>22</v>
      </c>
      <c r="C33" s="0" t="n">
        <f aca="false">beta*(1/((alpha^2)*(psi)))*bsize*EXP(alpha*zeta)</f>
        <v>2092.70473390157</v>
      </c>
      <c r="D33" s="0" t="n">
        <f aca="false">gamma*bsize</f>
        <v>110</v>
      </c>
      <c r="E33" s="0" t="n">
        <f aca="false">bsize*phi*beta*EXP(alpha*zeta)*(1/(alpha*psi)^2)</f>
        <v>209.270473390157</v>
      </c>
      <c r="F33" s="0" t="n">
        <v>0</v>
      </c>
      <c r="G33" s="0" t="n">
        <f aca="false">C33-D33-E33</f>
        <v>1773.43426051141</v>
      </c>
    </row>
    <row r="34" customFormat="false" ht="14.65" hidden="false" customHeight="false" outlineLevel="0" collapsed="false">
      <c r="B34" s="0" t="n">
        <f aca="false">B33+1</f>
        <v>23</v>
      </c>
      <c r="C34" s="0" t="n">
        <f aca="false">beta*(1/((alpha^2)*(psi)))*bsize*EXP(alpha*zeta)</f>
        <v>2187.82767635164</v>
      </c>
      <c r="D34" s="0" t="n">
        <f aca="false">gamma*bsize</f>
        <v>115</v>
      </c>
      <c r="E34" s="0" t="n">
        <f aca="false">bsize*phi*beta*EXP(alpha*zeta)*(1/(alpha*psi)^2)</f>
        <v>218.782767635164</v>
      </c>
      <c r="F34" s="0" t="n">
        <v>0</v>
      </c>
      <c r="G34" s="0" t="n">
        <f aca="false">C34-D34-E34</f>
        <v>1854.04490871648</v>
      </c>
    </row>
    <row r="35" customFormat="false" ht="14.65" hidden="false" customHeight="false" outlineLevel="0" collapsed="false">
      <c r="B35" s="0" t="n">
        <f aca="false">B34+1</f>
        <v>24</v>
      </c>
      <c r="C35" s="0" t="n">
        <f aca="false">beta*(1/((alpha^2)*(psi)))*bsize*EXP(alpha*zeta)</f>
        <v>2282.95061880171</v>
      </c>
      <c r="D35" s="0" t="n">
        <f aca="false">gamma*bsize</f>
        <v>120</v>
      </c>
      <c r="E35" s="0" t="n">
        <f aca="false">bsize*phi*beta*EXP(alpha*zeta)*(1/(alpha*psi)^2)</f>
        <v>228.295061880171</v>
      </c>
      <c r="F35" s="0" t="n">
        <v>0</v>
      </c>
      <c r="G35" s="0" t="n">
        <f aca="false">C35-D35-E35</f>
        <v>1934.65555692154</v>
      </c>
    </row>
    <row r="36" customFormat="false" ht="14.65" hidden="false" customHeight="false" outlineLevel="0" collapsed="false">
      <c r="B36" s="0" t="n">
        <f aca="false">B35+1</f>
        <v>25</v>
      </c>
      <c r="C36" s="0" t="n">
        <f aca="false">beta*(1/((alpha^2)*(psi)))*bsize*EXP(alpha*zeta)</f>
        <v>2378.07356125178</v>
      </c>
      <c r="D36" s="0" t="n">
        <f aca="false">gamma*bsize</f>
        <v>125</v>
      </c>
      <c r="E36" s="0" t="n">
        <f aca="false">bsize*phi*beta*EXP(alpha*zeta)*(1/(alpha*psi)^2)</f>
        <v>237.807356125178</v>
      </c>
      <c r="F36" s="0" t="n">
        <v>0</v>
      </c>
      <c r="G36" s="0" t="n">
        <f aca="false">C36-D36-E36</f>
        <v>2015.26620512661</v>
      </c>
    </row>
    <row r="37" customFormat="false" ht="14.65" hidden="false" customHeight="false" outlineLevel="0" collapsed="false">
      <c r="B37" s="0" t="n">
        <f aca="false">B36+1</f>
        <v>26</v>
      </c>
      <c r="C37" s="0" t="n">
        <f aca="false">beta*(1/((alpha^2)*(psi)))*bsize*EXP(alpha*zeta)</f>
        <v>2473.19650370186</v>
      </c>
      <c r="D37" s="0" t="n">
        <f aca="false">gamma*bsize</f>
        <v>130</v>
      </c>
      <c r="E37" s="0" t="n">
        <f aca="false">bsize*phi*beta*EXP(alpha*zeta)*(1/(alpha*psi)^2)</f>
        <v>247.319650370186</v>
      </c>
      <c r="F37" s="0" t="n">
        <v>0</v>
      </c>
      <c r="G37" s="0" t="n">
        <f aca="false">C37-D37-E37</f>
        <v>2095.87685333167</v>
      </c>
    </row>
    <row r="38" customFormat="false" ht="14.65" hidden="false" customHeight="false" outlineLevel="0" collapsed="false">
      <c r="B38" s="0" t="n">
        <f aca="false">B37+1</f>
        <v>27</v>
      </c>
      <c r="C38" s="0" t="n">
        <f aca="false">beta*(1/((alpha^2)*(psi)))*bsize*EXP(alpha*zeta)</f>
        <v>2568.31944615193</v>
      </c>
      <c r="D38" s="0" t="n">
        <f aca="false">gamma*bsize</f>
        <v>135</v>
      </c>
      <c r="E38" s="0" t="n">
        <f aca="false">bsize*phi*beta*EXP(alpha*zeta)*(1/(alpha*psi)^2)</f>
        <v>256.831944615193</v>
      </c>
      <c r="F38" s="0" t="n">
        <v>0</v>
      </c>
      <c r="G38" s="0" t="n">
        <f aca="false">C38-D38-E38</f>
        <v>2176.48750153673</v>
      </c>
    </row>
    <row r="39" customFormat="false" ht="14.65" hidden="false" customHeight="false" outlineLevel="0" collapsed="false">
      <c r="B39" s="0" t="n">
        <f aca="false">B38+1</f>
        <v>28</v>
      </c>
      <c r="C39" s="0" t="n">
        <f aca="false">beta*(1/((alpha^2)*(psi)))*bsize*EXP(alpha*zeta)</f>
        <v>2663.442388602</v>
      </c>
      <c r="D39" s="0" t="n">
        <f aca="false">gamma*bsize</f>
        <v>140</v>
      </c>
      <c r="E39" s="0" t="n">
        <f aca="false">bsize*phi*beta*EXP(alpha*zeta)*(1/(alpha*psi)^2)</f>
        <v>266.3442388602</v>
      </c>
      <c r="F39" s="0" t="n">
        <v>0</v>
      </c>
      <c r="G39" s="0" t="n">
        <f aca="false">C39-D39-E39</f>
        <v>2257.0981497418</v>
      </c>
    </row>
    <row r="40" customFormat="false" ht="14.65" hidden="false" customHeight="false" outlineLevel="0" collapsed="false">
      <c r="B40" s="0" t="n">
        <f aca="false">B39+1</f>
        <v>29</v>
      </c>
      <c r="C40" s="0" t="n">
        <f aca="false">beta*(1/((alpha^2)*(psi)))*bsize*EXP(alpha*zeta)</f>
        <v>2758.56533105207</v>
      </c>
      <c r="D40" s="0" t="n">
        <f aca="false">gamma*bsize</f>
        <v>145</v>
      </c>
      <c r="E40" s="0" t="n">
        <f aca="false">bsize*phi*beta*EXP(alpha*zeta)*(1/(alpha*psi)^2)</f>
        <v>275.856533105207</v>
      </c>
      <c r="F40" s="0" t="n">
        <v>0</v>
      </c>
      <c r="G40" s="0" t="n">
        <f aca="false">C40-D40-E40</f>
        <v>2337.70879794686</v>
      </c>
    </row>
    <row r="41" customFormat="false" ht="14.65" hidden="false" customHeight="false" outlineLevel="0" collapsed="false">
      <c r="B41" s="0" t="n">
        <f aca="false">B40+1</f>
        <v>30</v>
      </c>
      <c r="C41" s="0" t="n">
        <f aca="false">beta*(1/((alpha^2)*(psi)))*bsize*EXP(alpha*zeta)</f>
        <v>2853.68827350214</v>
      </c>
      <c r="D41" s="0" t="n">
        <f aca="false">gamma*bsize</f>
        <v>150</v>
      </c>
      <c r="E41" s="0" t="n">
        <f aca="false">bsize*phi*beta*EXP(alpha*zeta)*(1/(alpha*psi)^2)</f>
        <v>285.368827350214</v>
      </c>
      <c r="F41" s="0" t="n">
        <v>0</v>
      </c>
      <c r="G41" s="0" t="n">
        <f aca="false">C41-D41-E41</f>
        <v>2418.31944615193</v>
      </c>
    </row>
    <row r="42" customFormat="false" ht="14.65" hidden="false" customHeight="false" outlineLevel="0" collapsed="false">
      <c r="B42" s="0" t="n">
        <f aca="false">B41+1</f>
        <v>31</v>
      </c>
      <c r="C42" s="0" t="n">
        <f aca="false">beta*(1/((alpha^2)*(psi)))*bsize*EXP(alpha*zeta)</f>
        <v>2948.81121595221</v>
      </c>
      <c r="D42" s="0" t="n">
        <f aca="false">gamma*bsize</f>
        <v>155</v>
      </c>
      <c r="E42" s="0" t="n">
        <f aca="false">bsize*phi*beta*EXP(alpha*zeta)*(1/(alpha*psi)^2)</f>
        <v>294.881121595221</v>
      </c>
      <c r="F42" s="0" t="n">
        <v>0</v>
      </c>
      <c r="G42" s="0" t="n">
        <f aca="false">C42-D42-E42</f>
        <v>2498.93009435699</v>
      </c>
    </row>
    <row r="43" customFormat="false" ht="14.65" hidden="false" customHeight="false" outlineLevel="0" collapsed="false">
      <c r="B43" s="0" t="n">
        <f aca="false">B42+1</f>
        <v>32</v>
      </c>
      <c r="C43" s="0" t="n">
        <f aca="false">beta*(1/((alpha^2)*(psi)))*bsize*EXP(alpha*zeta)</f>
        <v>3043.93415840228</v>
      </c>
      <c r="D43" s="0" t="n">
        <f aca="false">gamma*bsize</f>
        <v>160</v>
      </c>
      <c r="E43" s="0" t="n">
        <f aca="false">bsize*phi*beta*EXP(alpha*zeta)*(1/(alpha*psi)^2)</f>
        <v>304.393415840229</v>
      </c>
      <c r="F43" s="0" t="n">
        <v>0</v>
      </c>
      <c r="G43" s="0" t="n">
        <f aca="false">C43-D43-E43</f>
        <v>2579.54074256206</v>
      </c>
    </row>
    <row r="44" customFormat="false" ht="14.65" hidden="false" customHeight="false" outlineLevel="0" collapsed="false">
      <c r="B44" s="0" t="n">
        <f aca="false">B43+1</f>
        <v>33</v>
      </c>
      <c r="C44" s="0" t="n">
        <f aca="false">beta*(1/((alpha^2)*(psi)))*bsize*EXP(alpha*zeta)</f>
        <v>3139.05710085236</v>
      </c>
      <c r="D44" s="0" t="n">
        <f aca="false">gamma*bsize</f>
        <v>165</v>
      </c>
      <c r="E44" s="0" t="n">
        <f aca="false">bsize*phi*beta*EXP(alpha*zeta)*(1/(alpha*psi)^2)</f>
        <v>313.905710085236</v>
      </c>
      <c r="F44" s="0" t="n">
        <v>0</v>
      </c>
      <c r="G44" s="0" t="n">
        <f aca="false">C44-D44-E44</f>
        <v>2660.15139076712</v>
      </c>
    </row>
    <row r="45" customFormat="false" ht="14.65" hidden="false" customHeight="false" outlineLevel="0" collapsed="false">
      <c r="B45" s="0" t="n">
        <f aca="false">B44+1</f>
        <v>34</v>
      </c>
      <c r="C45" s="0" t="n">
        <f aca="false">beta*(1/((alpha^2)*(psi)))*bsize*EXP(alpha*zeta)</f>
        <v>3234.18004330243</v>
      </c>
      <c r="D45" s="0" t="n">
        <f aca="false">gamma*bsize</f>
        <v>170</v>
      </c>
      <c r="E45" s="0" t="n">
        <f aca="false">bsize*phi*beta*EXP(alpha*zeta)*(1/(alpha*psi)^2)</f>
        <v>323.418004330243</v>
      </c>
      <c r="F45" s="0" t="n">
        <v>0</v>
      </c>
      <c r="G45" s="0" t="n">
        <f aca="false">C45-D45-E45</f>
        <v>2740.76203897218</v>
      </c>
    </row>
    <row r="46" customFormat="false" ht="14.65" hidden="false" customHeight="false" outlineLevel="0" collapsed="false">
      <c r="B46" s="0" t="n">
        <f aca="false">B45+1</f>
        <v>35</v>
      </c>
      <c r="C46" s="0" t="n">
        <f aca="false">beta*(1/((alpha^2)*(psi)))*bsize*EXP(alpha*zeta)</f>
        <v>3329.3029857525</v>
      </c>
      <c r="D46" s="0" t="n">
        <f aca="false">gamma*bsize</f>
        <v>175</v>
      </c>
      <c r="E46" s="0" t="n">
        <f aca="false">bsize*phi*beta*EXP(alpha*zeta)*(1/(alpha*psi)^2)</f>
        <v>332.93029857525</v>
      </c>
      <c r="F46" s="0" t="n">
        <v>0</v>
      </c>
      <c r="G46" s="0" t="n">
        <f aca="false">C46-D46-E46</f>
        <v>2821.37268717725</v>
      </c>
    </row>
    <row r="47" customFormat="false" ht="14.65" hidden="false" customHeight="false" outlineLevel="0" collapsed="false">
      <c r="B47" s="0" t="n">
        <f aca="false">B46+1</f>
        <v>36</v>
      </c>
      <c r="C47" s="0" t="n">
        <f aca="false">beta*(1/((alpha^2)*(psi)))*bsize*EXP(alpha*zeta)</f>
        <v>3424.42592820257</v>
      </c>
      <c r="D47" s="0" t="n">
        <f aca="false">gamma*bsize</f>
        <v>180</v>
      </c>
      <c r="E47" s="0" t="n">
        <f aca="false">bsize*phi*beta*EXP(alpha*zeta)*(1/(alpha*psi)^2)</f>
        <v>342.442592820257</v>
      </c>
      <c r="F47" s="0" t="n">
        <v>0</v>
      </c>
      <c r="G47" s="0" t="n">
        <f aca="false">C47-D47-E47</f>
        <v>2901.98333538231</v>
      </c>
    </row>
    <row r="48" customFormat="false" ht="14.65" hidden="false" customHeight="false" outlineLevel="0" collapsed="false">
      <c r="B48" s="0" t="n">
        <f aca="false">B47+1</f>
        <v>37</v>
      </c>
      <c r="C48" s="0" t="n">
        <f aca="false">beta*(1/((alpha^2)*(psi)))*bsize*EXP(alpha*zeta)</f>
        <v>3519.54887065264</v>
      </c>
      <c r="D48" s="0" t="n">
        <f aca="false">gamma*bsize</f>
        <v>185</v>
      </c>
      <c r="E48" s="0" t="n">
        <f aca="false">bsize*phi*beta*EXP(alpha*zeta)*(1/(alpha*psi)^2)</f>
        <v>351.954887065264</v>
      </c>
      <c r="F48" s="0" t="n">
        <v>0</v>
      </c>
      <c r="G48" s="0" t="n">
        <f aca="false">C48-D48-E48</f>
        <v>2982.59398358738</v>
      </c>
    </row>
    <row r="49" customFormat="false" ht="14.65" hidden="false" customHeight="false" outlineLevel="0" collapsed="false">
      <c r="B49" s="0" t="n">
        <f aca="false">B48+1</f>
        <v>38</v>
      </c>
      <c r="C49" s="0" t="n">
        <f aca="false">beta*(1/((alpha^2)*(psi)))*bsize*EXP(alpha*zeta)</f>
        <v>3614.67181310271</v>
      </c>
      <c r="D49" s="0" t="n">
        <f aca="false">gamma*bsize</f>
        <v>190</v>
      </c>
      <c r="E49" s="0" t="n">
        <f aca="false">bsize*phi*beta*EXP(alpha*zeta)*(1/(alpha*psi)^2)</f>
        <v>361.467181310271</v>
      </c>
      <c r="F49" s="0" t="n">
        <v>0</v>
      </c>
      <c r="G49" s="0" t="n">
        <f aca="false">C49-D49-E49</f>
        <v>3063.20463179244</v>
      </c>
    </row>
    <row r="50" customFormat="false" ht="14.65" hidden="false" customHeight="false" outlineLevel="0" collapsed="false">
      <c r="B50" s="0" t="n">
        <f aca="false">B49+1</f>
        <v>39</v>
      </c>
      <c r="C50" s="0" t="n">
        <f aca="false">beta*(1/((alpha^2)*(psi)))*bsize*EXP(alpha*zeta)</f>
        <v>3709.79475555278</v>
      </c>
      <c r="D50" s="0" t="n">
        <f aca="false">gamma*bsize</f>
        <v>195</v>
      </c>
      <c r="E50" s="0" t="n">
        <f aca="false">bsize*phi*beta*EXP(alpha*zeta)*(1/(alpha*psi)^2)</f>
        <v>370.979475555278</v>
      </c>
      <c r="F50" s="0" t="n">
        <v>0</v>
      </c>
      <c r="G50" s="0" t="n">
        <f aca="false">C50-D50-E50</f>
        <v>3143.81527999751</v>
      </c>
    </row>
    <row r="51" customFormat="false" ht="14.65" hidden="false" customHeight="false" outlineLevel="0" collapsed="false">
      <c r="B51" s="0" t="n">
        <f aca="false">B50+1</f>
        <v>40</v>
      </c>
      <c r="C51" s="0" t="n">
        <f aca="false">beta*(1/((alpha^2)*(psi)))*bsize*EXP(alpha*zeta)</f>
        <v>3804.91769800286</v>
      </c>
      <c r="D51" s="0" t="n">
        <f aca="false">gamma*bsize</f>
        <v>200</v>
      </c>
      <c r="E51" s="0" t="n">
        <f aca="false">bsize*phi*beta*EXP(alpha*zeta)*(1/(alpha*psi)^2)</f>
        <v>380.491769800286</v>
      </c>
      <c r="F51" s="0" t="n">
        <v>0</v>
      </c>
      <c r="G51" s="0" t="n">
        <f aca="false">C51-D51-E51</f>
        <v>3224.42592820257</v>
      </c>
    </row>
    <row r="52" customFormat="false" ht="14.65" hidden="false" customHeight="false" outlineLevel="0" collapsed="false">
      <c r="B52" s="0" t="n">
        <f aca="false">B51+1</f>
        <v>41</v>
      </c>
      <c r="C52" s="0" t="n">
        <f aca="false">beta*(1/((alpha^2)*(psi)))*bsize*EXP(alpha*zeta)</f>
        <v>3900.04064045293</v>
      </c>
      <c r="D52" s="0" t="n">
        <f aca="false">gamma*bsize</f>
        <v>205</v>
      </c>
      <c r="E52" s="0" t="n">
        <f aca="false">bsize*phi*beta*EXP(alpha*zeta)*(1/(alpha*psi)^2)</f>
        <v>390.004064045293</v>
      </c>
      <c r="F52" s="0" t="n">
        <v>0</v>
      </c>
      <c r="G52" s="0" t="n">
        <f aca="false">C52-D52-E52</f>
        <v>3305.03657640763</v>
      </c>
    </row>
    <row r="53" customFormat="false" ht="14.65" hidden="false" customHeight="false" outlineLevel="0" collapsed="false">
      <c r="B53" s="0" t="n">
        <f aca="false">B52+1</f>
        <v>42</v>
      </c>
      <c r="C53" s="0" t="n">
        <f aca="false">beta*(1/((alpha^2)*(psi)))*bsize*EXP(alpha*zeta)</f>
        <v>3995.163582903</v>
      </c>
      <c r="D53" s="0" t="n">
        <f aca="false">gamma*bsize</f>
        <v>210</v>
      </c>
      <c r="E53" s="0" t="n">
        <f aca="false">bsize*phi*beta*EXP(alpha*zeta)*(1/(alpha*psi)^2)</f>
        <v>399.5163582903</v>
      </c>
      <c r="F53" s="0" t="n">
        <v>0</v>
      </c>
      <c r="G53" s="0" t="n">
        <f aca="false">C53-D53-E53</f>
        <v>3385.6472246127</v>
      </c>
    </row>
    <row r="54" customFormat="false" ht="14.65" hidden="false" customHeight="false" outlineLevel="0" collapsed="false">
      <c r="B54" s="0" t="n">
        <f aca="false">B53+1</f>
        <v>43</v>
      </c>
      <c r="C54" s="0" t="n">
        <f aca="false">beta*(1/((alpha^2)*(psi)))*bsize*EXP(alpha*zeta)</f>
        <v>4090.28652535307</v>
      </c>
      <c r="D54" s="0" t="n">
        <f aca="false">gamma*bsize</f>
        <v>215</v>
      </c>
      <c r="E54" s="0" t="n">
        <f aca="false">bsize*phi*beta*EXP(alpha*zeta)*(1/(alpha*psi)^2)</f>
        <v>409.028652535307</v>
      </c>
      <c r="F54" s="0" t="n">
        <v>0</v>
      </c>
      <c r="G54" s="0" t="n">
        <f aca="false">C54-D54-E54</f>
        <v>3466.25787281776</v>
      </c>
    </row>
    <row r="55" customFormat="false" ht="14.65" hidden="false" customHeight="false" outlineLevel="0" collapsed="false">
      <c r="B55" s="0" t="n">
        <f aca="false">B54+1</f>
        <v>44</v>
      </c>
      <c r="C55" s="0" t="n">
        <f aca="false">beta*(1/((alpha^2)*(psi)))*bsize*EXP(alpha*zeta)</f>
        <v>4185.40946780314</v>
      </c>
      <c r="D55" s="0" t="n">
        <f aca="false">gamma*bsize</f>
        <v>220</v>
      </c>
      <c r="E55" s="0" t="n">
        <f aca="false">bsize*phi*beta*EXP(alpha*zeta)*(1/(alpha*psi)^2)</f>
        <v>418.540946780314</v>
      </c>
      <c r="F55" s="0" t="n">
        <v>0</v>
      </c>
      <c r="G55" s="0" t="n">
        <f aca="false">C55-D55-E55</f>
        <v>3546.86852102283</v>
      </c>
    </row>
    <row r="56" customFormat="false" ht="14.65" hidden="false" customHeight="false" outlineLevel="0" collapsed="false">
      <c r="B56" s="0" t="n">
        <f aca="false">B55+1</f>
        <v>45</v>
      </c>
      <c r="C56" s="0" t="n">
        <f aca="false">beta*(1/((alpha^2)*(psi)))*bsize*EXP(alpha*zeta)</f>
        <v>4280.53241025321</v>
      </c>
      <c r="D56" s="0" t="n">
        <f aca="false">gamma*bsize</f>
        <v>225</v>
      </c>
      <c r="E56" s="0" t="n">
        <f aca="false">bsize*phi*beta*EXP(alpha*zeta)*(1/(alpha*psi)^2)</f>
        <v>428.053241025321</v>
      </c>
      <c r="F56" s="0" t="n">
        <v>0</v>
      </c>
      <c r="G56" s="0" t="n">
        <f aca="false">C56-D56-E56</f>
        <v>3627.47916922789</v>
      </c>
    </row>
    <row r="57" customFormat="false" ht="14.65" hidden="false" customHeight="false" outlineLevel="0" collapsed="false">
      <c r="B57" s="0" t="n">
        <f aca="false">B56+1</f>
        <v>46</v>
      </c>
      <c r="C57" s="0" t="n">
        <f aca="false">beta*(1/((alpha^2)*(psi)))*bsize*EXP(alpha*zeta)</f>
        <v>4375.65535270328</v>
      </c>
      <c r="D57" s="0" t="n">
        <f aca="false">gamma*bsize</f>
        <v>230</v>
      </c>
      <c r="E57" s="0" t="n">
        <f aca="false">bsize*phi*beta*EXP(alpha*zeta)*(1/(alpha*psi)^2)</f>
        <v>437.565535270329</v>
      </c>
      <c r="F57" s="0" t="n">
        <v>0</v>
      </c>
      <c r="G57" s="0" t="n">
        <f aca="false">C57-D57-E57</f>
        <v>3708.08981743296</v>
      </c>
    </row>
    <row r="58" customFormat="false" ht="14.65" hidden="false" customHeight="false" outlineLevel="0" collapsed="false">
      <c r="B58" s="0" t="n">
        <f aca="false">B57+1</f>
        <v>47</v>
      </c>
      <c r="C58" s="0" t="n">
        <f aca="false">beta*(1/((alpha^2)*(psi)))*bsize*EXP(alpha*zeta)</f>
        <v>4470.77829515336</v>
      </c>
      <c r="D58" s="0" t="n">
        <f aca="false">gamma*bsize</f>
        <v>235</v>
      </c>
      <c r="E58" s="0" t="n">
        <f aca="false">bsize*phi*beta*EXP(alpha*zeta)*(1/(alpha*psi)^2)</f>
        <v>447.077829515336</v>
      </c>
      <c r="F58" s="0" t="n">
        <v>0</v>
      </c>
      <c r="G58" s="0" t="n">
        <f aca="false">C58-D58-E58</f>
        <v>3788.70046563802</v>
      </c>
    </row>
    <row r="59" customFormat="false" ht="14.65" hidden="false" customHeight="false" outlineLevel="0" collapsed="false">
      <c r="B59" s="0" t="n">
        <f aca="false">B58+1</f>
        <v>48</v>
      </c>
      <c r="C59" s="0" t="n">
        <f aca="false">beta*(1/((alpha^2)*(psi)))*bsize*EXP(alpha*zeta)</f>
        <v>4565.90123760343</v>
      </c>
      <c r="D59" s="0" t="n">
        <f aca="false">gamma*bsize</f>
        <v>240</v>
      </c>
      <c r="E59" s="0" t="n">
        <f aca="false">bsize*phi*beta*EXP(alpha*zeta)*(1/(alpha*psi)^2)</f>
        <v>456.590123760343</v>
      </c>
      <c r="F59" s="0" t="n">
        <v>0</v>
      </c>
      <c r="G59" s="0" t="n">
        <f aca="false">C59-D59-E59</f>
        <v>3869.31111384308</v>
      </c>
    </row>
    <row r="60" customFormat="false" ht="14.65" hidden="false" customHeight="false" outlineLevel="0" collapsed="false">
      <c r="B60" s="0" t="n">
        <f aca="false">B59+1</f>
        <v>49</v>
      </c>
      <c r="C60" s="0" t="n">
        <f aca="false">beta*(1/((alpha^2)*(psi)))*bsize*EXP(alpha*zeta)</f>
        <v>4661.0241800535</v>
      </c>
      <c r="D60" s="0" t="n">
        <f aca="false">gamma*bsize</f>
        <v>245</v>
      </c>
      <c r="E60" s="0" t="n">
        <f aca="false">bsize*phi*beta*EXP(alpha*zeta)*(1/(alpha*psi)^2)</f>
        <v>466.10241800535</v>
      </c>
      <c r="F60" s="0" t="n">
        <v>0</v>
      </c>
      <c r="G60" s="0" t="n">
        <f aca="false">C60-D60-E60</f>
        <v>3949.92176204815</v>
      </c>
    </row>
    <row r="61" customFormat="false" ht="14.65" hidden="false" customHeight="false" outlineLevel="0" collapsed="false">
      <c r="B61" s="0" t="n">
        <f aca="false">B60+1</f>
        <v>50</v>
      </c>
      <c r="C61" s="0" t="n">
        <f aca="false">beta*(1/((alpha^2)*(psi)))*bsize*EXP(alpha*zeta)</f>
        <v>4756.14712250357</v>
      </c>
      <c r="D61" s="0" t="n">
        <f aca="false">gamma*bsize</f>
        <v>250</v>
      </c>
      <c r="E61" s="0" t="n">
        <f aca="false">bsize*phi*beta*EXP(alpha*zeta)*(1/(alpha*psi)^2)</f>
        <v>475.614712250357</v>
      </c>
      <c r="F61" s="0" t="n">
        <v>0</v>
      </c>
      <c r="G61" s="0" t="n">
        <f aca="false">C61-D61-E61</f>
        <v>4030.53241025321</v>
      </c>
    </row>
    <row r="62" customFormat="false" ht="14.65" hidden="false" customHeight="false" outlineLevel="0" collapsed="false">
      <c r="B62" s="0" t="n">
        <f aca="false">B61+1</f>
        <v>51</v>
      </c>
      <c r="C62" s="0" t="n">
        <f aca="false">beta*(1/((alpha^2)*(psi)))*bsize*EXP(alpha*zeta)</f>
        <v>4851.27006495364</v>
      </c>
      <c r="D62" s="0" t="n">
        <f aca="false">gamma*bsize</f>
        <v>255</v>
      </c>
      <c r="E62" s="0" t="n">
        <f aca="false">bsize*phi*beta*EXP(alpha*zeta)*(1/(alpha*psi)^2)</f>
        <v>485.127006495364</v>
      </c>
      <c r="F62" s="0" t="n">
        <v>0</v>
      </c>
      <c r="G62" s="0" t="n">
        <f aca="false">C62-D62-E62</f>
        <v>4111.14305845828</v>
      </c>
    </row>
    <row r="63" customFormat="false" ht="14.65" hidden="false" customHeight="false" outlineLevel="0" collapsed="false">
      <c r="B63" s="0" t="n">
        <f aca="false">B62+1</f>
        <v>52</v>
      </c>
      <c r="C63" s="0" t="n">
        <f aca="false">beta*(1/((alpha^2)*(psi)))*bsize*EXP(alpha*zeta)</f>
        <v>4946.39300740371</v>
      </c>
      <c r="D63" s="0" t="n">
        <f aca="false">gamma*bsize</f>
        <v>260</v>
      </c>
      <c r="E63" s="0" t="n">
        <f aca="false">bsize*phi*beta*EXP(alpha*zeta)*(1/(alpha*psi)^2)</f>
        <v>494.639300740371</v>
      </c>
      <c r="F63" s="0" t="n">
        <v>0</v>
      </c>
      <c r="G63" s="0" t="n">
        <f aca="false">C63-D63-E63</f>
        <v>4191.75370666334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:F23 E1:F23"/>
    </sheetView>
  </sheetViews>
  <sheetFormatPr defaultColWidth="11.0546875" defaultRowHeight="14.65" customHeight="false" zeroHeight="false" outlineLevelRow="0" outlineLevelCol="0"/>
  <cols>
    <col collapsed="false" customWidth="true" hidden="false" outlineLevel="0" max="2" min="2" style="1" width="8.14"/>
    <col collapsed="false" customWidth="true" hidden="false" outlineLevel="0" max="12" min="3" style="2" width="10.71"/>
    <col collapsed="false" customWidth="true" hidden="false" outlineLevel="0" max="14" min="14" style="0" width="9.71"/>
    <col collapsed="false" customWidth="true" hidden="false" outlineLevel="0" max="15" min="15" style="2" width="13.71"/>
    <col collapsed="false" customWidth="true" hidden="false" outlineLevel="0" max="16" min="16" style="0" width="8.71"/>
    <col collapsed="false" customWidth="true" hidden="false" outlineLevel="0" max="17" min="17" style="0" width="7.42"/>
  </cols>
  <sheetData>
    <row r="1" customFormat="false" ht="14.65" hidden="false" customHeight="false" outlineLevel="0" collapsed="false">
      <c r="A1" s="0" t="s">
        <v>9</v>
      </c>
      <c r="B1" s="1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N1" s="0" t="s">
        <v>9</v>
      </c>
      <c r="O1" s="2" t="s">
        <v>21</v>
      </c>
      <c r="P1" s="0" t="s">
        <v>22</v>
      </c>
      <c r="Q1" s="0" t="s">
        <v>23</v>
      </c>
      <c r="R1" s="0" t="s">
        <v>24</v>
      </c>
      <c r="S1" s="0" t="s">
        <v>33</v>
      </c>
    </row>
    <row r="2" customFormat="false" ht="14.65" hidden="false" customHeight="false" outlineLevel="0" collapsed="false">
      <c r="A2" s="0" t="n">
        <v>0</v>
      </c>
      <c r="B2" s="1" t="n">
        <v>5.5</v>
      </c>
      <c r="C2" s="2" t="n">
        <f aca="false">beta*(1/(alpha*psi))*(1/alpha)*((-1/alpha*psi)*(EXP(alpha*(zeta+psi*tauVtax!Size))-EXP(alpha*zeta))+(tauVtax!Size*EXP(alpha*zeta)))</f>
        <v>0</v>
      </c>
      <c r="D2" s="2" t="n">
        <f aca="false">beta*(-1/(alpha*psi)^2)*(1/alpha)*(EXP(alpha*(tauVtax!Tau+zeta))-EXP(alpha*(tauVtax!Tau+zeta+psi*tauVtax!Size)))</f>
        <v>0</v>
      </c>
      <c r="E2" s="2" t="n">
        <f aca="false">tauVtax!Tau*beta*EXP(alpha*(tauVtax!Tau+zeta))*(0-(1/(alpha*psi)^2))*(-1+EXP(alpha*psi*tauVtax!Size))</f>
        <v>-0</v>
      </c>
      <c r="F2" s="2" t="n">
        <f aca="false">2*tauVtax!Tau*beta*EXP(alpha*(2*tauVtax!Tau+zeta))*(1/(alpha*psi)^2)*(EXP(alpha*psi*tauVtax!Size))</f>
        <v>348.300446316958</v>
      </c>
      <c r="G2" s="2" t="n">
        <f aca="false">gamma*tauVtax!Size</f>
        <v>0</v>
      </c>
      <c r="H2" s="2" t="n">
        <f aca="false">phi*beta*EXP(alpha*(zeta))*(0-1/(alpha*psi)^2)*((2/(alpha*psi))*(EXP(alpha*psi*tauVtax!Size)-1)-(tauVtax!Size*(EXP(alpha*psi*tauVtax!Size)+1)))</f>
        <v>0</v>
      </c>
      <c r="I2" s="2" t="n">
        <f aca="false">(phi*beta*EXP(alpha*(tauVtax!Tau+zeta)))*(0-1/(alpha*psi)^2)*((1/(alpha*psi))*(1-EXP(alpha*psi*tauVtax!Size))+tauVtax!Size*EXP(alpha*psi*tauVtax!Size))</f>
        <v>-0</v>
      </c>
      <c r="J2" s="2" t="n">
        <f aca="false">(phi*beta*EXP(alpha*(2*tauVtax!Tau+zeta)))*(1/(alpha*psi)^2)*(tauVtax!Size*EXP(alpha*psi*tauVtax!Size))</f>
        <v>0</v>
      </c>
      <c r="K2" s="2" t="n">
        <f aca="false">theta*beta*(-1/(alpha*psi)^2)*EXP(alpha*(tauVtax!Tau+zeta))*(EXP(alpha*psi*tauVtax!Size)-1)</f>
        <v>-0</v>
      </c>
      <c r="L2" s="2" t="n">
        <f aca="false">theta*beta*(1/(alpha*psi)^2)*EXP(alpha*(2*tauVtax!Tau+zeta+psi*tauVtax!Size))</f>
        <v>31.6636769379053</v>
      </c>
      <c r="N2" s="0" t="n">
        <f aca="false">A2</f>
        <v>0</v>
      </c>
      <c r="O2" s="2" t="n">
        <f aca="false">P2+Q2-R2</f>
        <v>316.636769379053</v>
      </c>
      <c r="P2" s="2" t="n">
        <f aca="false">C2+D2</f>
        <v>0</v>
      </c>
      <c r="Q2" s="2" t="n">
        <f aca="false">2*E2+F2</f>
        <v>348.300446316958</v>
      </c>
      <c r="R2" s="2" t="n">
        <f aca="false">G2+H2+2*I2+J2+2*K2+L2</f>
        <v>31.6636769379053</v>
      </c>
      <c r="S2" s="1" t="n">
        <f aca="false">B2</f>
        <v>5.5</v>
      </c>
    </row>
    <row r="3" customFormat="false" ht="14.65" hidden="false" customHeight="false" outlineLevel="0" collapsed="false">
      <c r="A3" s="0" t="n">
        <f aca="false">A2+2</f>
        <v>2</v>
      </c>
      <c r="B3" s="1" t="n">
        <v>6.68229493668799</v>
      </c>
      <c r="C3" s="2" t="n">
        <f aca="false">beta*(1/(alpha*psi))*(1/alpha)*((-1/alpha*psi)*(EXP(alpha*(zeta+psi*tauVtax!Size))-EXP(alpha*zeta))+(tauVtax!Size*EXP(alpha*zeta)))</f>
        <v>17.8172434708337</v>
      </c>
      <c r="D3" s="2" t="n">
        <f aca="false">beta*(-1/(alpha*psi)^2)*(1/alpha)*(EXP(alpha*(tauVtax!Tau+zeta))-EXP(alpha*(tauVtax!Tau+zeta+psi*tauVtax!Size)))</f>
        <v>88.3895707146743</v>
      </c>
      <c r="E3" s="2" t="n">
        <f aca="false">tauVtax!Tau*beta*EXP(alpha*(tauVtax!Tau+zeta))*(0-(1/(alpha*psi)^2))*(-1+EXP(alpha*psi*tauVtax!Size))</f>
        <v>59.0645180842694</v>
      </c>
      <c r="F3" s="2" t="n">
        <f aca="false">2*tauVtax!Tau*beta*EXP(alpha*(2*tauVtax!Tau+zeta))*(1/(alpha*psi)^2)*(EXP(alpha*psi*tauVtax!Size))</f>
        <v>273.504988491967</v>
      </c>
      <c r="G3" s="2" t="n">
        <f aca="false">gamma*tauVtax!Size</f>
        <v>10</v>
      </c>
      <c r="H3" s="2" t="n">
        <f aca="false">phi*beta*EXP(alpha*(zeta))*(0-1/(alpha*psi)^2)*((2/(alpha*psi))*(EXP(alpha*psi*tauVtax!Size)-1)-(tauVtax!Size*(EXP(alpha*psi*tauVtax!Size)+1)))</f>
        <v>0.114875865580539</v>
      </c>
      <c r="I3" s="2" t="n">
        <f aca="false">(phi*beta*EXP(alpha*(tauVtax!Tau+zeta)))*(0-1/(alpha*psi)^2)*((1/(alpha*psi))*(1-EXP(alpha*psi*tauVtax!Size))+tauVtax!Size*EXP(alpha*psi*tauVtax!Size))</f>
        <v>0.854452140347247</v>
      </c>
      <c r="J3" s="2" t="n">
        <f aca="false">(phi*beta*EXP(alpha*(2*tauVtax!Tau+zeta)))*(1/(alpha*psi)^2)*(tauVtax!Size*EXP(alpha*psi*tauVtax!Size))</f>
        <v>4.09297989812354</v>
      </c>
      <c r="K3" s="2" t="n">
        <f aca="false">theta*beta*(-1/(alpha*psi)^2)*EXP(alpha*(tauVtax!Tau+zeta))*(EXP(alpha*psi*tauVtax!Size)-1)</f>
        <v>8.83895707146743</v>
      </c>
      <c r="L3" s="2" t="n">
        <f aca="false">theta*beta*(1/(alpha*psi)^2)*EXP(alpha*(2*tauVtax!Tau+zeta+psi*tauVtax!Size))</f>
        <v>20.4648994906177</v>
      </c>
      <c r="N3" s="0" t="n">
        <f aca="false">A3</f>
        <v>2</v>
      </c>
      <c r="O3" s="2" t="n">
        <f aca="false">P3+Q3-R3</f>
        <v>443.781265168062</v>
      </c>
      <c r="P3" s="2" t="n">
        <f aca="false">C3+D3</f>
        <v>106.206814185508</v>
      </c>
      <c r="Q3" s="2" t="n">
        <f aca="false">2*E3+F3</f>
        <v>391.634024660505</v>
      </c>
      <c r="R3" s="2" t="n">
        <f aca="false">G3+H3+2*I3+J3+2*K3+L3</f>
        <v>54.0595736779511</v>
      </c>
      <c r="S3" s="1" t="n">
        <f aca="false">B3</f>
        <v>6.68229493668799</v>
      </c>
    </row>
    <row r="4" customFormat="false" ht="14.65" hidden="false" customHeight="false" outlineLevel="0" collapsed="false">
      <c r="A4" s="0" t="n">
        <f aca="false">A3+2</f>
        <v>4</v>
      </c>
      <c r="B4" s="1" t="n">
        <v>7.82370448169604</v>
      </c>
      <c r="C4" s="2" t="n">
        <f aca="false">beta*(1/(alpha*psi))*(1/alpha)*((-1/alpha*psi)*(EXP(alpha*(zeta+psi*tauVtax!Size))-EXP(alpha*zeta))+(tauVtax!Size*EXP(alpha*zeta)))</f>
        <v>66.890496921345</v>
      </c>
      <c r="D4" s="2" t="n">
        <f aca="false">beta*(-1/(alpha*psi)^2)*(1/alpha)*(EXP(alpha*(tauVtax!Tau+zeta))-EXP(alpha*(tauVtax!Tau+zeta+psi*tauVtax!Size)))</f>
        <v>143.416344381105</v>
      </c>
      <c r="E4" s="2" t="n">
        <f aca="false">tauVtax!Tau*beta*EXP(alpha*(tauVtax!Tau+zeta))*(0-(1/(alpha*psi)^2))*(-1+EXP(alpha*psi*tauVtax!Size))</f>
        <v>112.204709628291</v>
      </c>
      <c r="F4" s="2" t="n">
        <f aca="false">2*tauVtax!Tau*beta*EXP(alpha*(2*tauVtax!Tau+zeta))*(1/(alpha*psi)^2)*(EXP(alpha*psi*tauVtax!Size))</f>
        <v>208.665946570021</v>
      </c>
      <c r="G4" s="2" t="n">
        <f aca="false">gamma*tauVtax!Size</f>
        <v>20</v>
      </c>
      <c r="H4" s="2" t="n">
        <f aca="false">phi*beta*EXP(alpha*(zeta))*(0-1/(alpha*psi)^2)*((2/(alpha*psi))*(EXP(alpha*psi*tauVtax!Size)-1)-(tauVtax!Size*(EXP(alpha*psi*tauVtax!Size)+1)))</f>
        <v>0.834048469111355</v>
      </c>
      <c r="I4" s="2" t="n">
        <f aca="false">(phi*beta*EXP(alpha*(tauVtax!Tau+zeta)))*(0-1/(alpha*psi)^2)*((1/(alpha*psi))*(1-EXP(alpha*psi*tauVtax!Size))+tauVtax!Size*EXP(alpha*psi*tauVtax!Size))</f>
        <v>2.6776130850624</v>
      </c>
      <c r="J4" s="2" t="n">
        <f aca="false">(phi*beta*EXP(alpha*(2*tauVtax!Tau+zeta)))*(1/(alpha*psi)^2)*(tauVtax!Size*EXP(alpha*psi*tauVtax!Size))</f>
        <v>5.33419806584477</v>
      </c>
      <c r="K4" s="2" t="n">
        <f aca="false">theta*beta*(-1/(alpha*psi)^2)*EXP(alpha*(tauVtax!Tau+zeta))*(EXP(alpha*psi*tauVtax!Size)-1)</f>
        <v>14.3416344381105</v>
      </c>
      <c r="L4" s="2" t="n">
        <f aca="false">theta*beta*(1/(alpha*psi)^2)*EXP(alpha*(2*tauVtax!Tau+zeta+psi*tauVtax!Size))</f>
        <v>13.3354951646119</v>
      </c>
      <c r="N4" s="0" t="n">
        <f aca="false">A4</f>
        <v>4</v>
      </c>
      <c r="O4" s="2" t="n">
        <f aca="false">P4+Q4-R4</f>
        <v>569.839970383139</v>
      </c>
      <c r="P4" s="2" t="n">
        <f aca="false">C4+D4</f>
        <v>210.30684130245</v>
      </c>
      <c r="Q4" s="2" t="n">
        <f aca="false">2*E4+F4</f>
        <v>433.075365826603</v>
      </c>
      <c r="R4" s="2" t="n">
        <f aca="false">G4+H4+2*I4+J4+2*K4+L4</f>
        <v>73.5422367459138</v>
      </c>
      <c r="S4" s="1" t="n">
        <f aca="false">B4</f>
        <v>7.82370448169604</v>
      </c>
    </row>
    <row r="5" customFormat="false" ht="14.65" hidden="false" customHeight="false" outlineLevel="0" collapsed="false">
      <c r="A5" s="0" t="n">
        <f aca="false">A4+2</f>
        <v>6</v>
      </c>
      <c r="B5" s="1" t="n">
        <v>8.88600683564722</v>
      </c>
      <c r="C5" s="2" t="n">
        <f aca="false">beta*(1/(alpha*psi))*(1/alpha)*((-1/alpha*psi)*(EXP(alpha*(zeta+psi*tauVtax!Size))-EXP(alpha*zeta))+(tauVtax!Size*EXP(alpha*zeta)))</f>
        <v>141.55400696073</v>
      </c>
      <c r="D5" s="2" t="n">
        <f aca="false">beta*(-1/(alpha*psi)^2)*(1/alpha)*(EXP(alpha*(tauVtax!Tau+zeta))-EXP(alpha*(tauVtax!Tau+zeta+psi*tauVtax!Size)))</f>
        <v>176.493531516685</v>
      </c>
      <c r="E5" s="2" t="n">
        <f aca="false">tauVtax!Tau*beta*EXP(alpha*(tauVtax!Tau+zeta))*(0-(1/(alpha*psi)^2))*(-1+EXP(alpha*psi*tauVtax!Size))</f>
        <v>156.832272750478</v>
      </c>
      <c r="F5" s="2" t="n">
        <f aca="false">2*tauVtax!Tau*beta*EXP(alpha*(2*tauVtax!Tau+zeta))*(1/(alpha*psi)^2)*(EXP(alpha*psi*tauVtax!Size))</f>
        <v>156.897664318216</v>
      </c>
      <c r="G5" s="2" t="n">
        <f aca="false">gamma*tauVtax!Size</f>
        <v>30</v>
      </c>
      <c r="H5" s="2" t="n">
        <f aca="false">phi*beta*EXP(alpha*(zeta))*(0-1/(alpha*psi)^2)*((2/(alpha*psi))*(EXP(alpha*psi*tauVtax!Size)-1)-(tauVtax!Size*(EXP(alpha*psi*tauVtax!Size)+1)))</f>
        <v>2.55978252776422</v>
      </c>
      <c r="I5" s="2" t="n">
        <f aca="false">(phi*beta*EXP(alpha*(tauVtax!Tau+zeta)))*(0-1/(alpha*psi)^2)*((1/(alpha*psi))*(1-EXP(alpha*psi*tauVtax!Size))+tauVtax!Size*EXP(alpha*psi*tauVtax!Size))</f>
        <v>4.76847524695328</v>
      </c>
      <c r="J5" s="2" t="n">
        <f aca="false">(phi*beta*EXP(alpha*(2*tauVtax!Tau+zeta)))*(1/(alpha*psi)^2)*(tauVtax!Size*EXP(alpha*psi*tauVtax!Size))</f>
        <v>5.29701362671035</v>
      </c>
      <c r="K5" s="2" t="n">
        <f aca="false">theta*beta*(-1/(alpha*psi)^2)*EXP(alpha*(tauVtax!Tau+zeta))*(EXP(alpha*psi*tauVtax!Size)-1)</f>
        <v>17.6493531516685</v>
      </c>
      <c r="L5" s="2" t="n">
        <f aca="false">theta*beta*(1/(alpha*psi)^2)*EXP(alpha*(2*tauVtax!Tau+zeta+psi*tauVtax!Size))</f>
        <v>8.82835604451725</v>
      </c>
      <c r="N5" s="0" t="n">
        <f aca="false">A5</f>
        <v>6</v>
      </c>
      <c r="O5" s="2" t="n">
        <f aca="false">P5+Q5-R5</f>
        <v>697.088939300352</v>
      </c>
      <c r="P5" s="2" t="n">
        <f aca="false">C5+D5</f>
        <v>318.047538477416</v>
      </c>
      <c r="Q5" s="2" t="n">
        <f aca="false">2*E5+F5</f>
        <v>470.562209819172</v>
      </c>
      <c r="R5" s="2" t="n">
        <f aca="false">G5+H5+2*I5+J5+2*K5+L5</f>
        <v>91.5208089962354</v>
      </c>
      <c r="S5" s="1" t="n">
        <f aca="false">B5</f>
        <v>8.88600683564722</v>
      </c>
    </row>
    <row r="6" customFormat="false" ht="14.65" hidden="false" customHeight="false" outlineLevel="0" collapsed="false">
      <c r="A6" s="0" t="n">
        <f aca="false">A5+2</f>
        <v>8</v>
      </c>
      <c r="B6" s="1" t="n">
        <v>9.85003410314511</v>
      </c>
      <c r="C6" s="2" t="n">
        <f aca="false">beta*(1/(alpha*psi))*(1/alpha)*((-1/alpha*psi)*(EXP(alpha*(zeta+psi*tauVtax!Size))-EXP(alpha*zeta))+(tauVtax!Size*EXP(alpha*zeta)))</f>
        <v>237.169047048584</v>
      </c>
      <c r="D6" s="2" t="n">
        <f aca="false">beta*(-1/(alpha*psi)^2)*(1/alpha)*(EXP(alpha*(tauVtax!Tau+zeta))-EXP(alpha*(tauVtax!Tau+zeta+psi*tauVtax!Size)))</f>
        <v>195.612212056531</v>
      </c>
      <c r="E6" s="2" t="n">
        <f aca="false">tauVtax!Tau*beta*EXP(alpha*(tauVtax!Tau+zeta))*(0-(1/(alpha*psi)^2))*(-1+EXP(alpha*psi*tauVtax!Size))</f>
        <v>192.678695974848</v>
      </c>
      <c r="F6" s="2" t="n">
        <f aca="false">2*tauVtax!Tau*beta*EXP(alpha*(2*tauVtax!Tau+zeta))*(1/(alpha*psi)^2)*(EXP(alpha*psi*tauVtax!Size))</f>
        <v>117.423312783047</v>
      </c>
      <c r="G6" s="2" t="n">
        <f aca="false">gamma*tauVtax!Size</f>
        <v>40</v>
      </c>
      <c r="H6" s="2" t="n">
        <f aca="false">phi*beta*EXP(alpha*(zeta))*(0-1/(alpha*psi)^2)*((2/(alpha*psi))*(EXP(alpha*psi*tauVtax!Size)-1)-(tauVtax!Size*(EXP(alpha*psi*tauVtax!Size)+1)))</f>
        <v>5.52865000555778</v>
      </c>
      <c r="I6" s="2" t="n">
        <f aca="false">(phi*beta*EXP(alpha*(tauVtax!Tau+zeta)))*(0-1/(alpha*psi)^2)*((1/(alpha*psi))*(1-EXP(alpha*psi*tauVtax!Size))+tauVtax!Size*EXP(alpha*psi*tauVtax!Size))</f>
        <v>6.79218461070867</v>
      </c>
      <c r="J6" s="2" t="n">
        <f aca="false">(phi*beta*EXP(alpha*(2*tauVtax!Tau+zeta)))*(1/(alpha*psi)^2)*(tauVtax!Size*EXP(alpha*psi*tauVtax!Size))</f>
        <v>4.76844289282425</v>
      </c>
      <c r="K6" s="2" t="n">
        <f aca="false">theta*beta*(-1/(alpha*psi)^2)*EXP(alpha*(tauVtax!Tau+zeta))*(EXP(alpha*psi*tauVtax!Size)-1)</f>
        <v>19.5612212056531</v>
      </c>
      <c r="L6" s="2" t="n">
        <f aca="false">theta*beta*(1/(alpha*psi)^2)*EXP(alpha*(2*tauVtax!Tau+zeta+psi*tauVtax!Size))</f>
        <v>5.96055361603031</v>
      </c>
      <c r="N6" s="0" t="n">
        <f aca="false">A6</f>
        <v>8</v>
      </c>
      <c r="O6" s="2" t="n">
        <f aca="false">P6+Q6-R6</f>
        <v>826.597505690722</v>
      </c>
      <c r="P6" s="2" t="n">
        <f aca="false">C6+D6</f>
        <v>432.781259105114</v>
      </c>
      <c r="Q6" s="2" t="n">
        <f aca="false">2*E6+F6</f>
        <v>502.780704732743</v>
      </c>
      <c r="R6" s="2" t="n">
        <f aca="false">G6+H6+2*I6+J6+2*K6+L6</f>
        <v>108.964458147136</v>
      </c>
      <c r="S6" s="1" t="n">
        <f aca="false">B6</f>
        <v>9.85003410314511</v>
      </c>
    </row>
    <row r="7" customFormat="false" ht="14.65" hidden="false" customHeight="false" outlineLevel="0" collapsed="false">
      <c r="A7" s="0" t="n">
        <f aca="false">A6+2</f>
        <v>10</v>
      </c>
      <c r="B7" s="1" t="n">
        <v>10.7128251081063</v>
      </c>
      <c r="C7" s="2" t="n">
        <f aca="false">beta*(1/(alpha*psi))*(1/alpha)*((-1/alpha*psi)*(EXP(alpha*(zeta+psi*tauVtax!Size))-EXP(alpha*zeta))+(tauVtax!Size*EXP(alpha*zeta)))</f>
        <v>349.937749111155</v>
      </c>
      <c r="D7" s="2" t="n">
        <f aca="false">beta*(-1/(alpha*psi)^2)*(1/alpha)*(EXP(alpha*(tauVtax!Tau+zeta))-EXP(alpha*(tauVtax!Tau+zeta+psi*tauVtax!Size)))</f>
        <v>205.983820158377</v>
      </c>
      <c r="E7" s="2" t="n">
        <f aca="false">tauVtax!Tau*beta*EXP(alpha*(tauVtax!Tau+zeta))*(0-(1/(alpha*psi)^2))*(-1+EXP(alpha*psi*tauVtax!Size))</f>
        <v>220.666864045632</v>
      </c>
      <c r="F7" s="2" t="n">
        <f aca="false">2*tauVtax!Tau*beta*EXP(alpha*(2*tauVtax!Tau+zeta))*(1/(alpha*psi)^2)*(EXP(alpha*psi*tauVtax!Size))</f>
        <v>87.9874311882811</v>
      </c>
      <c r="G7" s="2" t="n">
        <f aca="false">gamma*tauVtax!Size</f>
        <v>50</v>
      </c>
      <c r="H7" s="2" t="n">
        <f aca="false">phi*beta*EXP(alpha*(zeta))*(0-1/(alpha*psi)^2)*((2/(alpha*psi))*(EXP(alpha*psi*tauVtax!Size)-1)-(tauVtax!Size*(EXP(alpha*psi*tauVtax!Size)+1)))</f>
        <v>9.85838228327522</v>
      </c>
      <c r="I7" s="2" t="n">
        <f aca="false">(phi*beta*EXP(alpha*(tauVtax!Tau+zeta)))*(0-1/(alpha*psi)^2)*((1/(alpha*psi))*(1-EXP(alpha*psi*tauVtax!Size))+tauVtax!Size*EXP(alpha*psi*tauVtax!Size))</f>
        <v>8.61060348342413</v>
      </c>
      <c r="J7" s="2" t="n">
        <f aca="false">(phi*beta*EXP(alpha*(2*tauVtax!Tau+zeta)))*(1/(alpha*psi)^2)*(tauVtax!Size*EXP(alpha*psi*tauVtax!Size))</f>
        <v>4.10663995259765</v>
      </c>
      <c r="K7" s="2" t="n">
        <f aca="false">theta*beta*(-1/(alpha*psi)^2)*EXP(alpha*(tauVtax!Tau+zeta))*(EXP(alpha*psi*tauVtax!Size)-1)</f>
        <v>20.5983820158377</v>
      </c>
      <c r="L7" s="2" t="n">
        <f aca="false">theta*beta*(1/(alpha*psi)^2)*EXP(alpha*(2*tauVtax!Tau+zeta+psi*tauVtax!Size))</f>
        <v>4.10663995259765</v>
      </c>
      <c r="N7" s="0" t="n">
        <f aca="false">A7</f>
        <v>10</v>
      </c>
      <c r="O7" s="2" t="n">
        <f aca="false">P7+Q7-R7</f>
        <v>958.753095362083</v>
      </c>
      <c r="P7" s="2" t="n">
        <f aca="false">C7+D7</f>
        <v>555.921569269533</v>
      </c>
      <c r="Q7" s="2" t="n">
        <f aca="false">2*E7+F7</f>
        <v>529.321159279544</v>
      </c>
      <c r="R7" s="2" t="n">
        <f aca="false">G7+H7+2*I7+J7+2*K7+L7</f>
        <v>126.489633186994</v>
      </c>
      <c r="S7" s="1" t="n">
        <f aca="false">B7</f>
        <v>10.7128251081063</v>
      </c>
    </row>
    <row r="8" customFormat="false" ht="14.65" hidden="false" customHeight="false" outlineLevel="0" collapsed="false">
      <c r="A8" s="0" t="n">
        <f aca="false">A7+2</f>
        <v>12</v>
      </c>
      <c r="B8" s="1" t="n">
        <v>11.4801812061327</v>
      </c>
      <c r="C8" s="2" t="n">
        <f aca="false">beta*(1/(alpha*psi))*(1/alpha)*((-1/alpha*psi)*(EXP(alpha*(zeta+psi*tauVtax!Size))-EXP(alpha*zeta))+(tauVtax!Size*EXP(alpha*zeta)))</f>
        <v>476.750681760333</v>
      </c>
      <c r="D8" s="2" t="n">
        <f aca="false">beta*(-1/(alpha*psi)^2)*(1/alpha)*(EXP(alpha*(tauVtax!Tau+zeta))-EXP(alpha*(tauVtax!Tau+zeta+psi*tauVtax!Size)))</f>
        <v>210.893810813517</v>
      </c>
      <c r="E8" s="2" t="n">
        <f aca="false">tauVtax!Tau*beta*EXP(alpha*(tauVtax!Tau+zeta))*(0-(1/(alpha*psi)^2))*(-1+EXP(alpha*psi*tauVtax!Size))</f>
        <v>242.109916339104</v>
      </c>
      <c r="F8" s="2" t="n">
        <f aca="false">2*tauVtax!Tau*beta*EXP(alpha*(2*tauVtax!Tau+zeta))*(1/(alpha*psi)^2)*(EXP(alpha*psi*tauVtax!Size))</f>
        <v>66.2147534962998</v>
      </c>
      <c r="G8" s="2" t="n">
        <f aca="false">gamma*tauVtax!Size</f>
        <v>60</v>
      </c>
      <c r="H8" s="2" t="n">
        <f aca="false">phi*beta*EXP(alpha*(zeta))*(0-1/(alpha*psi)^2)*((2/(alpha*psi))*(EXP(alpha*psi*tauVtax!Size)-1)-(tauVtax!Size*(EXP(alpha*psi*tauVtax!Size)+1)))</f>
        <v>15.5831810352037</v>
      </c>
      <c r="I8" s="2" t="n">
        <f aca="false">(phi*beta*EXP(alpha*(tauVtax!Tau+zeta)))*(0-1/(alpha*psi)^2)*((1/(alpha*psi))*(1-EXP(alpha*psi*tauVtax!Size))+tauVtax!Size*EXP(alpha*psi*tauVtax!Size))</f>
        <v>10.1816302479271</v>
      </c>
      <c r="J8" s="2" t="n">
        <f aca="false">(phi*beta*EXP(alpha*(2*tauVtax!Tau+zeta)))*(1/(alpha*psi)^2)*(tauVtax!Size*EXP(alpha*psi*tauVtax!Size))</f>
        <v>3.46064677764467</v>
      </c>
      <c r="K8" s="2" t="n">
        <f aca="false">theta*beta*(-1/(alpha*psi)^2)*EXP(alpha*(tauVtax!Tau+zeta))*(EXP(alpha*psi*tauVtax!Size)-1)</f>
        <v>21.0893810813517</v>
      </c>
      <c r="L8" s="2" t="n">
        <f aca="false">theta*beta*(1/(alpha*psi)^2)*EXP(alpha*(2*tauVtax!Tau+zeta+psi*tauVtax!Size))</f>
        <v>2.88387231470389</v>
      </c>
      <c r="N8" s="0" t="n">
        <f aca="false">A8</f>
        <v>12</v>
      </c>
      <c r="O8" s="2" t="n">
        <f aca="false">P8+Q8-R8</f>
        <v>1093.60935596225</v>
      </c>
      <c r="P8" s="2" t="n">
        <f aca="false">C8+D8</f>
        <v>687.64449257385</v>
      </c>
      <c r="Q8" s="2" t="n">
        <f aca="false">2*E8+F8</f>
        <v>550.434586174508</v>
      </c>
      <c r="R8" s="2" t="n">
        <f aca="false">G8+H8+2*I8+J8+2*K8+L8</f>
        <v>144.46972278611</v>
      </c>
      <c r="S8" s="1" t="n">
        <f aca="false">B8</f>
        <v>11.4801812061327</v>
      </c>
    </row>
    <row r="9" customFormat="false" ht="14.65" hidden="false" customHeight="false" outlineLevel="0" collapsed="false">
      <c r="A9" s="0" t="n">
        <f aca="false">A8+2</f>
        <v>14</v>
      </c>
      <c r="B9" s="1" t="n">
        <v>12.161043065145</v>
      </c>
      <c r="C9" s="2" t="n">
        <f aca="false">beta*(1/(alpha*psi))*(1/alpha)*((-1/alpha*psi)*(EXP(alpha*(zeta+psi*tauVtax!Size))-EXP(alpha*zeta))+(tauVtax!Size*EXP(alpha*zeta)))</f>
        <v>615.062057894083</v>
      </c>
      <c r="D9" s="2" t="n">
        <f aca="false">beta*(-1/(alpha*psi)^2)*(1/alpha)*(EXP(alpha*(tauVtax!Tau+zeta))-EXP(alpha*(tauVtax!Tau+zeta+psi*tauVtax!Size)))</f>
        <v>212.405252542125</v>
      </c>
      <c r="E9" s="2" t="n">
        <f aca="false">tauVtax!Tau*beta*EXP(alpha*(tauVtax!Tau+zeta))*(0-(1/(alpha*psi)^2))*(-1+EXP(alpha*psi*tauVtax!Size))</f>
        <v>258.306942342777</v>
      </c>
      <c r="F9" s="2" t="n">
        <f aca="false">2*tauVtax!Tau*beta*EXP(alpha*(2*tauVtax!Tau+zeta))*(1/(alpha*psi)^2)*(EXP(alpha*psi*tauVtax!Size))</f>
        <v>50.1163050258799</v>
      </c>
      <c r="G9" s="2" t="n">
        <f aca="false">gamma*tauVtax!Size</f>
        <v>70</v>
      </c>
      <c r="H9" s="2" t="n">
        <f aca="false">phi*beta*EXP(alpha*(zeta))*(0-1/(alpha*psi)^2)*((2/(alpha*psi))*(EXP(alpha*psi*tauVtax!Size)-1)-(tauVtax!Size*(EXP(alpha*psi*tauVtax!Size)+1)))</f>
        <v>22.6801324818483</v>
      </c>
      <c r="I9" s="2" t="n">
        <f aca="false">(phi*beta*EXP(alpha*(tauVtax!Tau+zeta)))*(0-1/(alpha*psi)^2)*((1/(alpha*psi))*(1-EXP(alpha*psi*tauVtax!Size))+tauVtax!Size*EXP(alpha*psi*tauVtax!Size))</f>
        <v>11.5073700831588</v>
      </c>
      <c r="J9" s="2" t="n">
        <f aca="false">(phi*beta*EXP(alpha*(2*tauVtax!Tau+zeta)))*(1/(alpha*psi)^2)*(tauVtax!Size*EXP(alpha*psi*tauVtax!Size))</f>
        <v>2.88473721622314</v>
      </c>
      <c r="K9" s="2" t="n">
        <f aca="false">theta*beta*(-1/(alpha*psi)^2)*EXP(alpha*(tauVtax!Tau+zeta))*(EXP(alpha*psi*tauVtax!Size)-1)</f>
        <v>21.2405252542125</v>
      </c>
      <c r="L9" s="2" t="n">
        <f aca="false">theta*beta*(1/(alpha*psi)^2)*EXP(alpha*(2*tauVtax!Tau+zeta+psi*tauVtax!Size))</f>
        <v>2.06052658301653</v>
      </c>
      <c r="N9" s="0" t="n">
        <f aca="false">A9</f>
        <v>14</v>
      </c>
      <c r="O9" s="2" t="n">
        <f aca="false">P9+Q9-R9</f>
        <v>1231.07631319181</v>
      </c>
      <c r="P9" s="2" t="n">
        <f aca="false">C9+D9</f>
        <v>827.467310436208</v>
      </c>
      <c r="Q9" s="2" t="n">
        <f aca="false">2*E9+F9</f>
        <v>566.730189711435</v>
      </c>
      <c r="R9" s="2" t="n">
        <f aca="false">G9+H9+2*I9+J9+2*K9+L9</f>
        <v>163.121186955831</v>
      </c>
      <c r="S9" s="1" t="n">
        <f aca="false">B9</f>
        <v>12.161043065145</v>
      </c>
    </row>
    <row r="10" customFormat="false" ht="14.65" hidden="false" customHeight="false" outlineLevel="0" collapsed="false">
      <c r="A10" s="0" t="n">
        <f aca="false">A9+2</f>
        <v>16</v>
      </c>
      <c r="B10" s="1" t="n">
        <v>12.7644908519281</v>
      </c>
      <c r="C10" s="2" t="n">
        <f aca="false">beta*(1/(alpha*psi))*(1/alpha)*((-1/alpha*psi)*(EXP(alpha*(zeta+psi*tauVtax!Size))-EXP(alpha*zeta))+(tauVtax!Size*EXP(alpha*zeta)))</f>
        <v>762.787563321183</v>
      </c>
      <c r="D10" s="2" t="n">
        <f aca="false">beta*(-1/(alpha*psi)^2)*(1/alpha)*(EXP(alpha*(tauVtax!Tau+zeta))-EXP(alpha*(tauVtax!Tau+zeta+psi*tauVtax!Size)))</f>
        <v>211.831083375904</v>
      </c>
      <c r="E10" s="2" t="n">
        <f aca="false">tauVtax!Tau*beta*EXP(alpha*(tauVtax!Tau+zeta))*(0-(1/(alpha*psi)^2))*(-1+EXP(alpha*psi*tauVtax!Size))</f>
        <v>270.391592590575</v>
      </c>
      <c r="F10" s="2" t="n">
        <f aca="false">2*tauVtax!Tau*beta*EXP(alpha*(2*tauVtax!Tau+zeta))*(1/(alpha*psi)^2)*(EXP(alpha*psi*tauVtax!Size))</f>
        <v>38.171392964988</v>
      </c>
      <c r="G10" s="2" t="n">
        <f aca="false">gamma*tauVtax!Size</f>
        <v>80</v>
      </c>
      <c r="H10" s="2" t="n">
        <f aca="false">phi*beta*EXP(alpha*(zeta))*(0-1/(alpha*psi)^2)*((2/(alpha*psi))*(EXP(alpha*psi*tauVtax!Size)-1)-(tauVtax!Size*(EXP(alpha*psi*tauVtax!Size)+1)))</f>
        <v>31.0887901234429</v>
      </c>
      <c r="I10" s="2" t="n">
        <f aca="false">(phi*beta*EXP(alpha*(tauVtax!Tau+zeta)))*(0-1/(alpha*psi)^2)*((1/(alpha*psi))*(1-EXP(alpha*psi*tauVtax!Size))+tauVtax!Size*EXP(alpha*psi*tauVtax!Size))</f>
        <v>12.6091909745597</v>
      </c>
      <c r="J10" s="2" t="n">
        <f aca="false">(phi*beta*EXP(alpha*(2*tauVtax!Tau+zeta)))*(1/(alpha*psi)^2)*(tauVtax!Size*EXP(alpha*psi*tauVtax!Size))</f>
        <v>2.39234879998192</v>
      </c>
      <c r="K10" s="2" t="n">
        <f aca="false">theta*beta*(-1/(alpha*psi)^2)*EXP(alpha*(tauVtax!Tau+zeta))*(EXP(alpha*psi*tauVtax!Size)-1)</f>
        <v>21.1831083375905</v>
      </c>
      <c r="L10" s="2" t="n">
        <f aca="false">theta*beta*(1/(alpha*psi)^2)*EXP(alpha*(2*tauVtax!Tau+zeta+psi*tauVtax!Size))</f>
        <v>1.4952179999887</v>
      </c>
      <c r="N10" s="0" t="n">
        <f aca="false">A10</f>
        <v>16</v>
      </c>
      <c r="O10" s="2" t="n">
        <f aca="false">P10+Q10-R10</f>
        <v>1371.01226929551</v>
      </c>
      <c r="P10" s="2" t="n">
        <f aca="false">C10+D10</f>
        <v>974.618646697087</v>
      </c>
      <c r="Q10" s="2" t="n">
        <f aca="false">2*E10+F10</f>
        <v>578.954578146139</v>
      </c>
      <c r="R10" s="2" t="n">
        <f aca="false">G10+H10+2*I10+J10+2*K10+L10</f>
        <v>182.560955547714</v>
      </c>
      <c r="S10" s="1" t="n">
        <f aca="false">B10</f>
        <v>12.7644908519281</v>
      </c>
    </row>
    <row r="11" customFormat="false" ht="14.65" hidden="false" customHeight="false" outlineLevel="0" collapsed="false">
      <c r="A11" s="0" t="n">
        <f aca="false">A10+2</f>
        <v>18</v>
      </c>
      <c r="B11" s="1" t="n">
        <v>13.2990333690592</v>
      </c>
      <c r="C11" s="2" t="n">
        <f aca="false">beta*(1/(alpha*psi))*(1/alpha)*((-1/alpha*psi)*(EXP(alpha*(zeta+psi*tauVtax!Size))-EXP(alpha*zeta))+(tauVtax!Size*EXP(alpha*zeta)))</f>
        <v>918.220705914199</v>
      </c>
      <c r="D11" s="2" t="n">
        <f aca="false">beta*(-1/(alpha*psi)^2)*(1/alpha)*(EXP(alpha*(tauVtax!Tau+zeta))-EXP(alpha*(tauVtax!Tau+zeta+psi*tauVtax!Size)))</f>
        <v>210.013197482925</v>
      </c>
      <c r="E11" s="2" t="n">
        <f aca="false">tauVtax!Tau*beta*EXP(alpha*(tauVtax!Tau+zeta))*(0-(1/(alpha*psi)^2))*(-1+EXP(alpha*psi*tauVtax!Size))</f>
        <v>279.297252126824</v>
      </c>
      <c r="F11" s="2" t="n">
        <f aca="false">2*tauVtax!Tau*beta*EXP(alpha*(2*tauVtax!Tau+zeta))*(1/(alpha*psi)^2)*(EXP(alpha*psi*tauVtax!Size))</f>
        <v>29.2594338453272</v>
      </c>
      <c r="G11" s="2" t="n">
        <f aca="false">gamma*tauVtax!Size</f>
        <v>90</v>
      </c>
      <c r="H11" s="2" t="n">
        <f aca="false">phi*beta*EXP(alpha*(zeta))*(0-1/(alpha*psi)^2)*((2/(alpha*psi))*(EXP(alpha*psi*tauVtax!Size)-1)-(tauVtax!Size*(EXP(alpha*psi*tauVtax!Size)+1)))</f>
        <v>40.7255347091642</v>
      </c>
      <c r="I11" s="2" t="n">
        <f aca="false">(phi*beta*EXP(alpha*(tauVtax!Tau+zeta)))*(0-1/(alpha*psi)^2)*((1/(alpha*psi))*(1-EXP(alpha*psi*tauVtax!Size))+tauVtax!Size*EXP(alpha*psi*tauVtax!Size))</f>
        <v>13.5151782278525</v>
      </c>
      <c r="J11" s="2" t="n">
        <f aca="false">(phi*beta*EXP(alpha*(2*tauVtax!Tau+zeta)))*(1/(alpha*psi)^2)*(tauVtax!Size*EXP(alpha*psi*tauVtax!Size))</f>
        <v>1.98010560091235</v>
      </c>
      <c r="K11" s="2" t="n">
        <f aca="false">theta*beta*(-1/(alpha*psi)^2)*EXP(alpha*(tauVtax!Tau+zeta))*(EXP(alpha*psi*tauVtax!Size)-1)</f>
        <v>21.0013197482925</v>
      </c>
      <c r="L11" s="2" t="n">
        <f aca="false">theta*beta*(1/(alpha*psi)^2)*EXP(alpha*(2*tauVtax!Tau+zeta+psi*tauVtax!Size))</f>
        <v>1.10005866717353</v>
      </c>
      <c r="N11" s="0" t="n">
        <f aca="false">A11</f>
        <v>18</v>
      </c>
      <c r="O11" s="2" t="n">
        <f aca="false">P11+Q11-R11</f>
        <v>1513.24914656656</v>
      </c>
      <c r="P11" s="2" t="n">
        <f aca="false">C11+D11</f>
        <v>1128.23390339712</v>
      </c>
      <c r="Q11" s="2" t="n">
        <f aca="false">2*E11+F11</f>
        <v>587.853938098976</v>
      </c>
      <c r="R11" s="2" t="n">
        <f aca="false">G11+H11+2*I11+J11+2*K11+L11</f>
        <v>202.83869492954</v>
      </c>
      <c r="S11" s="1" t="n">
        <f aca="false">B11</f>
        <v>13.2990333690592</v>
      </c>
    </row>
    <row r="12" customFormat="false" ht="14.65" hidden="false" customHeight="false" outlineLevel="0" collapsed="false">
      <c r="A12" s="0" t="n">
        <f aca="false">A11+2</f>
        <v>20</v>
      </c>
      <c r="B12" s="1" t="n">
        <v>13.7720475570767</v>
      </c>
      <c r="C12" s="2" t="n">
        <f aca="false">beta*(1/(alpha*psi))*(1/alpha)*((-1/alpha*psi)*(EXP(alpha*(zeta+psi*tauVtax!Size))-EXP(alpha*zeta))+(tauVtax!Size*EXP(alpha*zeta)))</f>
        <v>1079.96432808852</v>
      </c>
      <c r="D12" s="2" t="n">
        <f aca="false">beta*(-1/(alpha*psi)^2)*(1/alpha)*(EXP(alpha*(tauVtax!Tau+zeta))-EXP(alpha*(tauVtax!Tau+zeta+psi*tauVtax!Size)))</f>
        <v>207.501188093383</v>
      </c>
      <c r="E12" s="2" t="n">
        <f aca="false">tauVtax!Tau*beta*EXP(alpha*(tauVtax!Tau+zeta))*(0-(1/(alpha*psi)^2))*(-1+EXP(alpha*psi*tauVtax!Size))</f>
        <v>285.771623057199</v>
      </c>
      <c r="F12" s="2" t="n">
        <f aca="false">2*tauVtax!Tau*beta*EXP(alpha*(2*tauVtax!Tau+zeta))*(1/(alpha*psi)^2)*(EXP(alpha*psi*tauVtax!Size))</f>
        <v>22.568358384372</v>
      </c>
      <c r="G12" s="2" t="n">
        <f aca="false">gamma*tauVtax!Size</f>
        <v>100</v>
      </c>
      <c r="H12" s="2" t="n">
        <f aca="false">phi*beta*EXP(alpha*(zeta))*(0-1/(alpha*psi)^2)*((2/(alpha*psi))*(EXP(alpha*psi*tauVtax!Size)-1)-(tauVtax!Size*(EXP(alpha*psi*tauVtax!Size)+1)))</f>
        <v>51.4939614351217</v>
      </c>
      <c r="I12" s="2" t="n">
        <f aca="false">(phi*beta*EXP(alpha*(tauVtax!Tau+zeta)))*(0-1/(alpha*psi)^2)*((1/(alpha*psi))*(1-EXP(alpha*psi*tauVtax!Size))+tauVtax!Size*EXP(alpha*psi*tauVtax!Size))</f>
        <v>14.254599443712</v>
      </c>
      <c r="J12" s="2" t="n">
        <f aca="false">(phi*beta*EXP(alpha*(2*tauVtax!Tau+zeta)))*(1/(alpha*psi)^2)*(tauVtax!Size*EXP(alpha*psi*tauVtax!Size))</f>
        <v>1.63870755534643</v>
      </c>
      <c r="K12" s="2" t="n">
        <f aca="false">theta*beta*(-1/(alpha*psi)^2)*EXP(alpha*(tauVtax!Tau+zeta))*(EXP(alpha*psi*tauVtax!Size)-1)</f>
        <v>20.7501188093383</v>
      </c>
      <c r="L12" s="2" t="n">
        <f aca="false">theta*beta*(1/(alpha*psi)^2)*EXP(alpha*(2*tauVtax!Tau+zeta+psi*tauVtax!Size))</f>
        <v>0.819353777673214</v>
      </c>
      <c r="N12" s="0" t="n">
        <f aca="false">A12</f>
        <v>20</v>
      </c>
      <c r="O12" s="2" t="n">
        <f aca="false">P12+Q12-R12</f>
        <v>1657.61566140643</v>
      </c>
      <c r="P12" s="2" t="n">
        <f aca="false">C12+D12</f>
        <v>1287.4655161819</v>
      </c>
      <c r="Q12" s="2" t="n">
        <f aca="false">2*E12+F12</f>
        <v>594.111604498771</v>
      </c>
      <c r="R12" s="2" t="n">
        <f aca="false">G12+H12+2*I12+J12+2*K12+L12</f>
        <v>223.961459274242</v>
      </c>
      <c r="S12" s="1" t="n">
        <f aca="false">B12</f>
        <v>13.7720475570767</v>
      </c>
    </row>
    <row r="13" customFormat="false" ht="14.65" hidden="false" customHeight="false" outlineLevel="0" collapsed="false">
      <c r="A13" s="0" t="n">
        <f aca="false">A12+2</f>
        <v>22</v>
      </c>
      <c r="B13" s="1" t="n">
        <v>14.1900492132047</v>
      </c>
      <c r="C13" s="2" t="n">
        <f aca="false">beta*(1/(alpha*psi))*(1/alpha)*((-1/alpha*psi)*(EXP(alpha*(zeta+psi*tauVtax!Size))-EXP(alpha*zeta))+(tauVtax!Size*EXP(alpha*zeta)))</f>
        <v>1246.87453396272</v>
      </c>
      <c r="D13" s="2" t="n">
        <f aca="false">beta*(-1/(alpha*psi)^2)*(1/alpha)*(EXP(alpha*(tauVtax!Tau+zeta))-EXP(alpha*(tauVtax!Tau+zeta+psi*tauVtax!Size)))</f>
        <v>204.652559350566</v>
      </c>
      <c r="E13" s="2" t="n">
        <f aca="false">tauVtax!Tau*beta*EXP(alpha*(tauVtax!Tau+zeta))*(0-(1/(alpha*psi)^2))*(-1+EXP(alpha*psi*tauVtax!Size))</f>
        <v>290.402988879283</v>
      </c>
      <c r="F13" s="2" t="n">
        <f aca="false">2*tauVtax!Tau*beta*EXP(alpha*(2*tauVtax!Tau+zeta))*(1/(alpha*psi)^2)*(EXP(alpha*psi*tauVtax!Size))</f>
        <v>17.5113367107738</v>
      </c>
      <c r="G13" s="2" t="n">
        <f aca="false">gamma*tauVtax!Size</f>
        <v>110</v>
      </c>
      <c r="H13" s="2" t="n">
        <f aca="false">phi*beta*EXP(alpha*(zeta))*(0-1/(alpha*psi)^2)*((2/(alpha*psi))*(EXP(alpha*psi*tauVtax!Size)-1)-(tauVtax!Size*(EXP(alpha*psi*tauVtax!Size)+1)))</f>
        <v>63.2922628059973</v>
      </c>
      <c r="I13" s="2" t="n">
        <f aca="false">(phi*beta*EXP(alpha*(tauVtax!Tau+zeta)))*(0-1/(alpha*psi)^2)*((1/(alpha*psi))*(1-EXP(alpha*psi*tauVtax!Size))+tauVtax!Size*EXP(alpha*psi*tauVtax!Size))</f>
        <v>14.8548525307135</v>
      </c>
      <c r="J13" s="2" t="n">
        <f aca="false">(phi*beta*EXP(alpha*(2*tauVtax!Tau+zeta)))*(1/(alpha*psi)^2)*(tauVtax!Size*EXP(alpha*psi*tauVtax!Size))</f>
        <v>1.35746325417437</v>
      </c>
      <c r="K13" s="2" t="n">
        <f aca="false">theta*beta*(-1/(alpha*psi)^2)*EXP(alpha*(tauVtax!Tau+zeta))*(EXP(alpha*psi*tauVtax!Size)-1)</f>
        <v>20.4652559350566</v>
      </c>
      <c r="L13" s="2" t="n">
        <f aca="false">theta*beta*(1/(alpha*psi)^2)*EXP(alpha*(2*tauVtax!Tau+zeta+psi*tauVtax!Size))</f>
        <v>0.617028751897439</v>
      </c>
      <c r="N13" s="0" t="n">
        <f aca="false">A13</f>
        <v>22</v>
      </c>
      <c r="O13" s="2" t="n">
        <f aca="false">P13+Q13-R13</f>
        <v>1803.93743603902</v>
      </c>
      <c r="P13" s="2" t="n">
        <f aca="false">C13+D13</f>
        <v>1451.52709331329</v>
      </c>
      <c r="Q13" s="2" t="n">
        <f aca="false">2*E13+F13</f>
        <v>598.317314469339</v>
      </c>
      <c r="R13" s="2" t="n">
        <f aca="false">G13+H13+2*I13+J13+2*K13+L13</f>
        <v>245.906971743609</v>
      </c>
      <c r="S13" s="1" t="n">
        <f aca="false">B13</f>
        <v>14.1900492132047</v>
      </c>
    </row>
    <row r="14" customFormat="false" ht="14.65" hidden="false" customHeight="false" outlineLevel="0" collapsed="false">
      <c r="A14" s="0" t="n">
        <f aca="false">A13+2</f>
        <v>24</v>
      </c>
      <c r="B14" s="1" t="n">
        <v>14.5587993463083</v>
      </c>
      <c r="C14" s="2" t="n">
        <f aca="false">beta*(1/(alpha*psi))*(1/alpha)*((-1/alpha*psi)*(EXP(alpha*(zeta+psi*tauVtax!Size))-EXP(alpha*zeta))+(tauVtax!Size*EXP(alpha*zeta)))</f>
        <v>1418.01478080037</v>
      </c>
      <c r="D14" s="2" t="n">
        <f aca="false">beta*(-1/(alpha*psi)^2)*(1/alpha)*(EXP(alpha*(tauVtax!Tau+zeta))-EXP(alpha*(tauVtax!Tau+zeta+psi*tauVtax!Size)))</f>
        <v>201.698779490518</v>
      </c>
      <c r="E14" s="2" t="n">
        <f aca="false">tauVtax!Tau*beta*EXP(alpha*(tauVtax!Tau+zeta))*(0-(1/(alpha*psi)^2))*(-1+EXP(alpha*psi*tauVtax!Size))</f>
        <v>293.649205899773</v>
      </c>
      <c r="F14" s="2" t="n">
        <f aca="false">2*tauVtax!Tau*beta*EXP(alpha*(2*tauVtax!Tau+zeta))*(1/(alpha*psi)^2)*(EXP(alpha*psi*tauVtax!Size))</f>
        <v>13.6638420058532</v>
      </c>
      <c r="G14" s="2" t="n">
        <f aca="false">gamma*tauVtax!Size</f>
        <v>120</v>
      </c>
      <c r="H14" s="2" t="n">
        <f aca="false">phi*beta*EXP(alpha*(zeta))*(0-1/(alpha*psi)^2)*((2/(alpha*psi))*(EXP(alpha*psi*tauVtax!Size)-1)-(tauVtax!Size*(EXP(alpha*psi*tauVtax!Size)+1)))</f>
        <v>76.0183550397516</v>
      </c>
      <c r="I14" s="2" t="n">
        <f aca="false">(phi*beta*EXP(alpha*(tauVtax!Tau+zeta)))*(0-1/(alpha*psi)^2)*((1/(alpha*psi))*(1-EXP(alpha*psi*tauVtax!Size))+tauVtax!Size*EXP(alpha*psi*tauVtax!Size))</f>
        <v>15.3403004539159</v>
      </c>
      <c r="J14" s="2" t="n">
        <f aca="false">(phi*beta*EXP(alpha*(2*tauVtax!Tau+zeta)))*(1/(alpha*psi)^2)*(tauVtax!Size*EXP(alpha*psi*tauVtax!Size))</f>
        <v>1.1262336966806</v>
      </c>
      <c r="K14" s="2" t="n">
        <f aca="false">theta*beta*(-1/(alpha*psi)^2)*EXP(alpha*(tauVtax!Tau+zeta))*(EXP(alpha*psi*tauVtax!Size)-1)</f>
        <v>20.1698779490518</v>
      </c>
      <c r="L14" s="2" t="n">
        <f aca="false">theta*beta*(1/(alpha*psi)^2)*EXP(alpha*(2*tauVtax!Tau+zeta+psi*tauVtax!Size))</f>
        <v>0.469264040283582</v>
      </c>
      <c r="N14" s="0" t="n">
        <f aca="false">A14</f>
        <v>24</v>
      </c>
      <c r="O14" s="2" t="n">
        <f aca="false">P14+Q14-R14</f>
        <v>1952.04160451364</v>
      </c>
      <c r="P14" s="2" t="n">
        <f aca="false">C14+D14</f>
        <v>1619.71356029089</v>
      </c>
      <c r="Q14" s="2" t="n">
        <f aca="false">2*E14+F14</f>
        <v>600.962253805399</v>
      </c>
      <c r="R14" s="2" t="n">
        <f aca="false">G14+H14+2*I14+J14+2*K14+L14</f>
        <v>268.634209582651</v>
      </c>
      <c r="S14" s="1" t="n">
        <f aca="false">B14</f>
        <v>14.5587993463083</v>
      </c>
    </row>
    <row r="15" customFormat="false" ht="14.65" hidden="false" customHeight="false" outlineLevel="0" collapsed="false">
      <c r="A15" s="0" t="n">
        <f aca="false">A14+2</f>
        <v>26</v>
      </c>
      <c r="B15" s="1" t="n">
        <v>14.8834429505077</v>
      </c>
      <c r="C15" s="2" t="n">
        <f aca="false">beta*(1/(alpha*psi))*(1/alpha)*((-1/alpha*psi)*(EXP(alpha*(zeta+psi*tauVtax!Size))-EXP(alpha*zeta))+(tauVtax!Size*EXP(alpha*zeta)))</f>
        <v>1592.61829226157</v>
      </c>
      <c r="D15" s="2" t="n">
        <f aca="false">beta*(-1/(alpha*psi)^2)*(1/alpha)*(EXP(alpha*(tauVtax!Tau+zeta))-EXP(alpha*(tauVtax!Tau+zeta+psi*tauVtax!Size)))</f>
        <v>198.787110401913</v>
      </c>
      <c r="E15" s="2" t="n">
        <f aca="false">tauVtax!Tau*beta*EXP(alpha*(tauVtax!Tau+zeta))*(0-(1/(alpha*psi)^2))*(-1+EXP(alpha*psi*tauVtax!Size))</f>
        <v>295.863661696315</v>
      </c>
      <c r="F15" s="2" t="n">
        <f aca="false">2*tauVtax!Tau*beta*EXP(alpha*(2*tauVtax!Tau+zeta))*(1/(alpha*psi)^2)*(EXP(alpha*psi*tauVtax!Size))</f>
        <v>10.7175025794826</v>
      </c>
      <c r="G15" s="2" t="n">
        <f aca="false">gamma*tauVtax!Size</f>
        <v>130</v>
      </c>
      <c r="H15" s="2" t="n">
        <f aca="false">phi*beta*EXP(alpha*(zeta))*(0-1/(alpha*psi)^2)*((2/(alpha*psi))*(EXP(alpha*psi*tauVtax!Size)-1)-(tauVtax!Size*(EXP(alpha*psi*tauVtax!Size)+1)))</f>
        <v>89.5733234778404</v>
      </c>
      <c r="I15" s="2" t="n">
        <f aca="false">(phi*beta*EXP(alpha*(tauVtax!Tau+zeta)))*(0-1/(alpha*psi)^2)*((1/(alpha*psi))*(1-EXP(alpha*psi*tauVtax!Size))+tauVtax!Size*EXP(alpha*psi*tauVtax!Size))</f>
        <v>15.7319094499018</v>
      </c>
      <c r="J15" s="2" t="n">
        <f aca="false">(phi*beta*EXP(alpha*(2*tauVtax!Tau+zeta)))*(1/(alpha*psi)^2)*(tauVtax!Size*EXP(alpha*psi*tauVtax!Size))</f>
        <v>0.936124349699085</v>
      </c>
      <c r="K15" s="2" t="n">
        <f aca="false">theta*beta*(-1/(alpha*psi)^2)*EXP(alpha*(tauVtax!Tau+zeta))*(EXP(alpha*psi*tauVtax!Size)-1)</f>
        <v>19.8787110401913</v>
      </c>
      <c r="L15" s="2" t="n">
        <f aca="false">theta*beta*(1/(alpha*psi)^2)*EXP(alpha*(2*tauVtax!Tau+zeta+psi*tauVtax!Size))</f>
        <v>0.36004782680734</v>
      </c>
      <c r="N15" s="0" t="n">
        <f aca="false">A15</f>
        <v>26</v>
      </c>
      <c r="O15" s="2" t="n">
        <f aca="false">P15+Q15-R15</f>
        <v>2101.75949200107</v>
      </c>
      <c r="P15" s="2" t="n">
        <f aca="false">C15+D15</f>
        <v>1791.40540266349</v>
      </c>
      <c r="Q15" s="2" t="n">
        <f aca="false">2*E15+F15</f>
        <v>602.444825972113</v>
      </c>
      <c r="R15" s="2" t="n">
        <f aca="false">G15+H15+2*I15+J15+2*K15+L15</f>
        <v>292.090736634533</v>
      </c>
      <c r="S15" s="1" t="n">
        <f aca="false">B15</f>
        <v>14.8834429505077</v>
      </c>
    </row>
    <row r="16" customFormat="false" ht="14.65" hidden="false" customHeight="false" outlineLevel="0" collapsed="false">
      <c r="A16" s="0" t="n">
        <f aca="false">A15+2</f>
        <v>28</v>
      </c>
      <c r="B16" s="1" t="n">
        <v>15.1686161992499</v>
      </c>
      <c r="C16" s="2" t="n">
        <f aca="false">beta*(1/(alpha*psi))*(1/alpha)*((-1/alpha*psi)*(EXP(alpha*(zeta+psi*tauVtax!Size))-EXP(alpha*zeta))+(tauVtax!Size*EXP(alpha*zeta)))</f>
        <v>1770.05728497612</v>
      </c>
      <c r="D16" s="2" t="n">
        <f aca="false">beta*(-1/(alpha*psi)^2)*(1/alpha)*(EXP(alpha*(tauVtax!Tau+zeta))-EXP(alpha*(tauVtax!Tau+zeta+psi*tauVtax!Size)))</f>
        <v>196.008125509566</v>
      </c>
      <c r="E16" s="2" t="n">
        <f aca="false">tauVtax!Tau*beta*EXP(alpha*(tauVtax!Tau+zeta))*(0-(1/(alpha*psi)^2))*(-1+EXP(alpha*psi*tauVtax!Size))</f>
        <v>297.317202778901</v>
      </c>
      <c r="F16" s="2" t="n">
        <f aca="false">2*tauVtax!Tau*beta*EXP(alpha*(2*tauVtax!Tau+zeta))*(1/(alpha*psi)^2)*(EXP(alpha*psi*tauVtax!Size))</f>
        <v>8.44709585364285</v>
      </c>
      <c r="G16" s="2" t="n">
        <f aca="false">gamma*tauVtax!Size</f>
        <v>140</v>
      </c>
      <c r="H16" s="2" t="n">
        <f aca="false">phi*beta*EXP(alpha*(zeta))*(0-1/(alpha*psi)^2)*((2/(alpha*psi))*(EXP(alpha*psi*tauVtax!Size)-1)-(tauVtax!Size*(EXP(alpha*psi*tauVtax!Size)+1)))</f>
        <v>103.86362797998</v>
      </c>
      <c r="I16" s="2" t="n">
        <f aca="false">(phi*beta*EXP(alpha*(tauVtax!Tau+zeta)))*(0-1/(alpha*psi)^2)*((1/(alpha*psi))*(1-EXP(alpha*psi*tauVtax!Size))+tauVtax!Size*EXP(alpha*psi*tauVtax!Size))</f>
        <v>16.0473304962304</v>
      </c>
      <c r="J16" s="2" t="n">
        <f aca="false">(phi*beta*EXP(alpha*(2*tauVtax!Tau+zeta)))*(1/(alpha*psi)^2)*(tauVtax!Size*EXP(alpha*psi*tauVtax!Size))</f>
        <v>0.779631710616082</v>
      </c>
      <c r="K16" s="2" t="n">
        <f aca="false">theta*beta*(-1/(alpha*psi)^2)*EXP(alpha*(tauVtax!Tau+zeta))*(EXP(alpha*psi*tauVtax!Size)-1)</f>
        <v>19.6008125509566</v>
      </c>
      <c r="L16" s="2" t="n">
        <f aca="false">theta*beta*(1/(alpha*psi)^2)*EXP(alpha*(2*tauVtax!Tau+zeta+psi*tauVtax!Size))</f>
        <v>0.278439896648601</v>
      </c>
      <c r="N16" s="0" t="n">
        <f aca="false">A16</f>
        <v>28</v>
      </c>
      <c r="O16" s="2" t="n">
        <f aca="false">P16+Q16-R16</f>
        <v>2252.92892621552</v>
      </c>
      <c r="P16" s="2" t="n">
        <f aca="false">C16+D16</f>
        <v>1966.06541048569</v>
      </c>
      <c r="Q16" s="2" t="n">
        <f aca="false">2*E16+F16</f>
        <v>603.081501411444</v>
      </c>
      <c r="R16" s="2" t="n">
        <f aca="false">G16+H16+2*I16+J16+2*K16+L16</f>
        <v>316.217985681618</v>
      </c>
      <c r="S16" s="1" t="n">
        <f aca="false">B16</f>
        <v>15.1686161992499</v>
      </c>
    </row>
    <row r="17" customFormat="false" ht="14.65" hidden="false" customHeight="false" outlineLevel="0" collapsed="false">
      <c r="A17" s="0" t="n">
        <f aca="false">A16+2</f>
        <v>30</v>
      </c>
      <c r="B17" s="1" t="n">
        <v>15.4185232188585</v>
      </c>
      <c r="C17" s="2" t="n">
        <f aca="false">beta*(1/(alpha*psi))*(1/alpha)*((-1/alpha*psi)*(EXP(alpha*(zeta+psi*tauVtax!Size))-EXP(alpha*zeta))+(tauVtax!Size*EXP(alpha*zeta)))</f>
        <v>1949.81777339257</v>
      </c>
      <c r="D17" s="2" t="n">
        <f aca="false">beta*(-1/(alpha*psi)^2)*(1/alpha)*(EXP(alpha*(tauVtax!Tau+zeta))-EXP(alpha*(tauVtax!Tau+zeta+psi*tauVtax!Size)))</f>
        <v>193.414156070249</v>
      </c>
      <c r="E17" s="2" t="n">
        <f aca="false">tauVtax!Tau*beta*EXP(alpha*(tauVtax!Tau+zeta))*(0-(1/(alpha*psi)^2))*(-1+EXP(alpha*psi*tauVtax!Size))</f>
        <v>298.216065622505</v>
      </c>
      <c r="F17" s="2" t="n">
        <f aca="false">2*tauVtax!Tau*beta*EXP(alpha*(2*tauVtax!Tau+zeta))*(1/(alpha*psi)^2)*(EXP(alpha*psi*tauVtax!Size))</f>
        <v>6.68711349775149</v>
      </c>
      <c r="G17" s="2" t="n">
        <f aca="false">gamma*tauVtax!Size</f>
        <v>150</v>
      </c>
      <c r="H17" s="2" t="n">
        <f aca="false">phi*beta*EXP(alpha*(zeta))*(0-1/(alpha*psi)^2)*((2/(alpha*psi))*(EXP(alpha*psi*tauVtax!Size)-1)-(tauVtax!Size*(EXP(alpha*psi*tauVtax!Size)+1)))</f>
        <v>118.802404645642</v>
      </c>
      <c r="I17" s="2" t="n">
        <f aca="false">(phi*beta*EXP(alpha*(tauVtax!Tau+zeta)))*(0-1/(alpha*psi)^2)*((1/(alpha*psi))*(1-EXP(alpha*psi*tauVtax!Size))+tauVtax!Size*EXP(alpha*psi*tauVtax!Size))</f>
        <v>16.3011947814542</v>
      </c>
      <c r="J17" s="2" t="n">
        <f aca="false">(phi*beta*EXP(alpha*(2*tauVtax!Tau+zeta)))*(1/(alpha*psi)^2)*(tauVtax!Size*EXP(alpha*psi*tauVtax!Size))</f>
        <v>0.650559726391869</v>
      </c>
      <c r="K17" s="2" t="n">
        <f aca="false">theta*beta*(-1/(alpha*psi)^2)*EXP(alpha*(tauVtax!Tau+zeta))*(EXP(alpha*psi*tauVtax!Size)-1)</f>
        <v>19.3414156070249</v>
      </c>
      <c r="L17" s="2" t="n">
        <f aca="false">theta*beta*(1/(alpha*psi)^2)*EXP(alpha*(2*tauVtax!Tau+zeta+psi*tauVtax!Size))</f>
        <v>0.216853242130623</v>
      </c>
      <c r="N17" s="0" t="n">
        <f aca="false">A17</f>
        <v>30</v>
      </c>
      <c r="O17" s="2" t="n">
        <f aca="false">P17+Q17-R17</f>
        <v>2405.39613581446</v>
      </c>
      <c r="P17" s="2" t="n">
        <f aca="false">C17+D17</f>
        <v>2143.23192946282</v>
      </c>
      <c r="Q17" s="2" t="n">
        <f aca="false">2*E17+F17</f>
        <v>603.119244742762</v>
      </c>
      <c r="R17" s="2" t="n">
        <f aca="false">G17+H17+2*I17+J17+2*K17+L17</f>
        <v>340.955038391123</v>
      </c>
      <c r="S17" s="1" t="n">
        <f aca="false">B17</f>
        <v>15.4185232188585</v>
      </c>
    </row>
    <row r="18" customFormat="false" ht="14.65" hidden="false" customHeight="false" outlineLevel="0" collapsed="false">
      <c r="A18" s="0" t="n">
        <f aca="false">A17+2</f>
        <v>32</v>
      </c>
      <c r="B18" s="1" t="n">
        <v>15.6369895481985</v>
      </c>
      <c r="C18" s="2" t="n">
        <f aca="false">beta*(1/(alpha*psi))*(1/alpha)*((-1/alpha*psi)*(EXP(alpha*(zeta+psi*tauVtax!Size))-EXP(alpha*zeta))+(tauVtax!Size*EXP(alpha*zeta)))</f>
        <v>2131.47894173329</v>
      </c>
      <c r="D18" s="2" t="n">
        <f aca="false">beta*(-1/(alpha*psi)^2)*(1/alpha)*(EXP(alpha*(tauVtax!Tau+zeta))-EXP(alpha*(tauVtax!Tau+zeta+psi*tauVtax!Size)))</f>
        <v>191.031827790255</v>
      </c>
      <c r="E18" s="2" t="n">
        <f aca="false">tauVtax!Tau*beta*EXP(alpha*(tauVtax!Tau+zeta))*(0-(1/(alpha*psi)^2))*(-1+EXP(alpha*psi*tauVtax!Size))</f>
        <v>298.716269452946</v>
      </c>
      <c r="F18" s="2" t="n">
        <f aca="false">2*tauVtax!Tau*beta*EXP(alpha*(2*tauVtax!Tau+zeta))*(1/(alpha*psi)^2)*(EXP(alpha*psi*tauVtax!Size))</f>
        <v>5.31513647805598</v>
      </c>
      <c r="G18" s="2" t="n">
        <f aca="false">gamma*tauVtax!Size</f>
        <v>160</v>
      </c>
      <c r="H18" s="2" t="n">
        <f aca="false">phi*beta*EXP(alpha*(zeta))*(0-1/(alpha*psi)^2)*((2/(alpha*psi))*(EXP(alpha*psi*tauVtax!Size)-1)-(tauVtax!Size*(EXP(alpha*psi*tauVtax!Size)+1)))</f>
        <v>134.310119012581</v>
      </c>
      <c r="I18" s="2" t="n">
        <f aca="false">(phi*beta*EXP(alpha*(tauVtax!Tau+zeta)))*(0-1/(alpha*psi)^2)*((1/(alpha*psi))*(1-EXP(alpha*psi*tauVtax!Size))+tauVtax!Size*EXP(alpha*psi*tauVtax!Size))</f>
        <v>16.505494201518</v>
      </c>
      <c r="J18" s="2" t="n">
        <f aca="false">(phi*beta*EXP(alpha*(2*tauVtax!Tau+zeta)))*(1/(alpha*psi)^2)*(tauVtax!Size*EXP(alpha*psi*tauVtax!Size))</f>
        <v>0.543852660301185</v>
      </c>
      <c r="K18" s="2" t="n">
        <f aca="false">theta*beta*(-1/(alpha*psi)^2)*EXP(alpha*(tauVtax!Tau+zeta))*(EXP(alpha*psi*tauVtax!Size)-1)</f>
        <v>19.1031827790255</v>
      </c>
      <c r="L18" s="2" t="n">
        <f aca="false">theta*beta*(1/(alpha*psi)^2)*EXP(alpha*(2*tauVtax!Tau+zeta+psi*tauVtax!Size))</f>
        <v>0.16995395634412</v>
      </c>
      <c r="N18" s="0" t="n">
        <f aca="false">A18</f>
        <v>32</v>
      </c>
      <c r="O18" s="2" t="n">
        <f aca="false">P18+Q18-R18</f>
        <v>2559.01716531718</v>
      </c>
      <c r="P18" s="2" t="n">
        <f aca="false">C18+D18</f>
        <v>2322.51076952355</v>
      </c>
      <c r="Q18" s="2" t="n">
        <f aca="false">2*E18+F18</f>
        <v>602.747675383948</v>
      </c>
      <c r="R18" s="2" t="n">
        <f aca="false">G18+H18+2*I18+J18+2*K18+L18</f>
        <v>366.241279590313</v>
      </c>
      <c r="S18" s="1" t="n">
        <f aca="false">B18</f>
        <v>15.6369895481985</v>
      </c>
    </row>
    <row r="19" customFormat="false" ht="14.65" hidden="false" customHeight="false" outlineLevel="0" collapsed="false">
      <c r="A19" s="0" t="n">
        <f aca="false">A18+2</f>
        <v>34</v>
      </c>
      <c r="B19" s="1" t="n">
        <v>15.8274996263527</v>
      </c>
      <c r="C19" s="2" t="n">
        <f aca="false">beta*(1/(alpha*psi))*(1/alpha)*((-1/alpha*psi)*(EXP(alpha*(zeta+psi*tauVtax!Size))-EXP(alpha*zeta))+(tauVtax!Size*EXP(alpha*zeta)))</f>
        <v>2314.69625517978</v>
      </c>
      <c r="D19" s="2" t="n">
        <f aca="false">beta*(-1/(alpha*psi)^2)*(1/alpha)*(EXP(alpha*(tauVtax!Tau+zeta))-EXP(alpha*(tauVtax!Tau+zeta+psi*tauVtax!Size)))</f>
        <v>188.870661491502</v>
      </c>
      <c r="E19" s="2" t="n">
        <f aca="false">tauVtax!Tau*beta*EXP(alpha*(tauVtax!Tau+zeta))*(0-(1/(alpha*psi)^2))*(-1+EXP(alpha*psi*tauVtax!Size))</f>
        <v>298.935032418573</v>
      </c>
      <c r="F19" s="2" t="n">
        <f aca="false">2*tauVtax!Tau*beta*EXP(alpha*(2*tauVtax!Tau+zeta))*(1/(alpha*psi)^2)*(EXP(alpha*psi*tauVtax!Size))</f>
        <v>4.24001306711631</v>
      </c>
      <c r="G19" s="2" t="n">
        <f aca="false">gamma*tauVtax!Size</f>
        <v>170</v>
      </c>
      <c r="H19" s="2" t="n">
        <f aca="false">phi*beta*EXP(alpha*(zeta))*(0-1/(alpha*psi)^2)*((2/(alpha*psi))*(EXP(alpha*psi*tauVtax!Size)-1)-(tauVtax!Size*(EXP(alpha*psi*tauVtax!Size)+1)))</f>
        <v>150.314763074257</v>
      </c>
      <c r="I19" s="2" t="n">
        <f aca="false">(phi*beta*EXP(alpha*(tauVtax!Tau+zeta)))*(0-1/(alpha*psi)^2)*((1/(alpha*psi))*(1-EXP(alpha*psi*tauVtax!Size))+tauVtax!Size*EXP(alpha*psi*tauVtax!Size))</f>
        <v>16.6699758614483</v>
      </c>
      <c r="J19" s="2" t="n">
        <f aca="false">(phi*beta*EXP(alpha*(2*tauVtax!Tau+zeta)))*(1/(alpha*psi)^2)*(tauVtax!Size*EXP(alpha*psi*tauVtax!Size))</f>
        <v>0.45541130211726</v>
      </c>
      <c r="K19" s="2" t="n">
        <f aca="false">theta*beta*(-1/(alpha*psi)^2)*EXP(alpha*(tauVtax!Tau+zeta))*(EXP(alpha*psi*tauVtax!Size)-1)</f>
        <v>18.8870661491502</v>
      </c>
      <c r="L19" s="2" t="n">
        <f aca="false">theta*beta*(1/(alpha*psi)^2)*EXP(alpha*(2*tauVtax!Tau+zeta+psi*tauVtax!Size))</f>
        <v>0.133944500622724</v>
      </c>
      <c r="N19" s="0" t="n">
        <f aca="false">A19</f>
        <v>34</v>
      </c>
      <c r="O19" s="2" t="n">
        <f aca="false">P19+Q19-R19</f>
        <v>2713.65879167735</v>
      </c>
      <c r="P19" s="2" t="n">
        <f aca="false">C19+D19</f>
        <v>2503.56691667128</v>
      </c>
      <c r="Q19" s="2" t="n">
        <f aca="false">2*E19+F19</f>
        <v>602.110077904261</v>
      </c>
      <c r="R19" s="2" t="n">
        <f aca="false">G19+H19+2*I19+J19+2*K19+L19</f>
        <v>392.018202898193</v>
      </c>
      <c r="S19" s="1" t="n">
        <f aca="false">B19</f>
        <v>15.8274996263527</v>
      </c>
    </row>
    <row r="20" customFormat="false" ht="14.65" hidden="false" customHeight="false" outlineLevel="0" collapsed="false">
      <c r="A20" s="0" t="n">
        <f aca="false">A19+2</f>
        <v>36</v>
      </c>
      <c r="B20" s="1" t="n">
        <v>15.9932242003681</v>
      </c>
      <c r="C20" s="2" t="n">
        <f aca="false">beta*(1/(alpha*psi))*(1/alpha)*((-1/alpha*psi)*(EXP(alpha*(zeta+psi*tauVtax!Size))-EXP(alpha*zeta))+(tauVtax!Size*EXP(alpha*zeta)))</f>
        <v>2499.18763248061</v>
      </c>
      <c r="D20" s="2" t="n">
        <f aca="false">beta*(-1/(alpha*psi)^2)*(1/alpha)*(EXP(alpha*(tauVtax!Tau+zeta))-EXP(alpha*(tauVtax!Tau+zeta+psi*tauVtax!Size)))</f>
        <v>186.929006669803</v>
      </c>
      <c r="E20" s="2" t="n">
        <f aca="false">tauVtax!Tau*beta*EXP(alpha*(tauVtax!Tau+zeta))*(0-(1/(alpha*psi)^2))*(-1+EXP(alpha*psi*tauVtax!Size))</f>
        <v>298.959751322226</v>
      </c>
      <c r="F20" s="2" t="n">
        <f aca="false">2*tauVtax!Tau*beta*EXP(alpha*(2*tauVtax!Tau+zeta))*(1/(alpha*psi)^2)*(EXP(alpha*psi*tauVtax!Size))</f>
        <v>3.39341799495729</v>
      </c>
      <c r="G20" s="2" t="n">
        <f aca="false">gamma*tauVtax!Size</f>
        <v>180</v>
      </c>
      <c r="H20" s="2" t="n">
        <f aca="false">phi*beta*EXP(alpha*(zeta))*(0-1/(alpha*psi)^2)*((2/(alpha*psi))*(EXP(alpha*psi*tauVtax!Size)-1)-(tauVtax!Size*(EXP(alpha*psi*tauVtax!Size)+1)))</f>
        <v>166.751740036217</v>
      </c>
      <c r="I20" s="2" t="n">
        <f aca="false">(phi*beta*EXP(alpha*(tauVtax!Tau+zeta)))*(0-1/(alpha*psi)^2)*((1/(alpha*psi))*(1-EXP(alpha*psi*tauVtax!Size))+tauVtax!Size*EXP(alpha*psi*tauVtax!Size))</f>
        <v>16.8025135887223</v>
      </c>
      <c r="J20" s="2" t="n">
        <f aca="false">(phi*beta*EXP(alpha*(2*tauVtax!Tau+zeta)))*(1/(alpha*psi)^2)*(tauVtax!Size*EXP(alpha*psi*tauVtax!Size))</f>
        <v>0.381921263304903</v>
      </c>
      <c r="K20" s="2" t="n">
        <f aca="false">theta*beta*(-1/(alpha*psi)^2)*EXP(alpha*(tauVtax!Tau+zeta))*(EXP(alpha*psi*tauVtax!Size)-1)</f>
        <v>18.6929006669803</v>
      </c>
      <c r="L20" s="2" t="n">
        <f aca="false">theta*beta*(1/(alpha*psi)^2)*EXP(alpha*(2*tauVtax!Tau+zeta+psi*tauVtax!Size))</f>
        <v>0.106089239806918</v>
      </c>
      <c r="N20" s="0" t="n">
        <f aca="false">A20</f>
        <v>36</v>
      </c>
      <c r="O20" s="2" t="n">
        <f aca="false">P20+Q20-R20</f>
        <v>2869.19898073909</v>
      </c>
      <c r="P20" s="2" t="n">
        <f aca="false">C20+D20</f>
        <v>2686.11663915041</v>
      </c>
      <c r="Q20" s="2" t="n">
        <f aca="false">2*E20+F20</f>
        <v>601.312920639409</v>
      </c>
      <c r="R20" s="2" t="n">
        <f aca="false">G20+H20+2*I20+J20+2*K20+L20</f>
        <v>418.230579050734</v>
      </c>
      <c r="S20" s="1" t="n">
        <f aca="false">B20</f>
        <v>15.9932242003681</v>
      </c>
    </row>
    <row r="21" customFormat="false" ht="14.65" hidden="false" customHeight="false" outlineLevel="0" collapsed="false">
      <c r="A21" s="0" t="n">
        <f aca="false">A20+2</f>
        <v>38</v>
      </c>
      <c r="B21" s="1" t="n">
        <v>16.1370418681239</v>
      </c>
      <c r="C21" s="2" t="n">
        <f aca="false">beta*(1/(alpha*psi))*(1/alpha)*((-1/alpha*psi)*(EXP(alpha*(zeta+psi*tauVtax!Size))-EXP(alpha*zeta))+(tauVtax!Size*EXP(alpha*zeta)))</f>
        <v>2684.72212504038</v>
      </c>
      <c r="D21" s="2" t="n">
        <f aca="false">beta*(-1/(alpha*psi)^2)*(1/alpha)*(EXP(alpha*(tauVtax!Tau+zeta))-EXP(alpha*(tauVtax!Tau+zeta+psi*tauVtax!Size)))</f>
        <v>185.198143712985</v>
      </c>
      <c r="E21" s="2" t="n">
        <f aca="false">tauVtax!Tau*beta*EXP(alpha*(tauVtax!Tau+zeta))*(0-(1/(alpha*psi)^2))*(-1+EXP(alpha*psi*tauVtax!Size))</f>
        <v>298.855019899526</v>
      </c>
      <c r="F21" s="2" t="n">
        <f aca="false">2*tauVtax!Tau*beta*EXP(alpha*(2*tauVtax!Tau+zeta))*(1/(alpha*psi)^2)*(EXP(alpha*psi*tauVtax!Size))</f>
        <v>2.72379562903549</v>
      </c>
      <c r="G21" s="2" t="n">
        <f aca="false">gamma*tauVtax!Size</f>
        <v>190</v>
      </c>
      <c r="H21" s="2" t="n">
        <f aca="false">phi*beta*EXP(alpha*(zeta))*(0-1/(alpha*psi)^2)*((2/(alpha*psi))*(EXP(alpha*psi*tauVtax!Size)-1)-(tauVtax!Size*(EXP(alpha*psi*tauVtax!Size)+1)))</f>
        <v>183.563543544387</v>
      </c>
      <c r="I21" s="2" t="n">
        <f aca="false">(phi*beta*EXP(alpha*(tauVtax!Tau+zeta)))*(0-1/(alpha*psi)^2)*((1/(alpha*psi))*(1-EXP(alpha*psi*tauVtax!Size))+tauVtax!Size*EXP(alpha*psi*tauVtax!Size))</f>
        <v>16.9094393797071</v>
      </c>
      <c r="J21" s="2" t="n">
        <f aca="false">(phi*beta*EXP(alpha*(2*tauVtax!Tau+zeta)))*(1/(alpha*psi)^2)*(tauVtax!Size*EXP(alpha*psi*tauVtax!Size))</f>
        <v>0.320703864900434</v>
      </c>
      <c r="K21" s="2" t="n">
        <f aca="false">theta*beta*(-1/(alpha*psi)^2)*EXP(alpha*(tauVtax!Tau+zeta))*(EXP(alpha*psi*tauVtax!Size)-1)</f>
        <v>18.5198143712985</v>
      </c>
      <c r="L21" s="2" t="n">
        <f aca="false">theta*beta*(1/(alpha*psi)^2)*EXP(alpha*(2*tauVtax!Tau+zeta+psi*tauVtax!Size))</f>
        <v>0.0843957539211667</v>
      </c>
      <c r="N21" s="0" t="n">
        <f aca="false">A21</f>
        <v>38</v>
      </c>
      <c r="O21" s="2" t="n">
        <f aca="false">P21+Q21-R21</f>
        <v>3025.52695351623</v>
      </c>
      <c r="P21" s="2" t="n">
        <f aca="false">C21+D21</f>
        <v>2869.92026875336</v>
      </c>
      <c r="Q21" s="2" t="n">
        <f aca="false">2*E21+F21</f>
        <v>600.433835428087</v>
      </c>
      <c r="R21" s="2" t="n">
        <f aca="false">G21+H21+2*I21+J21+2*K21+L21</f>
        <v>444.82715066522</v>
      </c>
      <c r="S21" s="1" t="n">
        <f aca="false">B21</f>
        <v>16.1370418681239</v>
      </c>
    </row>
    <row r="22" customFormat="false" ht="14.65" hidden="false" customHeight="false" outlineLevel="0" collapsed="false">
      <c r="A22" s="0" t="n">
        <f aca="false">A21+2</f>
        <v>40</v>
      </c>
      <c r="B22" s="1" t="n">
        <v>16.2615575289943</v>
      </c>
      <c r="C22" s="2" t="n">
        <f aca="false">beta*(1/(alpha*psi))*(1/alpha)*((-1/alpha*psi)*(EXP(alpha*(zeta+psi*tauVtax!Size))-EXP(alpha*zeta))+(tauVtax!Size*EXP(alpha*zeta)))</f>
        <v>2871.11064814164</v>
      </c>
      <c r="D22" s="2" t="n">
        <f aca="false">beta*(-1/(alpha*psi)^2)*(1/alpha)*(EXP(alpha*(tauVtax!Tau+zeta))-EXP(alpha*(tauVtax!Tau+zeta+psi*tauVtax!Size)))</f>
        <v>183.665116301003</v>
      </c>
      <c r="E22" s="2" t="n">
        <f aca="false">tauVtax!Tau*beta*EXP(alpha*(tauVtax!Tau+zeta))*(0-(1/(alpha*psi)^2))*(-1+EXP(alpha*psi*tauVtax!Size))</f>
        <v>298.66808547982</v>
      </c>
      <c r="F22" s="2" t="n">
        <f aca="false">2*tauVtax!Tau*beta*EXP(alpha*(2*tauVtax!Tau+zeta))*(1/(alpha*psi)^2)*(EXP(alpha*psi*tauVtax!Size))</f>
        <v>2.1919898733925</v>
      </c>
      <c r="G22" s="2" t="n">
        <f aca="false">gamma*tauVtax!Size</f>
        <v>200</v>
      </c>
      <c r="H22" s="2" t="n">
        <f aca="false">phi*beta*EXP(alpha*(zeta))*(0-1/(alpha*psi)^2)*((2/(alpha*psi))*(EXP(alpha*psi*tauVtax!Size)-1)-(tauVtax!Size*(EXP(alpha*psi*tauVtax!Size)+1)))</f>
        <v>200.699309683839</v>
      </c>
      <c r="I22" s="2" t="n">
        <f aca="false">(phi*beta*EXP(alpha*(tauVtax!Tau+zeta)))*(0-1/(alpha*psi)^2)*((1/(alpha*psi))*(1-EXP(alpha*psi*tauVtax!Size))+tauVtax!Size*EXP(alpha*psi*tauVtax!Size))</f>
        <v>16.9958291256674</v>
      </c>
      <c r="J22" s="2" t="n">
        <f aca="false">(phi*beta*EXP(alpha*(2*tauVtax!Tau+zeta)))*(1/(alpha*psi)^2)*(tauVtax!Size*EXP(alpha*psi*tauVtax!Size))</f>
        <v>0.269591626691869</v>
      </c>
      <c r="K22" s="2" t="n">
        <f aca="false">theta*beta*(-1/(alpha*psi)^2)*EXP(alpha*(tauVtax!Tau+zeta))*(EXP(alpha*psi*tauVtax!Size)-1)</f>
        <v>18.3665116301003</v>
      </c>
      <c r="L22" s="2" t="n">
        <f aca="false">theta*beta*(1/(alpha*psi)^2)*EXP(alpha*(2*tauVtax!Tau+zeta+psi*tauVtax!Size))</f>
        <v>0.0673979066729672</v>
      </c>
      <c r="N22" s="0" t="n">
        <f aca="false">A22</f>
        <v>40</v>
      </c>
      <c r="O22" s="2" t="n">
        <f aca="false">P22+Q22-R22</f>
        <v>3182.54294454693</v>
      </c>
      <c r="P22" s="2" t="n">
        <f aca="false">C22+D22</f>
        <v>3054.77576444264</v>
      </c>
      <c r="Q22" s="2" t="n">
        <f aca="false">2*E22+F22</f>
        <v>599.528160833032</v>
      </c>
      <c r="R22" s="2" t="n">
        <f aca="false">G22+H22+2*I22+J22+2*K22+L22</f>
        <v>471.760980728739</v>
      </c>
      <c r="S22" s="1" t="n">
        <f aca="false">B22</f>
        <v>16.2615575289943</v>
      </c>
    </row>
    <row r="23" customFormat="false" ht="14.65" hidden="false" customHeight="false" outlineLevel="0" collapsed="false">
      <c r="A23" s="0" t="n">
        <f aca="false">A22+2</f>
        <v>42</v>
      </c>
      <c r="B23" s="1" t="n">
        <v>16.3691194352025</v>
      </c>
      <c r="C23" s="2" t="n">
        <f aca="false">beta*(1/(alpha*psi))*(1/alpha)*((-1/alpha*psi)*(EXP(alpha*(zeta+psi*tauVtax!Size))-EXP(alpha*zeta))+(tauVtax!Size*EXP(alpha*zeta)))</f>
        <v>3058.19839231128</v>
      </c>
      <c r="D23" s="2" t="n">
        <f aca="false">beta*(-1/(alpha*psi)^2)*(1/alpha)*(EXP(alpha*(tauVtax!Tau+zeta))-EXP(alpha*(tauVtax!Tau+zeta+psi*tauVtax!Size)))</f>
        <v>182.314676924775</v>
      </c>
      <c r="E23" s="2" t="n">
        <f aca="false">tauVtax!Tau*beta*EXP(alpha*(tauVtax!Tau+zeta))*(0-(1/(alpha*psi)^2))*(-1+EXP(alpha*psi*tauVtax!Size))</f>
        <v>298.433072137199</v>
      </c>
      <c r="F23" s="2" t="n">
        <f aca="false">2*tauVtax!Tau*beta*EXP(alpha*(2*tauVtax!Tau+zeta))*(1/(alpha*psi)^2)*(EXP(alpha*psi*tauVtax!Size))</f>
        <v>1.76807269078818</v>
      </c>
      <c r="G23" s="2" t="n">
        <f aca="false">gamma*tauVtax!Size</f>
        <v>210</v>
      </c>
      <c r="H23" s="2" t="n">
        <f aca="false">phi*beta*EXP(alpha*(zeta))*(0-1/(alpha*psi)^2)*((2/(alpha*psi))*(EXP(alpha*psi*tauVtax!Size)-1)-(tauVtax!Size*(EXP(alpha*psi*tauVtax!Size)+1)))</f>
        <v>218.114298413737</v>
      </c>
      <c r="I23" s="2" t="n">
        <f aca="false">(phi*beta*EXP(alpha*(tauVtax!Tau+zeta)))*(0-1/(alpha*psi)^2)*((1/(alpha*psi))*(1-EXP(alpha*psi*tauVtax!Size))+tauVtax!Size*EXP(alpha*psi*tauVtax!Size))</f>
        <v>17.0657432092407</v>
      </c>
      <c r="J23" s="2" t="n">
        <f aca="false">(phi*beta*EXP(alpha*(2*tauVtax!Tau+zeta)))*(1/(alpha*psi)^2)*(tauVtax!Size*EXP(alpha*psi*tauVtax!Size))</f>
        <v>0.226826657680212</v>
      </c>
      <c r="K23" s="2" t="n">
        <f aca="false">theta*beta*(-1/(alpha*psi)^2)*EXP(alpha*(tauVtax!Tau+zeta))*(EXP(alpha*psi*tauVtax!Size)-1)</f>
        <v>18.2314676924775</v>
      </c>
      <c r="L23" s="2" t="n">
        <f aca="false">theta*beta*(1/(alpha*psi)^2)*EXP(alpha*(2*tauVtax!Tau+zeta+psi*tauVtax!Size))</f>
        <v>0.0540063470667172</v>
      </c>
      <c r="N23" s="0" t="n">
        <f aca="false">A23</f>
        <v>42</v>
      </c>
      <c r="O23" s="2" t="n">
        <f aca="false">P23+Q23-R23</f>
        <v>3340.15773297933</v>
      </c>
      <c r="P23" s="2" t="n">
        <f aca="false">C23+D23</f>
        <v>3240.51306923606</v>
      </c>
      <c r="Q23" s="2" t="n">
        <f aca="false">2*E23+F23</f>
        <v>598.634216965187</v>
      </c>
      <c r="R23" s="2" t="n">
        <f aca="false">G23+H23+2*I23+J23+2*K23+L23</f>
        <v>498.98955322192</v>
      </c>
      <c r="S23" s="1" t="n">
        <f aca="false">B23</f>
        <v>16.3691194352025</v>
      </c>
    </row>
    <row r="27" customFormat="false" ht="14.65" hidden="false" customHeight="false" outlineLevel="0" collapsed="false"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O27" s="0"/>
    </row>
    <row r="28" customFormat="false" ht="14.65" hidden="false" customHeight="false" outlineLevel="0" collapsed="false"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O28" s="0"/>
    </row>
    <row r="29" customFormat="false" ht="14.65" hidden="false" customHeight="false" outlineLevel="0" collapsed="false"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O29" s="0"/>
    </row>
    <row r="30" customFormat="false" ht="14.65" hidden="false" customHeight="false" outlineLevel="0" collapsed="false"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O30" s="0"/>
    </row>
    <row r="31" customFormat="false" ht="14.65" hidden="false" customHeight="false" outlineLevel="0" collapsed="false"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O31" s="0"/>
    </row>
    <row r="32" customFormat="false" ht="14.65" hidden="false" customHeight="false" outlineLevel="0" collapsed="false"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O32" s="0"/>
    </row>
    <row r="33" customFormat="false" ht="14.65" hidden="false" customHeight="false" outlineLevel="0" collapsed="false"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O33" s="0"/>
    </row>
    <row r="34" customFormat="false" ht="14.65" hidden="false" customHeight="false" outlineLevel="0" collapsed="false"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O34" s="0"/>
    </row>
    <row r="35" customFormat="false" ht="14.65" hidden="false" customHeight="false" outlineLevel="0" collapsed="false"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O35" s="0"/>
    </row>
    <row r="36" customFormat="false" ht="14.65" hidden="false" customHeight="false" outlineLevel="0" collapsed="false"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O36" s="0"/>
    </row>
    <row r="37" customFormat="false" ht="14.65" hidden="false" customHeight="false" outlineLevel="0" collapsed="false"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O37" s="0"/>
    </row>
    <row r="38" customFormat="false" ht="14.65" hidden="false" customHeight="false" outlineLevel="0" collapsed="false"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O38" s="0"/>
    </row>
    <row r="39" customFormat="false" ht="14.65" hidden="false" customHeight="false" outlineLevel="0" collapsed="false"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O39" s="0"/>
    </row>
    <row r="40" customFormat="false" ht="14.65" hidden="false" customHeight="false" outlineLevel="0" collapsed="false"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O40" s="0"/>
    </row>
    <row r="41" customFormat="false" ht="14.65" hidden="false" customHeight="false" outlineLevel="0" collapsed="false"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O41" s="0"/>
    </row>
    <row r="42" customFormat="false" ht="14.65" hidden="false" customHeight="false" outlineLevel="0" collapsed="false"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O42" s="0"/>
    </row>
    <row r="43" customFormat="false" ht="14.65" hidden="false" customHeight="false" outlineLevel="0" collapsed="false"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O43" s="0"/>
    </row>
    <row r="44" customFormat="false" ht="14.65" hidden="false" customHeight="false" outlineLevel="0" collapsed="false"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O44" s="0"/>
    </row>
    <row r="45" customFormat="false" ht="14.65" hidden="false" customHeight="false" outlineLevel="0" collapsed="false"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O45" s="0"/>
    </row>
    <row r="46" customFormat="false" ht="14.65" hidden="false" customHeight="false" outlineLevel="0" collapsed="false"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O46" s="0"/>
    </row>
    <row r="47" customFormat="false" ht="14.65" hidden="false" customHeight="false" outlineLevel="0" collapsed="false"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O47" s="0"/>
    </row>
    <row r="48" customFormat="false" ht="14.65" hidden="false" customHeight="false" outlineLevel="0" collapsed="false"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O48" s="0"/>
    </row>
    <row r="49" customFormat="false" ht="14.65" hidden="false" customHeight="false" outlineLevel="0" collapsed="false"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O49" s="0"/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L40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pane xSplit="0" ySplit="1040" topLeftCell="A32" activePane="topLeft" state="split"/>
      <selection pane="topLeft" activeCell="E2" activeCellId="0" sqref="E2 E2"/>
      <selection pane="bottomLeft" activeCell="A32" activeCellId="0" sqref="A32"/>
    </sheetView>
  </sheetViews>
  <sheetFormatPr defaultColWidth="11.0546875" defaultRowHeight="14.65" customHeight="false" zeroHeight="false" outlineLevelRow="0" outlineLevelCol="0"/>
  <cols>
    <col collapsed="false" customWidth="false" hidden="true" outlineLevel="0" max="2" min="2" style="0" width="11.05"/>
    <col collapsed="false" customWidth="true" hidden="false" outlineLevel="0" max="34" min="34" style="0" width="6.99"/>
    <col collapsed="false" customWidth="true" hidden="false" outlineLevel="0" max="35" min="35" style="0" width="6.42"/>
    <col collapsed="false" customWidth="true" hidden="false" outlineLevel="0" max="36" min="36" style="0" width="6.56"/>
    <col collapsed="false" customWidth="true" hidden="false" outlineLevel="0" max="37" min="37" style="0" width="2.14"/>
  </cols>
  <sheetData>
    <row r="2" customFormat="false" ht="15.65" hidden="false" customHeight="false" outlineLevel="0" collapsed="false">
      <c r="A2" s="0" t="s">
        <v>34</v>
      </c>
      <c r="B2" s="0" t="n">
        <v>1</v>
      </c>
      <c r="C2" s="0" t="s">
        <v>35</v>
      </c>
      <c r="D2" s="0" t="s">
        <v>35</v>
      </c>
      <c r="V2" s="0" t="s">
        <v>36</v>
      </c>
      <c r="AG2" s="0" t="s">
        <v>36</v>
      </c>
      <c r="AL2" s="0" t="s">
        <v>37</v>
      </c>
    </row>
    <row r="3" customFormat="false" ht="14.65" hidden="false" customHeight="false" outlineLevel="0" collapsed="false">
      <c r="A3" s="0" t="s">
        <v>9</v>
      </c>
      <c r="B3" s="0" t="s">
        <v>38</v>
      </c>
      <c r="C3" s="0" t="s">
        <v>39</v>
      </c>
      <c r="D3" s="0" t="s">
        <v>40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P3" s="2" t="s">
        <v>21</v>
      </c>
      <c r="Q3" s="0" t="s">
        <v>41</v>
      </c>
      <c r="R3" s="0" t="s">
        <v>23</v>
      </c>
      <c r="S3" s="0" t="s">
        <v>24</v>
      </c>
      <c r="T3" s="0" t="s">
        <v>33</v>
      </c>
      <c r="V3" s="2" t="s">
        <v>11</v>
      </c>
      <c r="W3" s="2" t="s">
        <v>12</v>
      </c>
      <c r="X3" s="2" t="s">
        <v>13</v>
      </c>
      <c r="Y3" s="2" t="s">
        <v>14</v>
      </c>
      <c r="Z3" s="2" t="s">
        <v>15</v>
      </c>
      <c r="AA3" s="2" t="s">
        <v>16</v>
      </c>
      <c r="AB3" s="2" t="s">
        <v>17</v>
      </c>
      <c r="AC3" s="2" t="s">
        <v>18</v>
      </c>
      <c r="AD3" s="2" t="s">
        <v>19</v>
      </c>
      <c r="AE3" s="2" t="s">
        <v>20</v>
      </c>
      <c r="AG3" s="2" t="s">
        <v>21</v>
      </c>
      <c r="AH3" s="0" t="s">
        <v>41</v>
      </c>
      <c r="AI3" s="0" t="s">
        <v>23</v>
      </c>
      <c r="AJ3" s="0" t="s">
        <v>24</v>
      </c>
      <c r="AL3" s="0" t="s">
        <v>42</v>
      </c>
    </row>
    <row r="4" customFormat="false" ht="14.65" hidden="false" customHeight="false" outlineLevel="0" collapsed="false">
      <c r="A4" s="0" t="n">
        <v>0</v>
      </c>
      <c r="B4" s="1" t="n">
        <v>1</v>
      </c>
      <c r="C4" s="1" t="n">
        <v>5.50000249999765</v>
      </c>
      <c r="D4" s="1" t="n">
        <v>5.50000249999765</v>
      </c>
      <c r="E4" s="2" t="n">
        <f aca="false">beta*(1/(alpha*psi))*(1/alpha)*((-1/alpha*psi)*(EXP(alpha*(zeta+psi*'TaxV.Toll'!Size))-EXP(alpha*zeta))+('TaxV.Toll'!Size*EXP(alpha*zeta)))</f>
        <v>0</v>
      </c>
      <c r="F4" s="2" t="n">
        <f aca="false">beta*(-1/(alpha*psi)^2)*(1/alpha)*(EXP(alpha*('TaxV.Toll'!Tau+zeta))-EXP(alpha*('TaxV.Toll'!Tau+zeta+psi*'TaxV.Toll'!Size)))</f>
        <v>0</v>
      </c>
      <c r="G4" s="2" t="n">
        <f aca="false">'TaxV.Toll'!Tau*beta*EXP(alpha*('TaxV.Toll'!Tau+zeta))*(0-(1/(alpha*psi)^2))*(-1+EXP(alpha*psi*'TaxV.Toll'!Size))</f>
        <v>-0</v>
      </c>
      <c r="H4" s="2" t="n">
        <f aca="false">2*'TaxV.Toll'!Tau*beta*EXP(alpha*(2*'TaxV.Toll'!Tau+zeta))*(1/(alpha*psi)^2)*(EXP(alpha*psi*'TaxV.Toll'!Size))</f>
        <v>348.300430485099</v>
      </c>
      <c r="I4" s="2" t="n">
        <f aca="false">gamma*'TaxV.Toll'!Size</f>
        <v>0</v>
      </c>
      <c r="J4" s="2" t="n">
        <f aca="false">phi*beta*EXP(alpha*(zeta))*(0-1/(alpha*psi)^2)*((2/(alpha*psi))*(EXP(alpha*psi*'TaxV.Toll'!Size)-1)-('TaxV.Toll'!Size*(EXP(alpha*psi*'TaxV.Toll'!Size)+1)))</f>
        <v>0</v>
      </c>
      <c r="K4" s="2" t="n">
        <f aca="false">(phi*beta*EXP(alpha*('TaxV.Toll'!Tau+zeta)))*(0-1/(alpha*psi)^2)*((1/(alpha*psi))*(1-EXP(alpha*psi*'TaxV.Toll'!Size))+'TaxV.Toll'!Size*EXP(alpha*psi*'TaxV.Toll'!Size))</f>
        <v>-0</v>
      </c>
      <c r="L4" s="2" t="n">
        <f aca="false">(phi*beta*EXP(alpha*(2*'TaxV.Toll'!Tau+zeta)))*(1/(alpha*psi)^2)*('TaxV.Toll'!Size*EXP(alpha*psi*'TaxV.Toll'!Size))</f>
        <v>0</v>
      </c>
      <c r="M4" s="2" t="n">
        <f aca="false">'TaxV.Toll'!thetax*beta*(-1/(alpha*psi)^2)*EXP(alpha*('TaxV.Toll'!Tau+zeta))*(EXP(alpha*psi*'TaxV.Toll'!Size)-1)</f>
        <v>-0</v>
      </c>
      <c r="N4" s="2" t="n">
        <f aca="false">'TaxV.Toll'!thetax*beta*(1/(alpha*psi)^2)*EXP(alpha*(2*'TaxV.Toll'!Tau+zeta+psi*'TaxV.Toll'!Size))</f>
        <v>31.6636611060857</v>
      </c>
      <c r="P4" s="2" t="n">
        <f aca="false">Q4+R4-S4</f>
        <v>316.636769379014</v>
      </c>
      <c r="Q4" s="2" t="n">
        <f aca="false">E4+F4</f>
        <v>0</v>
      </c>
      <c r="R4" s="2" t="n">
        <f aca="false">2*G4+H4</f>
        <v>348.300430485099</v>
      </c>
      <c r="S4" s="2" t="n">
        <f aca="false">I4+J4+2*K4+L4+2*M4+N4</f>
        <v>31.6636611060857</v>
      </c>
      <c r="T4" s="1" t="n">
        <f aca="false">D4</f>
        <v>5.50000249999765</v>
      </c>
      <c r="V4" s="2" t="n">
        <f aca="false">beta*(1/(alpha*psi))*(1/alpha)*((-1/alpha*psi)*(EXP(alpha*(zeta+psi*'TaxV.Toll'!Size))-EXP(alpha*zeta))+('TaxV.Toll'!Size*EXP(alpha*zeta)))</f>
        <v>0</v>
      </c>
      <c r="W4" s="2" t="n">
        <f aca="false">beta*(-1/(alpha*psi)^2)*(1/alpha)*(EXP(alpha*(zeta))-EXP(alpha*(zeta+psi*'TaxV.Toll'!Size)))</f>
        <v>0</v>
      </c>
      <c r="X4" s="2" t="n">
        <f aca="false">0</f>
        <v>0</v>
      </c>
      <c r="Y4" s="2" t="n">
        <v>0</v>
      </c>
      <c r="Z4" s="2" t="n">
        <f aca="false">gamma*'TaxV.Toll'!Size</f>
        <v>0</v>
      </c>
      <c r="AA4" s="2" t="n">
        <f aca="false">phi*beta*EXP(alpha*(zeta))*(0-1/(alpha*psi)^2)*((2/(alpha*psi))*(EXP(alpha*psi*'TaxV.Toll'!Size)-1)-('TaxV.Toll'!Size*(EXP(alpha*psi*'TaxV.Toll'!Size)+1)))</f>
        <v>0</v>
      </c>
      <c r="AB4" s="2" t="n">
        <f aca="false">(phi*beta*EXP(alpha*(zeta)))*(0-1/(alpha*psi)^2)*((1/(alpha*psi))*(1-EXP(alpha*psi*'TaxV.Toll'!Size))+'TaxV.Toll'!Size*EXP(alpha*psi*'TaxV.Toll'!Size))</f>
        <v>-0</v>
      </c>
      <c r="AC4" s="2" t="n">
        <f aca="false">(phi*beta*EXP(alpha*(zeta)))*(1/(alpha*psi)^2)*('TaxV.Toll'!Size*EXP(alpha*psi*'TaxV.Toll'!Size))</f>
        <v>0</v>
      </c>
      <c r="AD4" s="2" t="n">
        <f aca="false">0</f>
        <v>0</v>
      </c>
      <c r="AE4" s="2" t="n">
        <v>0</v>
      </c>
      <c r="AG4" s="2" t="n">
        <f aca="false">AH4+AI4-AJ4</f>
        <v>0</v>
      </c>
      <c r="AH4" s="2" t="n">
        <f aca="false">V4+W4</f>
        <v>0</v>
      </c>
      <c r="AI4" s="2" t="n">
        <f aca="false">2*X4+Y4</f>
        <v>0</v>
      </c>
      <c r="AJ4" s="2" t="n">
        <f aca="false">Z4+AA4+2*AB4+AC4+2*AD4+AE4</f>
        <v>0</v>
      </c>
      <c r="AL4" s="2" t="n">
        <f aca="false">AG4-P4</f>
        <v>-316.636769379014</v>
      </c>
    </row>
    <row r="5" customFormat="false" ht="14.65" hidden="false" customHeight="false" outlineLevel="0" collapsed="false">
      <c r="A5" s="0" t="n">
        <f aca="false">A4+2</f>
        <v>2</v>
      </c>
      <c r="B5" s="1" t="n">
        <v>1</v>
      </c>
      <c r="C5" s="1" t="n">
        <v>6.68301210093589</v>
      </c>
      <c r="D5" s="1" t="n">
        <v>5.6811835534239</v>
      </c>
      <c r="E5" s="2" t="n">
        <f aca="false">beta*(1/(alpha*psi))*(1/alpha)*((-1/alpha*psi)*(EXP(alpha*(zeta+psi*'TaxV.Toll'!Size))-EXP(alpha*zeta))+('TaxV.Toll'!Size*EXP(alpha*zeta)))</f>
        <v>17.8172434708337</v>
      </c>
      <c r="F5" s="2" t="n">
        <f aca="false">beta*(-1/(alpha*psi)^2)*(1/alpha)*(EXP(alpha*('TaxV.Toll'!Tau+zeta))-EXP(alpha*('TaxV.Toll'!Tau+zeta+psi*'TaxV.Toll'!Size)))</f>
        <v>97.6964402305747</v>
      </c>
      <c r="G5" s="2" t="n">
        <f aca="false">'TaxV.Toll'!Tau*beta*EXP(alpha*('TaxV.Toll'!Tau+zeta))*(0-(1/(alpha*psi)^2))*(-1+EXP(alpha*psi*'TaxV.Toll'!Size))</f>
        <v>55.5031409466003</v>
      </c>
      <c r="H5" s="2" t="n">
        <f aca="false">2*'TaxV.Toll'!Tau*beta*EXP(alpha*(2*'TaxV.Toll'!Tau+zeta))*(1/(alpha*psi)^2)*(EXP(alpha*psi*'TaxV.Toll'!Size))</f>
        <v>284.07555427844</v>
      </c>
      <c r="I5" s="2" t="n">
        <f aca="false">gamma*'TaxV.Toll'!Size</f>
        <v>10</v>
      </c>
      <c r="J5" s="2" t="n">
        <f aca="false">phi*beta*EXP(alpha*(zeta))*(0-1/(alpha*psi)^2)*((2/(alpha*psi))*(EXP(alpha*psi*'TaxV.Toll'!Size)-1)-('TaxV.Toll'!Size*(EXP(alpha*psi*'TaxV.Toll'!Size)+1)))</f>
        <v>0.114875865580539</v>
      </c>
      <c r="K5" s="2" t="n">
        <f aca="false">(phi*beta*EXP(alpha*('TaxV.Toll'!Tau+zeta)))*(0-1/(alpha*psi)^2)*((1/(alpha*psi))*(1-EXP(alpha*psi*'TaxV.Toll'!Size))+'TaxV.Toll'!Size*EXP(alpha*psi*'TaxV.Toll'!Size))</f>
        <v>0.944420611893103</v>
      </c>
      <c r="L5" s="2" t="n">
        <f aca="false">(phi*beta*EXP(alpha*(2*'TaxV.Toll'!Tau+zeta)))*(1/(alpha*psi)^2)*('TaxV.Toll'!Size*EXP(alpha*psi*'TaxV.Toll'!Size))</f>
        <v>5.00028826048464</v>
      </c>
      <c r="M5" s="2" t="n">
        <f aca="false">'TaxV.Toll'!thetax*beta*(-1/(alpha*psi)^2)*EXP(alpha*('TaxV.Toll'!Tau+zeta))*(EXP(alpha*psi*'TaxV.Toll'!Size)-1)</f>
        <v>9.76964402305748</v>
      </c>
      <c r="N5" s="2" t="n">
        <f aca="false">'TaxV.Toll'!thetax*beta*(1/(alpha*psi)^2)*EXP(alpha*(2*'TaxV.Toll'!Tau+zeta+psi*'TaxV.Toll'!Size))</f>
        <v>25.0014413024232</v>
      </c>
      <c r="P5" s="2" t="n">
        <f aca="false">Q5+R5-S5</f>
        <v>449.050785174659</v>
      </c>
      <c r="Q5" s="2" t="n">
        <f aca="false">E5+F5</f>
        <v>115.513683701408</v>
      </c>
      <c r="R5" s="2" t="n">
        <f aca="false">2*G5+H5</f>
        <v>395.08183617164</v>
      </c>
      <c r="S5" s="2" t="n">
        <f aca="false">I5+J5+2*K5+L5+2*M5+N5</f>
        <v>61.5447346983896</v>
      </c>
      <c r="T5" s="1" t="n">
        <f aca="false">D5</f>
        <v>5.6811835534239</v>
      </c>
      <c r="V5" s="2" t="n">
        <f aca="false">beta*(1/(alpha*psi))*(1/alpha)*((-1/alpha*psi)*(EXP(alpha*(zeta+psi*'TaxV.Toll'!Size))-EXP(alpha*zeta))+('TaxV.Toll'!Size*EXP(alpha*zeta)))</f>
        <v>17.8172434708337</v>
      </c>
      <c r="W5" s="2" t="n">
        <f aca="false">beta*(-1/(alpha*psi)^2)*(1/alpha)*(EXP(alpha*(zeta))-EXP(alpha*(zeta+psi*'TaxV.Toll'!Size)))</f>
        <v>172.428641429309</v>
      </c>
      <c r="X5" s="2" t="n">
        <f aca="false">0</f>
        <v>0</v>
      </c>
      <c r="Y5" s="2" t="n">
        <v>0</v>
      </c>
      <c r="Z5" s="2" t="n">
        <f aca="false">gamma*'TaxV.Toll'!Size</f>
        <v>10</v>
      </c>
      <c r="AA5" s="2" t="n">
        <f aca="false">phi*beta*EXP(alpha*(zeta))*(0-1/(alpha*psi)^2)*((2/(alpha*psi))*(EXP(alpha*psi*'TaxV.Toll'!Size)-1)-('TaxV.Toll'!Size*(EXP(alpha*psi*'TaxV.Toll'!Size)+1)))</f>
        <v>0.114875865580539</v>
      </c>
      <c r="AB5" s="2" t="n">
        <f aca="false">(phi*beta*EXP(alpha*(zeta)))*(0-1/(alpha*psi)^2)*((1/(alpha*psi))*(1-EXP(alpha*psi*'TaxV.Toll'!Size))+'TaxV.Toll'!Size*EXP(alpha*psi*'TaxV.Toll'!Size))</f>
        <v>1.66684848150282</v>
      </c>
      <c r="AC5" s="2" t="n">
        <f aca="false">(phi*beta*EXP(alpha*(zeta)))*(1/(alpha*psi)^2)*('TaxV.Toll'!Size*EXP(alpha*psi*'TaxV.Toll'!Size))</f>
        <v>15.5760156614281</v>
      </c>
      <c r="AD5" s="2" t="n">
        <f aca="false">0</f>
        <v>0</v>
      </c>
      <c r="AE5" s="2" t="n">
        <v>0</v>
      </c>
      <c r="AG5" s="2" t="n">
        <f aca="false">AH5+AI5-AJ5</f>
        <v>161.221296410129</v>
      </c>
      <c r="AH5" s="2" t="n">
        <f aca="false">V5+W5</f>
        <v>190.245884900143</v>
      </c>
      <c r="AI5" s="2" t="n">
        <f aca="false">2*X5+Y5</f>
        <v>0</v>
      </c>
      <c r="AJ5" s="2" t="n">
        <f aca="false">Z5+AA5+2*AB5+AC5+2*AD5+AE5</f>
        <v>29.0245884900143</v>
      </c>
      <c r="AL5" s="2" t="n">
        <f aca="false">AG5-P5</f>
        <v>-287.82948876453</v>
      </c>
    </row>
    <row r="6" customFormat="false" ht="14.65" hidden="false" customHeight="false" outlineLevel="0" collapsed="false">
      <c r="A6" s="0" t="n">
        <f aca="false">A5+2</f>
        <v>4</v>
      </c>
      <c r="B6" s="1" t="n">
        <v>1</v>
      </c>
      <c r="C6" s="1" t="n">
        <v>7.84773635689576</v>
      </c>
      <c r="D6" s="1" t="n">
        <v>5.84903528384486</v>
      </c>
      <c r="E6" s="2" t="n">
        <f aca="false">beta*(1/(alpha*psi))*(1/alpha)*((-1/alpha*psi)*(EXP(alpha*(zeta+psi*'TaxV.Toll'!Size))-EXP(alpha*zeta))+('TaxV.Toll'!Size*EXP(alpha*zeta)))</f>
        <v>66.890496921345</v>
      </c>
      <c r="F6" s="2" t="n">
        <f aca="false">beta*(-1/(alpha*psi)^2)*(1/alpha)*(EXP(alpha*('TaxV.Toll'!Tau+zeta))-EXP(alpha*('TaxV.Toll'!Tau+zeta+psi*'TaxV.Toll'!Size)))</f>
        <v>174.725962675467</v>
      </c>
      <c r="G6" s="2" t="n">
        <f aca="false">'TaxV.Toll'!Tau*beta*EXP(alpha*('TaxV.Toll'!Tau+zeta))*(0-(1/(alpha*psi)^2))*(-1+EXP(alpha*psi*'TaxV.Toll'!Size))</f>
        <v>102.197832069257</v>
      </c>
      <c r="H6" s="2" t="n">
        <f aca="false">2*'TaxV.Toll'!Tau*beta*EXP(alpha*(2*'TaxV.Toll'!Tau+zeta))*(1/(alpha*psi)^2)*(EXP(alpha*psi*'TaxV.Toll'!Size))</f>
        <v>231.547966016462</v>
      </c>
      <c r="I6" s="2" t="n">
        <f aca="false">gamma*'TaxV.Toll'!Size</f>
        <v>20</v>
      </c>
      <c r="J6" s="2" t="n">
        <f aca="false">phi*beta*EXP(alpha*(zeta))*(0-1/(alpha*psi)^2)*((2/(alpha*psi))*(EXP(alpha*psi*'TaxV.Toll'!Size)-1)-('TaxV.Toll'!Size*(EXP(alpha*psi*'TaxV.Toll'!Size)+1)))</f>
        <v>0.834048469111355</v>
      </c>
      <c r="K6" s="2" t="n">
        <f aca="false">(phi*beta*EXP(alpha*('TaxV.Toll'!Tau+zeta)))*(0-1/(alpha*psi)^2)*((1/(alpha*psi))*(1-EXP(alpha*psi*'TaxV.Toll'!Size))+'TaxV.Toll'!Size*EXP(alpha*psi*'TaxV.Toll'!Size))</f>
        <v>3.26217019391268</v>
      </c>
      <c r="L6" s="2" t="n">
        <f aca="false">(phi*beta*EXP(alpha*(2*'TaxV.Toll'!Tau+zeta)))*(1/(alpha*psi)^2)*('TaxV.Toll'!Size*EXP(alpha*psi*'TaxV.Toll'!Size))</f>
        <v>7.91747543927462</v>
      </c>
      <c r="M6" s="2" t="n">
        <f aca="false">'TaxV.Toll'!thetax*beta*(-1/(alpha*psi)^2)*EXP(alpha*('TaxV.Toll'!Tau+zeta))*(EXP(alpha*psi*'TaxV.Toll'!Size)-1)</f>
        <v>17.4725962675467</v>
      </c>
      <c r="N6" s="2" t="n">
        <f aca="false">'TaxV.Toll'!thetax*beta*(1/(alpha*psi)^2)*EXP(alpha*(2*'TaxV.Toll'!Tau+zeta+psi*'TaxV.Toll'!Size))</f>
        <v>19.7936885981866</v>
      </c>
      <c r="P6" s="2" t="n">
        <f aca="false">Q6+R6-S6</f>
        <v>587.545344322296</v>
      </c>
      <c r="Q6" s="2" t="n">
        <f aca="false">E6+F6</f>
        <v>241.616459596812</v>
      </c>
      <c r="R6" s="2" t="n">
        <f aca="false">2*G6+H6</f>
        <v>435.943630154975</v>
      </c>
      <c r="S6" s="2" t="n">
        <f aca="false">I6+J6+2*K6+L6+2*M6+N6</f>
        <v>90.0147454294913</v>
      </c>
      <c r="T6" s="1" t="n">
        <f aca="false">D6</f>
        <v>5.84903528384486</v>
      </c>
      <c r="V6" s="2" t="n">
        <f aca="false">beta*(1/(alpha*psi))*(1/alpha)*((-1/alpha*psi)*(EXP(alpha*(zeta+psi*'TaxV.Toll'!Size))-EXP(alpha*zeta))+('TaxV.Toll'!Size*EXP(alpha*zeta)))</f>
        <v>66.890496921345</v>
      </c>
      <c r="W6" s="2" t="n">
        <f aca="false">beta*(-1/(alpha*psi)^2)*(1/alpha)*(EXP(alpha*(zeta))-EXP(alpha*(zeta+psi*'TaxV.Toll'!Size)))</f>
        <v>313.601272878941</v>
      </c>
      <c r="X6" s="2" t="n">
        <f aca="false">0</f>
        <v>0</v>
      </c>
      <c r="Y6" s="2" t="n">
        <v>0</v>
      </c>
      <c r="Z6" s="2" t="n">
        <f aca="false">gamma*'TaxV.Toll'!Size</f>
        <v>20</v>
      </c>
      <c r="AA6" s="2" t="n">
        <f aca="false">phi*beta*EXP(alpha*(zeta))*(0-1/(alpha*psi)^2)*((2/(alpha*psi))*(EXP(alpha*psi*'TaxV.Toll'!Size)-1)-('TaxV.Toll'!Size*(EXP(alpha*psi*'TaxV.Toll'!Size)+1)))</f>
        <v>0.834048469111355</v>
      </c>
      <c r="AB6" s="2" t="n">
        <f aca="false">(phi*beta*EXP(alpha*(zeta)))*(0-1/(alpha*psi)^2)*((1/(alpha*psi))*(1-EXP(alpha*psi*'TaxV.Toll'!Size))+'TaxV.Toll'!Size*EXP(alpha*psi*'TaxV.Toll'!Size))</f>
        <v>5.85500122302314</v>
      </c>
      <c r="AC6" s="2" t="n">
        <f aca="false">(phi*beta*EXP(alpha*(zeta)))*(1/(alpha*psi)^2)*('TaxV.Toll'!Size*EXP(alpha*psi*'TaxV.Toll'!Size))</f>
        <v>25.5051260648709</v>
      </c>
      <c r="AD6" s="2" t="n">
        <f aca="false">0</f>
        <v>0</v>
      </c>
      <c r="AE6" s="2" t="n">
        <v>0</v>
      </c>
      <c r="AG6" s="2" t="n">
        <f aca="false">AH6+AI6-AJ6</f>
        <v>322.442592820257</v>
      </c>
      <c r="AH6" s="2" t="n">
        <f aca="false">V6+W6</f>
        <v>380.491769800286</v>
      </c>
      <c r="AI6" s="2" t="n">
        <f aca="false">2*X6+Y6</f>
        <v>0</v>
      </c>
      <c r="AJ6" s="2" t="n">
        <f aca="false">Z6+AA6+2*AB6+AC6+2*AD6+AE6</f>
        <v>58.0491769800286</v>
      </c>
      <c r="AL6" s="2" t="n">
        <f aca="false">AG6-P6</f>
        <v>-265.102751502039</v>
      </c>
    </row>
    <row r="7" customFormat="false" ht="14.65" hidden="false" customHeight="false" outlineLevel="0" collapsed="false">
      <c r="A7" s="0" t="n">
        <f aca="false">A6+2</f>
        <v>6</v>
      </c>
      <c r="B7" s="1" t="n">
        <v>1</v>
      </c>
      <c r="C7" s="1" t="n">
        <v>8.89433066248122</v>
      </c>
      <c r="D7" s="1" t="n">
        <v>6.00136704235839</v>
      </c>
      <c r="E7" s="2" t="n">
        <f aca="false">beta*(1/(alpha*psi))*(1/alpha)*((-1/alpha*psi)*(EXP(alpha*(zeta+psi*'TaxV.Toll'!Size))-EXP(alpha*zeta))+('TaxV.Toll'!Size*EXP(alpha*zeta)))</f>
        <v>141.55400696073</v>
      </c>
      <c r="F7" s="2" t="n">
        <f aca="false">beta*(-1/(alpha*psi)^2)*(1/alpha)*(EXP(alpha*('TaxV.Toll'!Tau+zeta))-EXP(alpha*('TaxV.Toll'!Tau+zeta+psi*'TaxV.Toll'!Size)))</f>
        <v>235.50878265196</v>
      </c>
      <c r="G7" s="2" t="n">
        <f aca="false">'TaxV.Toll'!Tau*beta*EXP(alpha*('TaxV.Toll'!Tau+zeta))*(0-(1/(alpha*psi)^2))*(-1+EXP(alpha*psi*'TaxV.Toll'!Size))</f>
        <v>141.337464639342</v>
      </c>
      <c r="H7" s="2" t="n">
        <f aca="false">2*'TaxV.Toll'!Tau*beta*EXP(alpha*(2*'TaxV.Toll'!Tau+zeta))*(1/(alpha*psi)^2)*(EXP(alpha*psi*'TaxV.Toll'!Size))</f>
        <v>188.675996881121</v>
      </c>
      <c r="I7" s="2" t="n">
        <f aca="false">gamma*'TaxV.Toll'!Size</f>
        <v>30</v>
      </c>
      <c r="J7" s="2" t="n">
        <f aca="false">phi*beta*EXP(alpha*(zeta))*(0-1/(alpha*psi)^2)*((2/(alpha*psi))*(EXP(alpha*psi*'TaxV.Toll'!Size)-1)-('TaxV.Toll'!Size*(EXP(alpha*psi*'TaxV.Toll'!Size)+1)))</f>
        <v>2.55978252776422</v>
      </c>
      <c r="K7" s="2" t="n">
        <f aca="false">(phi*beta*EXP(alpha*('TaxV.Toll'!Tau+zeta)))*(0-1/(alpha*psi)^2)*((1/(alpha*psi))*(1-EXP(alpha*psi*'TaxV.Toll'!Size))+'TaxV.Toll'!Size*EXP(alpha*psi*'TaxV.Toll'!Size))</f>
        <v>6.3629402781246</v>
      </c>
      <c r="L7" s="2" t="n">
        <f aca="false">(phi*beta*EXP(alpha*(2*'TaxV.Toll'!Tau+zeta)))*(1/(alpha*psi)^2)*('TaxV.Toll'!Size*EXP(alpha*psi*'TaxV.Toll'!Size))</f>
        <v>9.43165093300024</v>
      </c>
      <c r="M7" s="2" t="n">
        <f aca="false">'TaxV.Toll'!thetax*beta*(-1/(alpha*psi)^2)*EXP(alpha*('TaxV.Toll'!Tau+zeta))*(EXP(alpha*psi*'TaxV.Toll'!Size)-1)</f>
        <v>23.550878265196</v>
      </c>
      <c r="N7" s="2" t="n">
        <f aca="false">'TaxV.Toll'!thetax*beta*(1/(alpha*psi)^2)*EXP(alpha*(2*'TaxV.Toll'!Tau+zeta+psi*'TaxV.Toll'!Size))</f>
        <v>15.7194182216671</v>
      </c>
      <c r="P7" s="2" t="n">
        <f aca="false">Q7+R7-S7</f>
        <v>730.875227003423</v>
      </c>
      <c r="Q7" s="2" t="n">
        <f aca="false">E7+F7</f>
        <v>377.06278961269</v>
      </c>
      <c r="R7" s="2" t="n">
        <f aca="false">2*G7+H7</f>
        <v>471.350926159805</v>
      </c>
      <c r="S7" s="2" t="n">
        <f aca="false">I7+J7+2*K7+L7+2*M7+N7</f>
        <v>117.538488769073</v>
      </c>
      <c r="T7" s="1" t="n">
        <f aca="false">D7</f>
        <v>6.00136704235839</v>
      </c>
      <c r="V7" s="2" t="n">
        <f aca="false">beta*(1/(alpha*psi))*(1/alpha)*((-1/alpha*psi)*(EXP(alpha*(zeta+psi*'TaxV.Toll'!Size))-EXP(alpha*zeta))+('TaxV.Toll'!Size*EXP(alpha*zeta)))</f>
        <v>141.55400696073</v>
      </c>
      <c r="W7" s="2" t="n">
        <f aca="false">beta*(-1/(alpha*psi)^2)*(1/alpha)*(EXP(alpha*(zeta))-EXP(alpha*(zeta+psi*'TaxV.Toll'!Size)))</f>
        <v>429.183647739698</v>
      </c>
      <c r="X7" s="2" t="n">
        <f aca="false">0</f>
        <v>0</v>
      </c>
      <c r="Y7" s="2" t="n">
        <v>0</v>
      </c>
      <c r="Z7" s="2" t="n">
        <f aca="false">gamma*'TaxV.Toll'!Size</f>
        <v>30</v>
      </c>
      <c r="AA7" s="2" t="n">
        <f aca="false">phi*beta*EXP(alpha*(zeta))*(0-1/(alpha*psi)^2)*((2/(alpha*psi))*(EXP(alpha*psi*'TaxV.Toll'!Size)-1)-('TaxV.Toll'!Size*(EXP(alpha*psi*'TaxV.Toll'!Size)+1)))</f>
        <v>2.55978252776422</v>
      </c>
      <c r="AB7" s="2" t="n">
        <f aca="false">(phi*beta*EXP(alpha*(zeta)))*(0-1/(alpha*psi)^2)*((1/(alpha*psi))*(1-EXP(alpha*psi*'TaxV.Toll'!Size))+'TaxV.Toll'!Size*EXP(alpha*psi*'TaxV.Toll'!Size))</f>
        <v>11.5956181683088</v>
      </c>
      <c r="AC7" s="2" t="n">
        <f aca="false">(phi*beta*EXP(alpha*(zeta)))*(1/(alpha*psi)^2)*('TaxV.Toll'!Size*EXP(alpha*psi*'TaxV.Toll'!Size))</f>
        <v>31.322746605661</v>
      </c>
      <c r="AD7" s="2" t="n">
        <f aca="false">0</f>
        <v>0</v>
      </c>
      <c r="AE7" s="2" t="n">
        <v>0</v>
      </c>
      <c r="AG7" s="2" t="n">
        <f aca="false">AH7+AI7-AJ7</f>
        <v>483.663889230385</v>
      </c>
      <c r="AH7" s="2" t="n">
        <f aca="false">V7+W7</f>
        <v>570.737654700428</v>
      </c>
      <c r="AI7" s="2" t="n">
        <f aca="false">2*X7+Y7</f>
        <v>0</v>
      </c>
      <c r="AJ7" s="2" t="n">
        <f aca="false">Z7+AA7+2*AB7+AC7+2*AD7+AE7</f>
        <v>87.0737654700429</v>
      </c>
      <c r="AL7" s="2" t="n">
        <f aca="false">AG7-P7</f>
        <v>-247.211337773037</v>
      </c>
    </row>
    <row r="8" customFormat="false" ht="14.65" hidden="false" customHeight="false" outlineLevel="0" collapsed="false">
      <c r="A8" s="0" t="n">
        <f aca="false">A7+2</f>
        <v>8</v>
      </c>
      <c r="B8" s="1" t="n">
        <v>1</v>
      </c>
      <c r="C8" s="1" t="n">
        <v>9.85003410314511</v>
      </c>
      <c r="D8" s="1" t="n">
        <v>6.13745785441395</v>
      </c>
      <c r="E8" s="2" t="n">
        <f aca="false">beta*(1/(alpha*psi))*(1/alpha)*((-1/alpha*psi)*(EXP(alpha*(zeta+psi*'TaxV.Toll'!Size))-EXP(alpha*zeta))+('TaxV.Toll'!Size*EXP(alpha*zeta)))</f>
        <v>237.169047048584</v>
      </c>
      <c r="F8" s="2" t="n">
        <f aca="false">beta*(-1/(alpha*psi)^2)*(1/alpha)*(EXP(alpha*('TaxV.Toll'!Tau+zeta))-EXP(alpha*('TaxV.Toll'!Tau+zeta+psi*'TaxV.Toll'!Size)))</f>
        <v>283.550947027881</v>
      </c>
      <c r="G8" s="2" t="n">
        <f aca="false">'TaxV.Toll'!Tau*beta*EXP(alpha*('TaxV.Toll'!Tau+zeta))*(0-(1/(alpha*psi)^2))*(-1+EXP(alpha*psi*'TaxV.Toll'!Size))</f>
        <v>174.028198696279</v>
      </c>
      <c r="H8" s="2" t="n">
        <f aca="false">2*'TaxV.Toll'!Tau*beta*EXP(alpha*(2*'TaxV.Toll'!Tau+zeta))*(1/(alpha*psi)^2)*(EXP(alpha*psi*'TaxV.Toll'!Size))</f>
        <v>153.735934851963</v>
      </c>
      <c r="I8" s="2" t="n">
        <f aca="false">gamma*'TaxV.Toll'!Size</f>
        <v>40</v>
      </c>
      <c r="J8" s="2" t="n">
        <f aca="false">phi*beta*EXP(alpha*(zeta))*(0-1/(alpha*psi)^2)*((2/(alpha*psi))*(EXP(alpha*psi*'TaxV.Toll'!Size)-1)-('TaxV.Toll'!Size*(EXP(alpha*psi*'TaxV.Toll'!Size)+1)))</f>
        <v>5.52865000555778</v>
      </c>
      <c r="K8" s="2" t="n">
        <f aca="false">(phi*beta*EXP(alpha*('TaxV.Toll'!Tau+zeta)))*(0-1/(alpha*psi)^2)*((1/(alpha*psi))*(1-EXP(alpha*psi*'TaxV.Toll'!Size))+'TaxV.Toll'!Size*EXP(alpha*psi*'TaxV.Toll'!Size))</f>
        <v>9.84565512810654</v>
      </c>
      <c r="L8" s="2" t="n">
        <f aca="false">(phi*beta*EXP(alpha*(2*'TaxV.Toll'!Tau+zeta)))*(1/(alpha*psi)^2)*('TaxV.Toll'!Size*EXP(alpha*psi*'TaxV.Toll'!Size))</f>
        <v>10.0195187322646</v>
      </c>
      <c r="M8" s="2" t="n">
        <f aca="false">'TaxV.Toll'!thetax*beta*(-1/(alpha*psi)^2)*EXP(alpha*('TaxV.Toll'!Tau+zeta))*(EXP(alpha*psi*'TaxV.Toll'!Size)-1)</f>
        <v>28.3550947027881</v>
      </c>
      <c r="N8" s="2" t="n">
        <f aca="false">'TaxV.Toll'!thetax*beta*(1/(alpha*psi)^2)*EXP(alpha*(2*'TaxV.Toll'!Tau+zeta+psi*'TaxV.Toll'!Size))</f>
        <v>12.5243984153307</v>
      </c>
      <c r="P8" s="2" t="n">
        <f aca="false">Q8+R8-S8</f>
        <v>878.038259506042</v>
      </c>
      <c r="Q8" s="2" t="n">
        <f aca="false">E8+F8</f>
        <v>520.719994076465</v>
      </c>
      <c r="R8" s="2" t="n">
        <f aca="false">2*G8+H8</f>
        <v>501.79233224452</v>
      </c>
      <c r="S8" s="2" t="n">
        <f aca="false">I8+J8+2*K8+L8+2*M8+N8</f>
        <v>144.474066814943</v>
      </c>
      <c r="T8" s="1" t="n">
        <f aca="false">D8</f>
        <v>6.13745785441395</v>
      </c>
      <c r="V8" s="2" t="n">
        <f aca="false">beta*(1/(alpha*psi))*(1/alpha)*((-1/alpha*psi)*(EXP(alpha*(zeta+psi*'TaxV.Toll'!Size))-EXP(alpha*zeta))+('TaxV.Toll'!Size*EXP(alpha*zeta)))</f>
        <v>237.169047048584</v>
      </c>
      <c r="W8" s="2" t="n">
        <f aca="false">beta*(-1/(alpha*psi)^2)*(1/alpha)*(EXP(alpha*(zeta))-EXP(alpha*(zeta+psi*'TaxV.Toll'!Size)))</f>
        <v>523.814492551987</v>
      </c>
      <c r="X8" s="2" t="n">
        <f aca="false">0</f>
        <v>0</v>
      </c>
      <c r="Y8" s="2" t="n">
        <v>0</v>
      </c>
      <c r="Z8" s="2" t="n">
        <f aca="false">gamma*'TaxV.Toll'!Size</f>
        <v>40</v>
      </c>
      <c r="AA8" s="2" t="n">
        <f aca="false">phi*beta*EXP(alpha*(zeta))*(0-1/(alpha*psi)^2)*((2/(alpha*psi))*(EXP(alpha*psi*'TaxV.Toll'!Size)-1)-('TaxV.Toll'!Size*(EXP(alpha*psi*'TaxV.Toll'!Size)+1)))</f>
        <v>5.52865000555778</v>
      </c>
      <c r="AB8" s="2" t="n">
        <f aca="false">(phi*beta*EXP(alpha*(zeta)))*(0-1/(alpha*psi)^2)*((1/(alpha*psi))*(1-EXP(alpha*psi*'TaxV.Toll'!Size))+'TaxV.Toll'!Size*EXP(alpha*psi*'TaxV.Toll'!Size))</f>
        <v>18.1882546993006</v>
      </c>
      <c r="AC8" s="2" t="n">
        <f aca="false">(phi*beta*EXP(alpha*(zeta)))*(1/(alpha*psi)^2)*('TaxV.Toll'!Size*EXP(alpha*psi*'TaxV.Toll'!Size))</f>
        <v>34.1931945558981</v>
      </c>
      <c r="AD8" s="2" t="n">
        <f aca="false">0</f>
        <v>0</v>
      </c>
      <c r="AE8" s="2" t="n">
        <v>0</v>
      </c>
      <c r="AG8" s="2" t="n">
        <f aca="false">AH8+AI8-AJ8</f>
        <v>644.885185640514</v>
      </c>
      <c r="AH8" s="2" t="n">
        <f aca="false">V8+W8</f>
        <v>760.983539600571</v>
      </c>
      <c r="AI8" s="2" t="n">
        <f aca="false">2*X8+Y8</f>
        <v>0</v>
      </c>
      <c r="AJ8" s="2" t="n">
        <f aca="false">Z8+AA8+2*AB8+AC8+2*AD8+AE8</f>
        <v>116.098353960057</v>
      </c>
      <c r="AL8" s="2" t="n">
        <f aca="false">AG8-P8</f>
        <v>-233.153073865528</v>
      </c>
    </row>
    <row r="9" customFormat="false" ht="14.65" hidden="false" customHeight="false" outlineLevel="0" collapsed="false">
      <c r="A9" s="0" t="n">
        <f aca="false">A8+2</f>
        <v>10</v>
      </c>
      <c r="B9" s="1" t="n">
        <v>1</v>
      </c>
      <c r="C9" s="1" t="n">
        <v>10.7128251081063</v>
      </c>
      <c r="D9" s="1" t="n">
        <v>6.25763457605166</v>
      </c>
      <c r="E9" s="2" t="n">
        <f aca="false">beta*(1/(alpha*psi))*(1/alpha)*((-1/alpha*psi)*(EXP(alpha*(zeta+psi*'TaxV.Toll'!Size))-EXP(alpha*zeta))+('TaxV.Toll'!Size*EXP(alpha*zeta)))</f>
        <v>349.937749111155</v>
      </c>
      <c r="F9" s="2" t="n">
        <f aca="false">beta*(-1/(alpha*psi)^2)*(1/alpha)*(EXP(alpha*('TaxV.Toll'!Tau+zeta))-EXP(alpha*('TaxV.Toll'!Tau+zeta+psi*'TaxV.Toll'!Size)))</f>
        <v>321.602617411772</v>
      </c>
      <c r="G9" s="2" t="n">
        <f aca="false">'TaxV.Toll'!Tau*beta*EXP(alpha*('TaxV.Toll'!Tau+zeta))*(0-(1/(alpha*psi)^2))*(-1+EXP(alpha*psi*'TaxV.Toll'!Size))</f>
        <v>201.247165846462</v>
      </c>
      <c r="H9" s="2" t="n">
        <f aca="false">2*'TaxV.Toll'!Tau*beta*EXP(alpha*(2*'TaxV.Toll'!Tau+zeta))*(1/(alpha*psi)^2)*(EXP(alpha*psi*'TaxV.Toll'!Size))</f>
        <v>125.285195412746</v>
      </c>
      <c r="I9" s="2" t="n">
        <f aca="false">gamma*'TaxV.Toll'!Size</f>
        <v>50</v>
      </c>
      <c r="J9" s="2" t="n">
        <f aca="false">phi*beta*EXP(alpha*(zeta))*(0-1/(alpha*psi)^2)*((2/(alpha*psi))*(EXP(alpha*psi*'TaxV.Toll'!Size)-1)-('TaxV.Toll'!Size*(EXP(alpha*psi*'TaxV.Toll'!Size)+1)))</f>
        <v>9.85838228327522</v>
      </c>
      <c r="K9" s="2" t="n">
        <f aca="false">(phi*beta*EXP(alpha*('TaxV.Toll'!Tau+zeta)))*(0-1/(alpha*psi)^2)*((1/(alpha*psi))*(1-EXP(alpha*psi*'TaxV.Toll'!Size))+'TaxV.Toll'!Size*EXP(alpha*psi*'TaxV.Toll'!Size))</f>
        <v>13.4437385209913</v>
      </c>
      <c r="L9" s="2" t="n">
        <f aca="false">(phi*beta*EXP(alpha*(2*'TaxV.Toll'!Tau+zeta)))*(1/(alpha*psi)^2)*('TaxV.Toll'!Size*EXP(alpha*psi*'TaxV.Toll'!Size))</f>
        <v>10.0105873785136</v>
      </c>
      <c r="M9" s="2" t="n">
        <f aca="false">'TaxV.Toll'!thetax*beta*(-1/(alpha*psi)^2)*EXP(alpha*('TaxV.Toll'!Tau+zeta))*(EXP(alpha*psi*'TaxV.Toll'!Size)-1)</f>
        <v>32.1602617411772</v>
      </c>
      <c r="N9" s="2" t="n">
        <f aca="false">'TaxV.Toll'!thetax*beta*(1/(alpha*psi)^2)*EXP(alpha*(2*'TaxV.Toll'!Tau+zeta+psi*'TaxV.Toll'!Size))</f>
        <v>10.0105873785136</v>
      </c>
      <c r="P9" s="2" t="n">
        <f aca="false">Q9+R9-S9</f>
        <v>1028.23233606396</v>
      </c>
      <c r="Q9" s="2" t="n">
        <f aca="false">E9+F9</f>
        <v>671.540366522927</v>
      </c>
      <c r="R9" s="2" t="n">
        <f aca="false">2*G9+H9</f>
        <v>527.77952710567</v>
      </c>
      <c r="S9" s="2" t="n">
        <f aca="false">I9+J9+2*K9+L9+2*M9+N9</f>
        <v>171.087557564639</v>
      </c>
      <c r="T9" s="1" t="n">
        <f aca="false">D9</f>
        <v>6.25763457605166</v>
      </c>
      <c r="V9" s="2" t="n">
        <f aca="false">beta*(1/(alpha*psi))*(1/alpha)*((-1/alpha*psi)*(EXP(alpha*(zeta+psi*'TaxV.Toll'!Size))-EXP(alpha*zeta))+('TaxV.Toll'!Size*EXP(alpha*zeta)))</f>
        <v>349.937749111155</v>
      </c>
      <c r="W9" s="2" t="n">
        <f aca="false">beta*(-1/(alpha*psi)^2)*(1/alpha)*(EXP(alpha*(zeta))-EXP(alpha*(zeta+psi*'TaxV.Toll'!Size)))</f>
        <v>601.291675389559</v>
      </c>
      <c r="X9" s="2" t="n">
        <f aca="false">0</f>
        <v>0</v>
      </c>
      <c r="Y9" s="2" t="n">
        <v>0</v>
      </c>
      <c r="Z9" s="2" t="n">
        <f aca="false">gamma*'TaxV.Toll'!Size</f>
        <v>50</v>
      </c>
      <c r="AA9" s="2" t="n">
        <f aca="false">phi*beta*EXP(alpha*(zeta))*(0-1/(alpha*psi)^2)*((2/(alpha*psi))*(EXP(alpha*psi*'TaxV.Toll'!Size)-1)-('TaxV.Toll'!Size*(EXP(alpha*psi*'TaxV.Toll'!Size)+1)))</f>
        <v>9.85838228327522</v>
      </c>
      <c r="AB9" s="2" t="n">
        <f aca="false">(phi*beta*EXP(alpha*(zeta)))*(0-1/(alpha*psi)^2)*((1/(alpha*psi))*(1-EXP(alpha*psi*'TaxV.Toll'!Size))+'TaxV.Toll'!Size*EXP(alpha*psi*'TaxV.Toll'!Size))</f>
        <v>25.1353926278403</v>
      </c>
      <c r="AC9" s="2" t="n">
        <f aca="false">(phi*beta*EXP(alpha*(zeta)))*(1/(alpha*psi)^2)*('TaxV.Toll'!Size*EXP(alpha*psi*'TaxV.Toll'!Size))</f>
        <v>34.9937749111155</v>
      </c>
      <c r="AD9" s="2" t="n">
        <f aca="false">0</f>
        <v>0</v>
      </c>
      <c r="AE9" s="2" t="n">
        <v>0</v>
      </c>
      <c r="AG9" s="2" t="n">
        <f aca="false">AH9+AI9-AJ9</f>
        <v>806.106482050643</v>
      </c>
      <c r="AH9" s="2" t="n">
        <f aca="false">V9+W9</f>
        <v>951.229424500714</v>
      </c>
      <c r="AI9" s="2" t="n">
        <f aca="false">2*X9+Y9</f>
        <v>0</v>
      </c>
      <c r="AJ9" s="2" t="n">
        <f aca="false">Z9+AA9+2*AB9+AC9+2*AD9+AE9</f>
        <v>145.122942450071</v>
      </c>
      <c r="AL9" s="2" t="n">
        <f aca="false">AG9-P9</f>
        <v>-222.125854013315</v>
      </c>
    </row>
    <row r="10" customFormat="false" ht="14.65" hidden="false" customHeight="false" outlineLevel="0" collapsed="false">
      <c r="A10" s="0" t="n">
        <f aca="false">A9+2</f>
        <v>12</v>
      </c>
      <c r="B10" s="1" t="n">
        <v>1</v>
      </c>
      <c r="C10" s="1" t="n">
        <v>11.4801812061327</v>
      </c>
      <c r="D10" s="1" t="n">
        <v>6.3628639582659</v>
      </c>
      <c r="E10" s="2" t="n">
        <f aca="false">beta*(1/(alpha*psi))*(1/alpha)*((-1/alpha*psi)*(EXP(alpha*(zeta+psi*'TaxV.Toll'!Size))-EXP(alpha*zeta))+('TaxV.Toll'!Size*EXP(alpha*zeta)))</f>
        <v>476.750681760333</v>
      </c>
      <c r="F10" s="2" t="n">
        <f aca="false">beta*(-1/(alpha*psi)^2)*(1/alpha)*(EXP(alpha*('TaxV.Toll'!Tau+zeta))-EXP(alpha*('TaxV.Toll'!Tau+zeta+psi*'TaxV.Toll'!Size)))</f>
        <v>351.808314184709</v>
      </c>
      <c r="G10" s="2" t="n">
        <f aca="false">'TaxV.Toll'!Tau*beta*EXP(alpha*('TaxV.Toll'!Tau+zeta))*(0-(1/(alpha*psi)^2))*(-1+EXP(alpha*psi*'TaxV.Toll'!Size))</f>
        <v>223.850844254417</v>
      </c>
      <c r="H10" s="2" t="n">
        <f aca="false">2*'TaxV.Toll'!Tau*beta*EXP(alpha*(2*'TaxV.Toll'!Tau+zeta))*(1/(alpha*psi)^2)*(EXP(alpha*psi*'TaxV.Toll'!Size))</f>
        <v>102.127615006603</v>
      </c>
      <c r="I10" s="2" t="n">
        <f aca="false">gamma*'TaxV.Toll'!Size</f>
        <v>60</v>
      </c>
      <c r="J10" s="2" t="n">
        <f aca="false">phi*beta*EXP(alpha*(zeta))*(0-1/(alpha*psi)^2)*((2/(alpha*psi))*(EXP(alpha*psi*'TaxV.Toll'!Size)-1)-('TaxV.Toll'!Size*(EXP(alpha*psi*'TaxV.Toll'!Size)+1)))</f>
        <v>15.5831810352037</v>
      </c>
      <c r="K10" s="2" t="n">
        <f aca="false">(phi*beta*EXP(alpha*('TaxV.Toll'!Tau+zeta)))*(0-1/(alpha*psi)^2)*((1/(alpha*psi))*(1-EXP(alpha*psi*'TaxV.Toll'!Size))+'TaxV.Toll'!Size*EXP(alpha*psi*'TaxV.Toll'!Size))</f>
        <v>16.9847666906766</v>
      </c>
      <c r="L10" s="2" t="n">
        <f aca="false">(phi*beta*EXP(alpha*(2*'TaxV.Toll'!Tau+zeta)))*(1/(alpha*psi)^2)*('TaxV.Toll'!Size*EXP(alpha*psi*'TaxV.Toll'!Size))</f>
        <v>9.6303440409658</v>
      </c>
      <c r="M10" s="2" t="n">
        <f aca="false">'TaxV.Toll'!thetax*beta*(-1/(alpha*psi)^2)*EXP(alpha*('TaxV.Toll'!Tau+zeta))*(EXP(alpha*psi*'TaxV.Toll'!Size)-1)</f>
        <v>35.1808314184709</v>
      </c>
      <c r="N10" s="2" t="n">
        <f aca="false">'TaxV.Toll'!thetax*beta*(1/(alpha*psi)^2)*EXP(alpha*(2*'TaxV.Toll'!Tau+zeta+psi*'TaxV.Toll'!Size))</f>
        <v>8.02528670080484</v>
      </c>
      <c r="P10" s="2" t="n">
        <f aca="false">Q10+R10-S10</f>
        <v>1180.81829146521</v>
      </c>
      <c r="Q10" s="2" t="n">
        <f aca="false">E10+F10</f>
        <v>828.558995945041</v>
      </c>
      <c r="R10" s="2" t="n">
        <f aca="false">2*G10+H10</f>
        <v>549.829303515437</v>
      </c>
      <c r="S10" s="2" t="n">
        <f aca="false">I10+J10+2*K10+L10+2*M10+N10</f>
        <v>197.570007995269</v>
      </c>
      <c r="T10" s="1" t="n">
        <f aca="false">D10</f>
        <v>6.3628639582659</v>
      </c>
      <c r="V10" s="2" t="n">
        <f aca="false">beta*(1/(alpha*psi))*(1/alpha)*((-1/alpha*psi)*(EXP(alpha*(zeta+psi*'TaxV.Toll'!Size))-EXP(alpha*zeta))+('TaxV.Toll'!Size*EXP(alpha*zeta)))</f>
        <v>476.750681760333</v>
      </c>
      <c r="W10" s="2" t="n">
        <f aca="false">beta*(-1/(alpha*psi)^2)*(1/alpha)*(EXP(alpha*(zeta))-EXP(alpha*(zeta+psi*'TaxV.Toll'!Size)))</f>
        <v>664.724627640524</v>
      </c>
      <c r="X10" s="2" t="n">
        <f aca="false">0</f>
        <v>0</v>
      </c>
      <c r="Y10" s="2" t="n">
        <v>0</v>
      </c>
      <c r="Z10" s="2" t="n">
        <f aca="false">gamma*'TaxV.Toll'!Size</f>
        <v>60</v>
      </c>
      <c r="AA10" s="2" t="n">
        <f aca="false">phi*beta*EXP(alpha*(zeta))*(0-1/(alpha*psi)^2)*((2/(alpha*psi))*(EXP(alpha*psi*'TaxV.Toll'!Size)-1)-('TaxV.Toll'!Size*(EXP(alpha*psi*'TaxV.Toll'!Size)+1)))</f>
        <v>15.5831810352037</v>
      </c>
      <c r="AB10" s="2" t="n">
        <f aca="false">(phi*beta*EXP(alpha*(zeta)))*(0-1/(alpha*psi)^2)*((1/(alpha*psi))*(1-EXP(alpha*psi*'TaxV.Toll'!Size))+'TaxV.Toll'!Size*EXP(alpha*psi*'TaxV.Toll'!Size))</f>
        <v>32.0918871408296</v>
      </c>
      <c r="AC10" s="2" t="n">
        <f aca="false">(phi*beta*EXP(alpha*(zeta)))*(1/(alpha*psi)^2)*('TaxV.Toll'!Size*EXP(alpha*psi*'TaxV.Toll'!Size))</f>
        <v>34.3805756232228</v>
      </c>
      <c r="AD10" s="2" t="n">
        <f aca="false">0</f>
        <v>0</v>
      </c>
      <c r="AE10" s="2" t="n">
        <v>0</v>
      </c>
      <c r="AG10" s="2" t="n">
        <f aca="false">AH10+AI10-AJ10</f>
        <v>967.327778460771</v>
      </c>
      <c r="AH10" s="2" t="n">
        <f aca="false">V10+W10</f>
        <v>1141.47530940086</v>
      </c>
      <c r="AI10" s="2" t="n">
        <f aca="false">2*X10+Y10</f>
        <v>0</v>
      </c>
      <c r="AJ10" s="2" t="n">
        <f aca="false">Z10+AA10+2*AB10+AC10+2*AD10+AE10</f>
        <v>174.147530940086</v>
      </c>
      <c r="AL10" s="2" t="n">
        <f aca="false">AG10-P10</f>
        <v>-213.490513004438</v>
      </c>
    </row>
    <row r="11" customFormat="false" ht="14.65" hidden="false" customHeight="false" outlineLevel="0" collapsed="false">
      <c r="A11" s="0" t="n">
        <f aca="false">A10+2</f>
        <v>14</v>
      </c>
      <c r="B11" s="1" t="n">
        <v>1</v>
      </c>
      <c r="C11" s="1" t="n">
        <v>12.161043065145</v>
      </c>
      <c r="D11" s="1" t="n">
        <v>6.45442603332387</v>
      </c>
      <c r="E11" s="2" t="n">
        <f aca="false">beta*(1/(alpha*psi))*(1/alpha)*((-1/alpha*psi)*(EXP(alpha*(zeta+psi*'TaxV.Toll'!Size))-EXP(alpha*zeta))+('TaxV.Toll'!Size*EXP(alpha*zeta)))</f>
        <v>615.062057894083</v>
      </c>
      <c r="F11" s="2" t="n">
        <f aca="false">beta*(-1/(alpha*psi)^2)*(1/alpha)*(EXP(alpha*('TaxV.Toll'!Tau+zeta))-EXP(alpha*('TaxV.Toll'!Tau+zeta+psi*'TaxV.Toll'!Size)))</f>
        <v>375.837820441088</v>
      </c>
      <c r="G11" s="2" t="n">
        <f aca="false">'TaxV.Toll'!Tau*beta*EXP(alpha*('TaxV.Toll'!Tau+zeta))*(0-(1/(alpha*psi)^2))*(-1+EXP(alpha*psi*'TaxV.Toll'!Size))</f>
        <v>242.581741256266</v>
      </c>
      <c r="H11" s="2" t="n">
        <f aca="false">2*'TaxV.Toll'!Tau*beta*EXP(alpha*(2*'TaxV.Toll'!Tau+zeta))*(1/(alpha*psi)^2)*(EXP(alpha*psi*'TaxV.Toll'!Size))</f>
        <v>83.2791536936968</v>
      </c>
      <c r="I11" s="2" t="n">
        <f aca="false">gamma*'TaxV.Toll'!Size</f>
        <v>70</v>
      </c>
      <c r="J11" s="2" t="n">
        <f aca="false">phi*beta*EXP(alpha*(zeta))*(0-1/(alpha*psi)^2)*((2/(alpha*psi))*(EXP(alpha*psi*'TaxV.Toll'!Size)-1)-('TaxV.Toll'!Size*(EXP(alpha*psi*'TaxV.Toll'!Size)+1)))</f>
        <v>22.6801324818483</v>
      </c>
      <c r="K11" s="2" t="n">
        <f aca="false">(phi*beta*EXP(alpha*('TaxV.Toll'!Tau+zeta)))*(0-1/(alpha*psi)^2)*((1/(alpha*psi))*(1-EXP(alpha*psi*'TaxV.Toll'!Size))+'TaxV.Toll'!Size*EXP(alpha*psi*'TaxV.Toll'!Size))</f>
        <v>20.361572227154</v>
      </c>
      <c r="L11" s="2" t="n">
        <f aca="false">(phi*beta*EXP(alpha*(2*'TaxV.Toll'!Tau+zeta)))*(1/(alpha*psi)^2)*('TaxV.Toll'!Size*EXP(alpha*psi*'TaxV.Toll'!Size))</f>
        <v>9.0318499715717</v>
      </c>
      <c r="M11" s="2" t="n">
        <f aca="false">'TaxV.Toll'!thetax*beta*(-1/(alpha*psi)^2)*EXP(alpha*('TaxV.Toll'!Tau+zeta))*(EXP(alpha*psi*'TaxV.Toll'!Size)-1)</f>
        <v>37.5837820441088</v>
      </c>
      <c r="N11" s="2" t="n">
        <f aca="false">'TaxV.Toll'!thetax*beta*(1/(alpha*psi)^2)*EXP(alpha*(2*'TaxV.Toll'!Tau+zeta+psi*'TaxV.Toll'!Size))</f>
        <v>6.4513214082655</v>
      </c>
      <c r="P11" s="2" t="n">
        <f aca="false">Q11+R11-S11</f>
        <v>1335.28850213719</v>
      </c>
      <c r="Q11" s="2" t="n">
        <f aca="false">E11+F11</f>
        <v>990.899878335171</v>
      </c>
      <c r="R11" s="2" t="n">
        <f aca="false">2*G11+H11</f>
        <v>568.442636206229</v>
      </c>
      <c r="S11" s="2" t="n">
        <f aca="false">I11+J11+2*K11+L11+2*M11+N11</f>
        <v>224.054012404211</v>
      </c>
      <c r="T11" s="1" t="n">
        <f aca="false">D11</f>
        <v>6.45442603332387</v>
      </c>
      <c r="V11" s="2" t="n">
        <f aca="false">beta*(1/(alpha*psi))*(1/alpha)*((-1/alpha*psi)*(EXP(alpha*(zeta+psi*'TaxV.Toll'!Size))-EXP(alpha*zeta))+('TaxV.Toll'!Size*EXP(alpha*zeta)))</f>
        <v>615.062057894083</v>
      </c>
      <c r="W11" s="2" t="n">
        <f aca="false">beta*(-1/(alpha*psi)^2)*(1/alpha)*(EXP(alpha*(zeta))-EXP(alpha*(zeta+psi*'TaxV.Toll'!Size)))</f>
        <v>716.659136406916</v>
      </c>
      <c r="X11" s="2" t="n">
        <f aca="false">0</f>
        <v>0</v>
      </c>
      <c r="Y11" s="2" t="n">
        <v>0</v>
      </c>
      <c r="Z11" s="2" t="n">
        <f aca="false">gamma*'TaxV.Toll'!Size</f>
        <v>70</v>
      </c>
      <c r="AA11" s="2" t="n">
        <f aca="false">phi*beta*EXP(alpha*(zeta))*(0-1/(alpha*psi)^2)*((2/(alpha*psi))*(EXP(alpha*psi*'TaxV.Toll'!Size)-1)-('TaxV.Toll'!Size*(EXP(alpha*psi*'TaxV.Toll'!Size)+1)))</f>
        <v>22.6801324818483</v>
      </c>
      <c r="AB11" s="2" t="n">
        <f aca="false">(phi*beta*EXP(alpha*(zeta)))*(0-1/(alpha*psi)^2)*((1/(alpha*psi))*(1-EXP(alpha*psi*'TaxV.Toll'!Size))+'TaxV.Toll'!Size*EXP(alpha*psi*'TaxV.Toll'!Size))</f>
        <v>38.82607330756</v>
      </c>
      <c r="AC11" s="2" t="n">
        <f aca="false">(phi*beta*EXP(alpha*(zeta)))*(1/(alpha*psi)^2)*('TaxV.Toll'!Size*EXP(alpha*psi*'TaxV.Toll'!Size))</f>
        <v>32.8398403331317</v>
      </c>
      <c r="AD11" s="2" t="n">
        <f aca="false">0</f>
        <v>0</v>
      </c>
      <c r="AE11" s="2" t="n">
        <v>0</v>
      </c>
      <c r="AG11" s="2" t="n">
        <f aca="false">AH11+AI11-AJ11</f>
        <v>1128.5490748709</v>
      </c>
      <c r="AH11" s="2" t="n">
        <f aca="false">V11+W11</f>
        <v>1331.721194301</v>
      </c>
      <c r="AI11" s="2" t="n">
        <f aca="false">2*X11+Y11</f>
        <v>0</v>
      </c>
      <c r="AJ11" s="2" t="n">
        <f aca="false">Z11+AA11+2*AB11+AC11+2*AD11+AE11</f>
        <v>203.1721194301</v>
      </c>
      <c r="AL11" s="2" t="n">
        <f aca="false">AG11-P11</f>
        <v>-206.739427266289</v>
      </c>
    </row>
    <row r="12" customFormat="false" ht="14.65" hidden="false" customHeight="false" outlineLevel="0" collapsed="false">
      <c r="A12" s="0" t="n">
        <f aca="false">A11+2</f>
        <v>16</v>
      </c>
      <c r="B12" s="1" t="n">
        <v>1</v>
      </c>
      <c r="C12" s="1" t="n">
        <v>12.7644908519281</v>
      </c>
      <c r="D12" s="1" t="n">
        <v>6.53372415485293</v>
      </c>
      <c r="E12" s="2" t="n">
        <f aca="false">beta*(1/(alpha*psi))*(1/alpha)*((-1/alpha*psi)*(EXP(alpha*(zeta+psi*'TaxV.Toll'!Size))-EXP(alpha*zeta))+('TaxV.Toll'!Size*EXP(alpha*zeta)))</f>
        <v>762.787563321183</v>
      </c>
      <c r="F12" s="2" t="n">
        <f aca="false">beta*(-1/(alpha*psi)^2)*(1/alpha)*(EXP(alpha*('TaxV.Toll'!Tau+zeta))-EXP(alpha*('TaxV.Toll'!Tau+zeta+psi*'TaxV.Toll'!Size)))</f>
        <v>394.992133793364</v>
      </c>
      <c r="G12" s="2" t="n">
        <f aca="false">'TaxV.Toll'!Tau*beta*EXP(alpha*('TaxV.Toll'!Tau+zeta))*(0-(1/(alpha*psi)^2))*(-1+EXP(alpha*psi*'TaxV.Toll'!Size))</f>
        <v>258.07696455426</v>
      </c>
      <c r="H12" s="2" t="n">
        <f aca="false">2*'TaxV.Toll'!Tau*beta*EXP(alpha*(2*'TaxV.Toll'!Tau+zeta))*(1/(alpha*psi)^2)*(EXP(alpha*psi*'TaxV.Toll'!Size))</f>
        <v>67.9348821533086</v>
      </c>
      <c r="I12" s="2" t="n">
        <f aca="false">gamma*'TaxV.Toll'!Size</f>
        <v>80</v>
      </c>
      <c r="J12" s="2" t="n">
        <f aca="false">phi*beta*EXP(alpha*(zeta))*(0-1/(alpha*psi)^2)*((2/(alpha*psi))*(EXP(alpha*psi*'TaxV.Toll'!Size)-1)-('TaxV.Toll'!Size*(EXP(alpha*psi*'TaxV.Toll'!Size)+1)))</f>
        <v>31.0887901234429</v>
      </c>
      <c r="K12" s="2" t="n">
        <f aca="false">(phi*beta*EXP(alpha*('TaxV.Toll'!Tau+zeta)))*(0-1/(alpha*psi)^2)*((1/(alpha*psi))*(1-EXP(alpha*psi*'TaxV.Toll'!Size))+'TaxV.Toll'!Size*EXP(alpha*psi*'TaxV.Toll'!Size))</f>
        <v>23.5118055814839</v>
      </c>
      <c r="L12" s="2" t="n">
        <f aca="false">(phi*beta*EXP(alpha*(2*'TaxV.Toll'!Tau+zeta)))*(1/(alpha*psi)^2)*('TaxV.Toll'!Size*EXP(alpha*psi*'TaxV.Toll'!Size))</f>
        <v>8.31805941520808</v>
      </c>
      <c r="M12" s="2" t="n">
        <f aca="false">'TaxV.Toll'!thetax*beta*(-1/(alpha*psi)^2)*EXP(alpha*('TaxV.Toll'!Tau+zeta))*(EXP(alpha*psi*'TaxV.Toll'!Size)-1)</f>
        <v>39.4992133793364</v>
      </c>
      <c r="N12" s="2" t="n">
        <f aca="false">'TaxV.Toll'!thetax*beta*(1/(alpha*psi)^2)*EXP(alpha*(2*'TaxV.Toll'!Tau+zeta+psi*'TaxV.Toll'!Size))</f>
        <v>5.19878713450505</v>
      </c>
      <c r="P12" s="2" t="n">
        <f aca="false">Q12+R12-S12</f>
        <v>1491.24083378158</v>
      </c>
      <c r="Q12" s="2" t="n">
        <f aca="false">E12+F12</f>
        <v>1157.77969711455</v>
      </c>
      <c r="R12" s="2" t="n">
        <f aca="false">2*G12+H12</f>
        <v>584.088811261829</v>
      </c>
      <c r="S12" s="2" t="n">
        <f aca="false">I12+J12+2*K12+L12+2*M12+N12</f>
        <v>250.627674594797</v>
      </c>
      <c r="T12" s="1" t="n">
        <f aca="false">D12</f>
        <v>6.53372415485293</v>
      </c>
      <c r="V12" s="2" t="n">
        <f aca="false">beta*(1/(alpha*psi))*(1/alpha)*((-1/alpha*psi)*(EXP(alpha*(zeta+psi*'TaxV.Toll'!Size))-EXP(alpha*zeta))+('TaxV.Toll'!Size*EXP(alpha*zeta)))</f>
        <v>762.787563321183</v>
      </c>
      <c r="W12" s="2" t="n">
        <f aca="false">beta*(-1/(alpha*psi)^2)*(1/alpha)*(EXP(alpha*(zeta))-EXP(alpha*(zeta+psi*'TaxV.Toll'!Size)))</f>
        <v>759.17951587996</v>
      </c>
      <c r="X12" s="2" t="n">
        <f aca="false">0</f>
        <v>0</v>
      </c>
      <c r="Y12" s="2" t="n">
        <v>0</v>
      </c>
      <c r="Z12" s="2" t="n">
        <f aca="false">gamma*'TaxV.Toll'!Size</f>
        <v>80</v>
      </c>
      <c r="AA12" s="2" t="n">
        <f aca="false">phi*beta*EXP(alpha*(zeta))*(0-1/(alpha*psi)^2)*((2/(alpha*psi))*(EXP(alpha*psi*'TaxV.Toll'!Size)-1)-('TaxV.Toll'!Size*(EXP(alpha*psi*'TaxV.Toll'!Size)+1)))</f>
        <v>31.0887901234429</v>
      </c>
      <c r="AB12" s="2" t="n">
        <f aca="false">(phi*beta*EXP(alpha*(zeta)))*(0-1/(alpha*psi)^2)*((1/(alpha*psi))*(1-EXP(alpha*psi*'TaxV.Toll'!Size))+'TaxV.Toll'!Size*EXP(alpha*psi*'TaxV.Toll'!Size))</f>
        <v>45.1899662086754</v>
      </c>
      <c r="AC12" s="2" t="n">
        <f aca="false">(phi*beta*EXP(alpha*(zeta)))*(1/(alpha*psi)^2)*('TaxV.Toll'!Size*EXP(alpha*psi*'TaxV.Toll'!Size))</f>
        <v>30.7279853793207</v>
      </c>
      <c r="AD12" s="2" t="n">
        <f aca="false">0</f>
        <v>0</v>
      </c>
      <c r="AE12" s="2" t="n">
        <v>0</v>
      </c>
      <c r="AG12" s="2" t="n">
        <f aca="false">AH12+AI12-AJ12</f>
        <v>1289.77037128103</v>
      </c>
      <c r="AH12" s="2" t="n">
        <f aca="false">V12+W12</f>
        <v>1521.96707920114</v>
      </c>
      <c r="AI12" s="2" t="n">
        <f aca="false">2*X12+Y12</f>
        <v>0</v>
      </c>
      <c r="AJ12" s="2" t="n">
        <f aca="false">Z12+AA12+2*AB12+AC12+2*AD12+AE12</f>
        <v>232.196707920114</v>
      </c>
      <c r="AL12" s="2" t="n">
        <f aca="false">AG12-P12</f>
        <v>-201.47046250055</v>
      </c>
    </row>
    <row r="13" customFormat="false" ht="14.65" hidden="false" customHeight="false" outlineLevel="0" collapsed="false">
      <c r="A13" s="0" t="n">
        <f aca="false">A12+2</f>
        <v>18</v>
      </c>
      <c r="B13" s="1" t="n">
        <v>1</v>
      </c>
      <c r="C13" s="1" t="n">
        <v>13.2990333690592</v>
      </c>
      <c r="D13" s="1" t="n">
        <v>6.60216390334627</v>
      </c>
      <c r="E13" s="2" t="n">
        <f aca="false">beta*(1/(alpha*psi))*(1/alpha)*((-1/alpha*psi)*(EXP(alpha*(zeta+psi*'TaxV.Toll'!Size))-EXP(alpha*zeta))+('TaxV.Toll'!Size*EXP(alpha*zeta)))</f>
        <v>918.220705914199</v>
      </c>
      <c r="F13" s="2" t="n">
        <f aca="false">beta*(-1/(alpha*psi)^2)*(1/alpha)*(EXP(alpha*('TaxV.Toll'!Tau+zeta))-EXP(alpha*('TaxV.Toll'!Tau+zeta+psi*'TaxV.Toll'!Size)))</f>
        <v>410.28716643634</v>
      </c>
      <c r="G13" s="2" t="n">
        <f aca="false">'TaxV.Toll'!Tau*beta*EXP(alpha*('TaxV.Toll'!Tau+zeta))*(0-(1/(alpha*psi)^2))*(-1+EXP(alpha*psi*'TaxV.Toll'!Size))</f>
        <v>270.878312025222</v>
      </c>
      <c r="H13" s="2" t="n">
        <f aca="false">2*'TaxV.Toll'!Tau*beta*EXP(alpha*(2*'TaxV.Toll'!Tau+zeta))*(1/(alpha*psi)^2)*(EXP(alpha*psi*'TaxV.Toll'!Size))</f>
        <v>55.4389294881732</v>
      </c>
      <c r="I13" s="2" t="n">
        <f aca="false">gamma*'TaxV.Toll'!Size</f>
        <v>90</v>
      </c>
      <c r="J13" s="2" t="n">
        <f aca="false">phi*beta*EXP(alpha*(zeta))*(0-1/(alpha*psi)^2)*((2/(alpha*psi))*(EXP(alpha*psi*'TaxV.Toll'!Size)-1)-('TaxV.Toll'!Size*(EXP(alpha*psi*'TaxV.Toll'!Size)+1)))</f>
        <v>40.7255347091642</v>
      </c>
      <c r="K13" s="2" t="n">
        <f aca="false">(phi*beta*EXP(alpha*('TaxV.Toll'!Tau+zeta)))*(0-1/(alpha*psi)^2)*((1/(alpha*psi))*(1-EXP(alpha*psi*'TaxV.Toll'!Size))+'TaxV.Toll'!Size*EXP(alpha*psi*'TaxV.Toll'!Size))</f>
        <v>26.4035986568822</v>
      </c>
      <c r="L13" s="2" t="n">
        <f aca="false">(phi*beta*EXP(alpha*(2*'TaxV.Toll'!Tau+zeta)))*(1/(alpha*psi)^2)*('TaxV.Toll'!Size*EXP(alpha*psi*'TaxV.Toll'!Size))</f>
        <v>7.55737622843123</v>
      </c>
      <c r="M13" s="2" t="n">
        <f aca="false">'TaxV.Toll'!thetax*beta*(-1/(alpha*psi)^2)*EXP(alpha*('TaxV.Toll'!Tau+zeta))*(EXP(alpha*psi*'TaxV.Toll'!Size)-1)</f>
        <v>41.028716643634</v>
      </c>
      <c r="N13" s="2" t="n">
        <f aca="false">'TaxV.Toll'!thetax*beta*(1/(alpha*psi)^2)*EXP(alpha*(2*'TaxV.Toll'!Tau+zeta+psi*'TaxV.Toll'!Size))</f>
        <v>4.19854234912846</v>
      </c>
      <c r="P13" s="2" t="n">
        <f aca="false">Q13+R13-S13</f>
        <v>1648.3573420014</v>
      </c>
      <c r="Q13" s="2" t="n">
        <f aca="false">E13+F13</f>
        <v>1328.50787235054</v>
      </c>
      <c r="R13" s="2" t="n">
        <f aca="false">2*G13+H13</f>
        <v>597.195553538618</v>
      </c>
      <c r="S13" s="2" t="n">
        <f aca="false">I13+J13+2*K13+L13+2*M13+N13</f>
        <v>277.346083887756</v>
      </c>
      <c r="T13" s="1" t="n">
        <f aca="false">D13</f>
        <v>6.60216390334627</v>
      </c>
      <c r="V13" s="2" t="n">
        <f aca="false">beta*(1/(alpha*psi))*(1/alpha)*((-1/alpha*psi)*(EXP(alpha*(zeta+psi*'TaxV.Toll'!Size))-EXP(alpha*zeta))+('TaxV.Toll'!Size*EXP(alpha*zeta)))</f>
        <v>918.220705914199</v>
      </c>
      <c r="W13" s="2" t="n">
        <f aca="false">beta*(-1/(alpha*psi)^2)*(1/alpha)*(EXP(alpha*(zeta))-EXP(alpha*(zeta+psi*'TaxV.Toll'!Size)))</f>
        <v>793.992258187086</v>
      </c>
      <c r="X13" s="2" t="n">
        <f aca="false">0</f>
        <v>0</v>
      </c>
      <c r="Y13" s="2" t="n">
        <v>0</v>
      </c>
      <c r="Z13" s="2" t="n">
        <f aca="false">gamma*'TaxV.Toll'!Size</f>
        <v>90</v>
      </c>
      <c r="AA13" s="2" t="n">
        <f aca="false">phi*beta*EXP(alpha*(zeta))*(0-1/(alpha*psi)^2)*((2/(alpha*psi))*(EXP(alpha*psi*'TaxV.Toll'!Size)-1)-('TaxV.Toll'!Size*(EXP(alpha*psi*'TaxV.Toll'!Size)+1)))</f>
        <v>40.7255347091642</v>
      </c>
      <c r="AB13" s="2" t="n">
        <f aca="false">(phi*beta*EXP(alpha*(zeta)))*(0-1/(alpha*psi)^2)*((1/(alpha*psi))*(1-EXP(alpha*psi*'TaxV.Toll'!Size))+'TaxV.Toll'!Size*EXP(alpha*psi*'TaxV.Toll'!Size))</f>
        <v>51.0965358822557</v>
      </c>
      <c r="AC13" s="2" t="n">
        <f aca="false">(phi*beta*EXP(alpha*(zeta)))*(1/(alpha*psi)^2)*('TaxV.Toll'!Size*EXP(alpha*psi*'TaxV.Toll'!Size))</f>
        <v>28.302689936453</v>
      </c>
      <c r="AD13" s="2" t="n">
        <f aca="false">0</f>
        <v>0</v>
      </c>
      <c r="AE13" s="2" t="n">
        <v>0</v>
      </c>
      <c r="AG13" s="2" t="n">
        <f aca="false">AH13+AI13-AJ13</f>
        <v>1450.99166769116</v>
      </c>
      <c r="AH13" s="2" t="n">
        <f aca="false">V13+W13</f>
        <v>1712.21296410129</v>
      </c>
      <c r="AI13" s="2" t="n">
        <f aca="false">2*X13+Y13</f>
        <v>0</v>
      </c>
      <c r="AJ13" s="2" t="n">
        <f aca="false">Z13+AA13+2*AB13+AC13+2*AD13+AE13</f>
        <v>261.221296410129</v>
      </c>
      <c r="AL13" s="2" t="n">
        <f aca="false">AG13-P13</f>
        <v>-197.365674310243</v>
      </c>
    </row>
    <row r="14" customFormat="false" ht="14.65" hidden="false" customHeight="false" outlineLevel="0" collapsed="false">
      <c r="A14" s="0" t="n">
        <f aca="false">A13+2</f>
        <v>20</v>
      </c>
      <c r="B14" s="1" t="n">
        <v>1</v>
      </c>
      <c r="C14" s="1" t="n">
        <v>13.7720475570767</v>
      </c>
      <c r="D14" s="1" t="n">
        <v>6.66106449609993</v>
      </c>
      <c r="E14" s="2" t="n">
        <f aca="false">beta*(1/(alpha*psi))*(1/alpha)*((-1/alpha*psi)*(EXP(alpha*(zeta+psi*'TaxV.Toll'!Size))-EXP(alpha*zeta))+('TaxV.Toll'!Size*EXP(alpha*zeta)))</f>
        <v>1079.96432808852</v>
      </c>
      <c r="F14" s="2" t="n">
        <f aca="false">beta*(-1/(alpha*psi)^2)*(1/alpha)*(EXP(alpha*('TaxV.Toll'!Tau+zeta))-EXP(alpha*('TaxV.Toll'!Tau+zeta+psi*'TaxV.Toll'!Size)))</f>
        <v>422.519403633859</v>
      </c>
      <c r="G14" s="2" t="n">
        <f aca="false">'TaxV.Toll'!Tau*beta*EXP(alpha*('TaxV.Toll'!Tau+zeta))*(0-(1/(alpha*psi)^2))*(-1+EXP(alpha*psi*'TaxV.Toll'!Size))</f>
        <v>281.442899845881</v>
      </c>
      <c r="H14" s="2" t="n">
        <f aca="false">2*'TaxV.Toll'!Tau*beta*EXP(alpha*(2*'TaxV.Toll'!Tau+zeta))*(1/(alpha*psi)^2)*(EXP(alpha*psi*'TaxV.Toll'!Size))</f>
        <v>45.2581956624292</v>
      </c>
      <c r="I14" s="2" t="n">
        <f aca="false">gamma*'TaxV.Toll'!Size</f>
        <v>100</v>
      </c>
      <c r="J14" s="2" t="n">
        <f aca="false">phi*beta*EXP(alpha*(zeta))*(0-1/(alpha*psi)^2)*((2/(alpha*psi))*(EXP(alpha*psi*'TaxV.Toll'!Size)-1)-('TaxV.Toll'!Size*(EXP(alpha*psi*'TaxV.Toll'!Size)+1)))</f>
        <v>51.4939614351217</v>
      </c>
      <c r="K14" s="2" t="n">
        <f aca="false">(phi*beta*EXP(alpha*('TaxV.Toll'!Tau+zeta)))*(0-1/(alpha*psi)^2)*((1/(alpha*psi))*(1-EXP(alpha*psi*'TaxV.Toll'!Size))+'TaxV.Toll'!Size*EXP(alpha*psi*'TaxV.Toll'!Size))</f>
        <v>29.0255921488326</v>
      </c>
      <c r="L14" s="2" t="n">
        <f aca="false">(phi*beta*EXP(alpha*(2*'TaxV.Toll'!Tau+zeta)))*(1/(alpha*psi)^2)*('TaxV.Toll'!Size*EXP(alpha*psi*'TaxV.Toll'!Size))</f>
        <v>6.79443889019961</v>
      </c>
      <c r="M14" s="2" t="n">
        <f aca="false">'TaxV.Toll'!thetax*beta*(-1/(alpha*psi)^2)*EXP(alpha*('TaxV.Toll'!Tau+zeta))*(EXP(alpha*psi*'TaxV.Toll'!Size)-1)</f>
        <v>42.2519403633858</v>
      </c>
      <c r="N14" s="2" t="n">
        <f aca="false">'TaxV.Toll'!thetax*beta*(1/(alpha*psi)^2)*EXP(alpha*(2*'TaxV.Toll'!Tau+zeta+psi*'TaxV.Toll'!Size))</f>
        <v>3.3972194450998</v>
      </c>
      <c r="P14" s="2" t="n">
        <f aca="false">Q14+R14-S14</f>
        <v>1806.38704228171</v>
      </c>
      <c r="Q14" s="2" t="n">
        <f aca="false">E14+F14</f>
        <v>1502.48373172238</v>
      </c>
      <c r="R14" s="2" t="n">
        <f aca="false">2*G14+H14</f>
        <v>608.143995354191</v>
      </c>
      <c r="S14" s="2" t="n">
        <f aca="false">I14+J14+2*K14+L14+2*M14+N14</f>
        <v>304.240684794858</v>
      </c>
      <c r="T14" s="1" t="n">
        <f aca="false">D14</f>
        <v>6.66106449609993</v>
      </c>
      <c r="V14" s="2" t="n">
        <f aca="false">beta*(1/(alpha*psi))*(1/alpha)*((-1/alpha*psi)*(EXP(alpha*(zeta+psi*'TaxV.Toll'!Size))-EXP(alpha*zeta))+('TaxV.Toll'!Size*EXP(alpha*zeta)))</f>
        <v>1079.96432808852</v>
      </c>
      <c r="W14" s="2" t="n">
        <f aca="false">beta*(-1/(alpha*psi)^2)*(1/alpha)*(EXP(alpha*(zeta))-EXP(alpha*(zeta+psi*'TaxV.Toll'!Size)))</f>
        <v>822.49452091291</v>
      </c>
      <c r="X14" s="2" t="n">
        <f aca="false">0</f>
        <v>0</v>
      </c>
      <c r="Y14" s="2" t="n">
        <v>0</v>
      </c>
      <c r="Z14" s="2" t="n">
        <f aca="false">gamma*'TaxV.Toll'!Size</f>
        <v>100</v>
      </c>
      <c r="AA14" s="2" t="n">
        <f aca="false">phi*beta*EXP(alpha*(zeta))*(0-1/(alpha*psi)^2)*((2/(alpha*psi))*(EXP(alpha*psi*'TaxV.Toll'!Size)-1)-('TaxV.Toll'!Size*(EXP(alpha*psi*'TaxV.Toll'!Size)+1)))</f>
        <v>51.4939614351217</v>
      </c>
      <c r="AB14" s="2" t="n">
        <f aca="false">(phi*beta*EXP(alpha*(zeta)))*(0-1/(alpha*psi)^2)*((1/(alpha*psi))*(1-EXP(alpha*psi*'TaxV.Toll'!Size))+'TaxV.Toll'!Size*EXP(alpha*psi*'TaxV.Toll'!Size))</f>
        <v>56.5024713737301</v>
      </c>
      <c r="AC14" s="2" t="n">
        <f aca="false">(phi*beta*EXP(alpha*(zeta)))*(1/(alpha*psi)^2)*('TaxV.Toll'!Size*EXP(alpha*psi*'TaxV.Toll'!Size))</f>
        <v>25.7469807175609</v>
      </c>
      <c r="AD14" s="2" t="n">
        <f aca="false">0</f>
        <v>0</v>
      </c>
      <c r="AE14" s="2" t="n">
        <v>0</v>
      </c>
      <c r="AG14" s="2" t="n">
        <f aca="false">AH14+AI14-AJ14</f>
        <v>1612.21296410129</v>
      </c>
      <c r="AH14" s="2" t="n">
        <f aca="false">V14+W14</f>
        <v>1902.45884900143</v>
      </c>
      <c r="AI14" s="2" t="n">
        <f aca="false">2*X14+Y14</f>
        <v>0</v>
      </c>
      <c r="AJ14" s="2" t="n">
        <f aca="false">Z14+AA14+2*AB14+AC14+2*AD14+AE14</f>
        <v>290.245884900143</v>
      </c>
      <c r="AL14" s="2" t="n">
        <f aca="false">AG14-P14</f>
        <v>-194.174078180425</v>
      </c>
    </row>
    <row r="15" customFormat="false" ht="14.65" hidden="false" customHeight="false" outlineLevel="0" collapsed="false">
      <c r="A15" s="0" t="n">
        <f aca="false">A14+2</f>
        <v>22</v>
      </c>
      <c r="B15" s="1" t="n">
        <v>1</v>
      </c>
      <c r="C15" s="1" t="n">
        <v>14.1900492132047</v>
      </c>
      <c r="D15" s="1" t="n">
        <v>6.71163867948318</v>
      </c>
      <c r="E15" s="2" t="n">
        <f aca="false">beta*(1/(alpha*psi))*(1/alpha)*((-1/alpha*psi)*(EXP(alpha*(zeta+psi*'TaxV.Toll'!Size))-EXP(alpha*zeta))+('TaxV.Toll'!Size*EXP(alpha*zeta)))</f>
        <v>1246.87453396272</v>
      </c>
      <c r="F15" s="2" t="n">
        <f aca="false">beta*(-1/(alpha*psi)^2)*(1/alpha)*(EXP(alpha*('TaxV.Toll'!Tau+zeta))-EXP(alpha*('TaxV.Toll'!Tau+zeta+psi*'TaxV.Toll'!Size)))</f>
        <v>432.315118031971</v>
      </c>
      <c r="G15" s="2" t="n">
        <f aca="false">'TaxV.Toll'!Tau*beta*EXP(alpha*('TaxV.Toll'!Tau+zeta))*(0-(1/(alpha*psi)^2))*(-1+EXP(alpha*psi*'TaxV.Toll'!Size))</f>
        <v>290.154286790871</v>
      </c>
      <c r="H15" s="2" t="n">
        <f aca="false">2*'TaxV.Toll'!Tau*beta*EXP(alpha*(2*'TaxV.Toll'!Tau+zeta))*(1/(alpha*psi)^2)*(EXP(alpha*psi*'TaxV.Toll'!Size))</f>
        <v>36.9598713636803</v>
      </c>
      <c r="I15" s="2" t="n">
        <f aca="false">gamma*'TaxV.Toll'!Size</f>
        <v>110</v>
      </c>
      <c r="J15" s="2" t="n">
        <f aca="false">phi*beta*EXP(alpha*(zeta))*(0-1/(alpha*psi)^2)*((2/(alpha*psi))*(EXP(alpha*psi*'TaxV.Toll'!Size)-1)-('TaxV.Toll'!Size*(EXP(alpha*psi*'TaxV.Toll'!Size)+1)))</f>
        <v>63.2922628059973</v>
      </c>
      <c r="K15" s="2" t="n">
        <f aca="false">(phi*beta*EXP(alpha*('TaxV.Toll'!Tau+zeta)))*(0-1/(alpha*psi)^2)*((1/(alpha*psi))*(1-EXP(alpha*psi*'TaxV.Toll'!Size))+'TaxV.Toll'!Size*EXP(alpha*psi*'TaxV.Toll'!Size))</f>
        <v>31.3799023356566</v>
      </c>
      <c r="L15" s="2" t="n">
        <f aca="false">(phi*beta*EXP(alpha*(2*'TaxV.Toll'!Tau+zeta)))*(1/(alpha*psi)^2)*('TaxV.Toll'!Size*EXP(alpha*psi*'TaxV.Toll'!Size))</f>
        <v>6.05751597211711</v>
      </c>
      <c r="M15" s="2" t="n">
        <f aca="false">'TaxV.Toll'!thetax*beta*(-1/(alpha*psi)^2)*EXP(alpha*('TaxV.Toll'!Tau+zeta))*(EXP(alpha*psi*'TaxV.Toll'!Size)-1)</f>
        <v>43.2315118031971</v>
      </c>
      <c r="N15" s="2" t="n">
        <f aca="false">'TaxV.Toll'!thetax*beta*(1/(alpha*psi)^2)*EXP(alpha*(2*'TaxV.Toll'!Tau+zeta+psi*'TaxV.Toll'!Size))</f>
        <v>2.75341635096232</v>
      </c>
      <c r="P15" s="2" t="n">
        <f aca="false">Q15+R15-S15</f>
        <v>1965.13207353333</v>
      </c>
      <c r="Q15" s="2" t="n">
        <f aca="false">E15+F15</f>
        <v>1679.18965199469</v>
      </c>
      <c r="R15" s="2" t="n">
        <f aca="false">2*G15+H15</f>
        <v>617.268444945423</v>
      </c>
      <c r="S15" s="2" t="n">
        <f aca="false">I15+J15+2*K15+L15+2*M15+N15</f>
        <v>331.326023406784</v>
      </c>
      <c r="T15" s="1" t="n">
        <f aca="false">D15</f>
        <v>6.71163867948318</v>
      </c>
      <c r="V15" s="2" t="n">
        <f aca="false">beta*(1/(alpha*psi))*(1/alpha)*((-1/alpha*psi)*(EXP(alpha*(zeta+psi*'TaxV.Toll'!Size))-EXP(alpha*zeta))+('TaxV.Toll'!Size*EXP(alpha*zeta)))</f>
        <v>1246.87453396272</v>
      </c>
      <c r="W15" s="2" t="n">
        <f aca="false">beta*(-1/(alpha*psi)^2)*(1/alpha)*(EXP(alpha*(zeta))-EXP(alpha*(zeta+psi*'TaxV.Toll'!Size)))</f>
        <v>845.83019993885</v>
      </c>
      <c r="X15" s="2" t="n">
        <f aca="false">0</f>
        <v>0</v>
      </c>
      <c r="Y15" s="2" t="n">
        <v>0</v>
      </c>
      <c r="Z15" s="2" t="n">
        <f aca="false">gamma*'TaxV.Toll'!Size</f>
        <v>110</v>
      </c>
      <c r="AA15" s="2" t="n">
        <f aca="false">phi*beta*EXP(alpha*(zeta))*(0-1/(alpha*psi)^2)*((2/(alpha*psi))*(EXP(alpha*psi*'TaxV.Toll'!Size)-1)-('TaxV.Toll'!Size*(EXP(alpha*psi*'TaxV.Toll'!Size)+1)))</f>
        <v>63.2922628059973</v>
      </c>
      <c r="AB15" s="2" t="n">
        <f aca="false">(phi*beta*EXP(alpha*(zeta)))*(0-1/(alpha*psi)^2)*((1/(alpha*psi))*(1-EXP(alpha*psi*'TaxV.Toll'!Size))+'TaxV.Toll'!Size*EXP(alpha*psi*'TaxV.Toll'!Size))</f>
        <v>61.3951905902748</v>
      </c>
      <c r="AC15" s="2" t="n">
        <f aca="false">(phi*beta*EXP(alpha*(zeta)))*(1/(alpha*psi)^2)*('TaxV.Toll'!Size*EXP(alpha*psi*'TaxV.Toll'!Size))</f>
        <v>23.1878294036102</v>
      </c>
      <c r="AD15" s="2" t="n">
        <f aca="false">0</f>
        <v>0</v>
      </c>
      <c r="AE15" s="2" t="n">
        <v>0</v>
      </c>
      <c r="AG15" s="2" t="n">
        <f aca="false">AH15+AI15-AJ15</f>
        <v>1773.43426051141</v>
      </c>
      <c r="AH15" s="2" t="n">
        <f aca="false">V15+W15</f>
        <v>2092.70473390157</v>
      </c>
      <c r="AI15" s="2" t="n">
        <f aca="false">2*X15+Y15</f>
        <v>0</v>
      </c>
      <c r="AJ15" s="2" t="n">
        <f aca="false">Z15+AA15+2*AB15+AC15+2*AD15+AE15</f>
        <v>319.270473390157</v>
      </c>
      <c r="AL15" s="2" t="n">
        <f aca="false">AG15-P15</f>
        <v>-191.697813021917</v>
      </c>
    </row>
    <row r="16" customFormat="false" ht="14.65" hidden="false" customHeight="false" outlineLevel="0" collapsed="false">
      <c r="A16" s="0" t="n">
        <f aca="false">A15+2</f>
        <v>24</v>
      </c>
      <c r="B16" s="1" t="n">
        <v>1</v>
      </c>
      <c r="C16" s="1" t="n">
        <v>14.5587993463083</v>
      </c>
      <c r="D16" s="1" t="n">
        <v>6.74</v>
      </c>
      <c r="E16" s="2" t="n">
        <f aca="false">beta*(1/(alpha*psi))*(1/alpha)*((-1/alpha*psi)*(EXP(alpha*(zeta+psi*'TaxV.Toll'!Size))-EXP(alpha*zeta))+('TaxV.Toll'!Size*EXP(alpha*zeta)))</f>
        <v>1418.01478080037</v>
      </c>
      <c r="F16" s="2" t="n">
        <f aca="false">beta*(-1/(alpha*psi)^2)*(1/alpha)*(EXP(alpha*('TaxV.Toll'!Tau+zeta))-EXP(alpha*('TaxV.Toll'!Tau+zeta+psi*'TaxV.Toll'!Size)))</f>
        <v>440.828243234521</v>
      </c>
      <c r="G16" s="2" t="n">
        <f aca="false">'TaxV.Toll'!Tau*beta*EXP(alpha*('TaxV.Toll'!Tau+zeta))*(0-(1/(alpha*psi)^2))*(-1+EXP(alpha*psi*'TaxV.Toll'!Size))</f>
        <v>297.118235940067</v>
      </c>
      <c r="H16" s="2" t="n">
        <f aca="false">2*'TaxV.Toll'!Tau*beta*EXP(alpha*(2*'TaxV.Toll'!Tau+zeta))*(1/(alpha*psi)^2)*(EXP(alpha*psi*'TaxV.Toll'!Size))</f>
        <v>30.2161724148642</v>
      </c>
      <c r="I16" s="2" t="n">
        <f aca="false">gamma*'TaxV.Toll'!Size</f>
        <v>120</v>
      </c>
      <c r="J16" s="2" t="n">
        <f aca="false">phi*beta*EXP(alpha*(zeta))*(0-1/(alpha*psi)^2)*((2/(alpha*psi))*(EXP(alpha*psi*'TaxV.Toll'!Size)-1)-('TaxV.Toll'!Size*(EXP(alpha*psi*'TaxV.Toll'!Size)+1)))</f>
        <v>76.0183550397516</v>
      </c>
      <c r="K16" s="2" t="n">
        <f aca="false">(phi*beta*EXP(alpha*('TaxV.Toll'!Tau+zeta)))*(0-1/(alpha*psi)^2)*((1/(alpha*psi))*(1-EXP(alpha*psi*'TaxV.Toll'!Size))+'TaxV.Toll'!Size*EXP(alpha*psi*'TaxV.Toll'!Size))</f>
        <v>33.5274101155747</v>
      </c>
      <c r="L16" s="2" t="n">
        <f aca="false">(phi*beta*EXP(alpha*(2*'TaxV.Toll'!Tau+zeta)))*(1/(alpha*psi)^2)*('TaxV.Toll'!Size*EXP(alpha*psi*'TaxV.Toll'!Size))</f>
        <v>5.37973396110342</v>
      </c>
      <c r="M16" s="2" t="n">
        <f aca="false">'TaxV.Toll'!thetax*beta*(-1/(alpha*psi)^2)*EXP(alpha*('TaxV.Toll'!Tau+zeta))*(EXP(alpha*psi*'TaxV.Toll'!Size)-1)</f>
        <v>44.0828243234521</v>
      </c>
      <c r="N16" s="2" t="n">
        <f aca="false">'TaxV.Toll'!thetax*beta*(1/(alpha*psi)^2)*EXP(alpha*(2*'TaxV.Toll'!Tau+zeta+psi*'TaxV.Toll'!Size))</f>
        <v>2.24155581712642</v>
      </c>
      <c r="P16" s="2" t="n">
        <f aca="false">Q16+R16-S16</f>
        <v>2124.43555463385</v>
      </c>
      <c r="Q16" s="2" t="n">
        <f aca="false">E16+F16</f>
        <v>1858.84302403489</v>
      </c>
      <c r="R16" s="2" t="n">
        <f aca="false">2*G16+H16</f>
        <v>624.452644294998</v>
      </c>
      <c r="S16" s="2" t="n">
        <f aca="false">I16+J16+2*K16+L16+2*M16+N16</f>
        <v>358.860113696035</v>
      </c>
      <c r="T16" s="1" t="n">
        <f aca="false">D16</f>
        <v>6.74</v>
      </c>
      <c r="V16" s="2" t="n">
        <f aca="false">beta*(1/(alpha*psi))*(1/alpha)*((-1/alpha*psi)*(EXP(alpha*(zeta+psi*'TaxV.Toll'!Size))-EXP(alpha*zeta))+('TaxV.Toll'!Size*EXP(alpha*zeta)))</f>
        <v>1418.01478080037</v>
      </c>
      <c r="W16" s="2" t="n">
        <f aca="false">beta*(-1/(alpha*psi)^2)*(1/alpha)*(EXP(alpha*(zeta))-EXP(alpha*(zeta+psi*'TaxV.Toll'!Size)))</f>
        <v>864.935838001343</v>
      </c>
      <c r="X16" s="2" t="n">
        <f aca="false">0</f>
        <v>0</v>
      </c>
      <c r="Y16" s="2" t="n">
        <v>0</v>
      </c>
      <c r="Z16" s="2" t="n">
        <f aca="false">gamma*'TaxV.Toll'!Size</f>
        <v>120</v>
      </c>
      <c r="AA16" s="2" t="n">
        <f aca="false">phi*beta*EXP(alpha*(zeta))*(0-1/(alpha*psi)^2)*((2/(alpha*psi))*(EXP(alpha*psi*'TaxV.Toll'!Size)-1)-('TaxV.Toll'!Size*(EXP(alpha*psi*'TaxV.Toll'!Size)+1)))</f>
        <v>76.0183550397516</v>
      </c>
      <c r="AB16" s="2" t="n">
        <f aca="false">(phi*beta*EXP(alpha*(zeta)))*(0-1/(alpha*psi)^2)*((1/(alpha*psi))*(1-EXP(alpha*psi*'TaxV.Toll'!Size))+'TaxV.Toll'!Size*EXP(alpha*psi*'TaxV.Toll'!Size))</f>
        <v>65.7831230402855</v>
      </c>
      <c r="AC16" s="2" t="n">
        <f aca="false">(phi*beta*EXP(alpha*(zeta)))*(1/(alpha*psi)^2)*('TaxV.Toll'!Size*EXP(alpha*psi*'TaxV.Toll'!Size))</f>
        <v>20.7104607598489</v>
      </c>
      <c r="AD16" s="2" t="n">
        <f aca="false">0</f>
        <v>0</v>
      </c>
      <c r="AE16" s="2" t="n">
        <v>0</v>
      </c>
      <c r="AG16" s="2" t="n">
        <f aca="false">AH16+AI16-AJ16</f>
        <v>1934.65555692154</v>
      </c>
      <c r="AH16" s="2" t="n">
        <f aca="false">V16+W16</f>
        <v>2282.95061880171</v>
      </c>
      <c r="AI16" s="2" t="n">
        <f aca="false">2*X16+Y16</f>
        <v>0</v>
      </c>
      <c r="AJ16" s="2" t="n">
        <f aca="false">Z16+AA16+2*AB16+AC16+2*AD16+AE16</f>
        <v>348.295061880171</v>
      </c>
      <c r="AL16" s="2" t="n">
        <f aca="false">AG16-P16</f>
        <v>-189.779997712312</v>
      </c>
    </row>
    <row r="17" customFormat="false" ht="14.65" hidden="false" customHeight="false" outlineLevel="0" collapsed="false">
      <c r="A17" s="0" t="n">
        <f aca="false">A16+2</f>
        <v>26</v>
      </c>
      <c r="B17" s="1" t="n">
        <v>1</v>
      </c>
      <c r="C17" s="1" t="n">
        <v>14.8834429505077</v>
      </c>
      <c r="D17" s="1" t="n">
        <v>6.79</v>
      </c>
      <c r="E17" s="2" t="n">
        <f aca="false">beta*(1/(alpha*psi))*(1/alpha)*((-1/alpha*psi)*(EXP(alpha*(zeta+psi*'TaxV.Toll'!Size))-EXP(alpha*zeta))+('TaxV.Toll'!Size*EXP(alpha*zeta)))</f>
        <v>1592.61829226157</v>
      </c>
      <c r="F17" s="2" t="n">
        <f aca="false">beta*(-1/(alpha*psi)^2)*(1/alpha)*(EXP(alpha*('TaxV.Toll'!Tau+zeta))-EXP(alpha*('TaxV.Toll'!Tau+zeta+psi*'TaxV.Toll'!Size)))</f>
        <v>446.562224039883</v>
      </c>
      <c r="G17" s="2" t="n">
        <f aca="false">'TaxV.Toll'!Tau*beta*EXP(alpha*('TaxV.Toll'!Tau+zeta))*(0-(1/(alpha*psi)^2))*(-1+EXP(alpha*psi*'TaxV.Toll'!Size))</f>
        <v>303.215750123081</v>
      </c>
      <c r="H17" s="2" t="n">
        <f aca="false">2*'TaxV.Toll'!Tau*beta*EXP(alpha*(2*'TaxV.Toll'!Tau+zeta))*(1/(alpha*psi)^2)*(EXP(alpha*psi*'TaxV.Toll'!Size))</f>
        <v>24.6744503161904</v>
      </c>
      <c r="I17" s="2" t="n">
        <f aca="false">gamma*'TaxV.Toll'!Size</f>
        <v>130</v>
      </c>
      <c r="J17" s="2" t="n">
        <f aca="false">phi*beta*EXP(alpha*(zeta))*(0-1/(alpha*psi)^2)*((2/(alpha*psi))*(EXP(alpha*psi*'TaxV.Toll'!Size)-1)-('TaxV.Toll'!Size*(EXP(alpha*psi*'TaxV.Toll'!Size)+1)))</f>
        <v>89.5733234778404</v>
      </c>
      <c r="K17" s="2" t="n">
        <f aca="false">(phi*beta*EXP(alpha*('TaxV.Toll'!Tau+zeta)))*(0-1/(alpha*psi)^2)*((1/(alpha*psi))*(1-EXP(alpha*psi*'TaxV.Toll'!Size))+'TaxV.Toll'!Size*EXP(alpha*psi*'TaxV.Toll'!Size))</f>
        <v>35.3407042244253</v>
      </c>
      <c r="L17" s="2" t="n">
        <f aca="false">(phi*beta*EXP(alpha*(2*'TaxV.Toll'!Tau+zeta)))*(1/(alpha*psi)^2)*('TaxV.Toll'!Size*EXP(alpha*psi*'TaxV.Toll'!Size))</f>
        <v>4.72412156274633</v>
      </c>
      <c r="M17" s="2" t="n">
        <f aca="false">'TaxV.Toll'!thetax*beta*(-1/(alpha*psi)^2)*EXP(alpha*('TaxV.Toll'!Tau+zeta))*(EXP(alpha*psi*'TaxV.Toll'!Size)-1)</f>
        <v>44.6562224039883</v>
      </c>
      <c r="N17" s="2" t="n">
        <f aca="false">'TaxV.Toll'!thetax*beta*(1/(alpha*psi)^2)*EXP(alpha*(2*'TaxV.Toll'!Tau+zeta+psi*'TaxV.Toll'!Size))</f>
        <v>1.81696983182551</v>
      </c>
      <c r="P17" s="2" t="n">
        <f aca="false">Q17+R17-S17</f>
        <v>2284.17819873457</v>
      </c>
      <c r="Q17" s="2" t="n">
        <f aca="false">E17+F17</f>
        <v>2039.18051630146</v>
      </c>
      <c r="R17" s="2" t="n">
        <f aca="false">2*G17+H17</f>
        <v>631.105950562352</v>
      </c>
      <c r="S17" s="2" t="n">
        <f aca="false">I17+J17+2*K17+L17+2*M17+N17</f>
        <v>386.10826812924</v>
      </c>
      <c r="T17" s="1" t="n">
        <f aca="false">D17</f>
        <v>6.79</v>
      </c>
      <c r="V17" s="2" t="n">
        <f aca="false">beta*(1/(alpha*psi))*(1/alpha)*((-1/alpha*psi)*(EXP(alpha*(zeta+psi*'TaxV.Toll'!Size))-EXP(alpha*zeta))+('TaxV.Toll'!Size*EXP(alpha*zeta)))</f>
        <v>1592.61829226157</v>
      </c>
      <c r="W17" s="2" t="n">
        <f aca="false">beta*(-1/(alpha*psi)^2)*(1/alpha)*(EXP(alpha*(zeta))-EXP(alpha*(zeta+psi*'TaxV.Toll'!Size)))</f>
        <v>880.578211440284</v>
      </c>
      <c r="X17" s="2" t="n">
        <f aca="false">0</f>
        <v>0</v>
      </c>
      <c r="Y17" s="2" t="n">
        <v>0</v>
      </c>
      <c r="Z17" s="2" t="n">
        <f aca="false">gamma*'TaxV.Toll'!Size</f>
        <v>130</v>
      </c>
      <c r="AA17" s="2" t="n">
        <f aca="false">phi*beta*EXP(alpha*(zeta))*(0-1/(alpha*psi)^2)*((2/(alpha*psi))*(EXP(alpha*psi*'TaxV.Toll'!Size)-1)-('TaxV.Toll'!Size*(EXP(alpha*psi*'TaxV.Toll'!Size)+1)))</f>
        <v>89.5733234778404</v>
      </c>
      <c r="AB17" s="2" t="n">
        <f aca="false">(phi*beta*EXP(alpha*(zeta)))*(0-1/(alpha*psi)^2)*((1/(alpha*psi))*(1-EXP(alpha*psi*'TaxV.Toll'!Size))+'TaxV.Toll'!Size*EXP(alpha*psi*'TaxV.Toll'!Size))</f>
        <v>69.6885057483168</v>
      </c>
      <c r="AC17" s="2" t="n">
        <f aca="false">(phi*beta*EXP(alpha*(zeta)))*(1/(alpha*psi)^2)*('TaxV.Toll'!Size*EXP(alpha*psi*'TaxV.Toll'!Size))</f>
        <v>18.3693153957117</v>
      </c>
      <c r="AD17" s="2" t="n">
        <f aca="false">0</f>
        <v>0</v>
      </c>
      <c r="AE17" s="2" t="n">
        <v>0</v>
      </c>
      <c r="AG17" s="2" t="n">
        <f aca="false">AH17+AI17-AJ17</f>
        <v>2095.87685333167</v>
      </c>
      <c r="AH17" s="2" t="n">
        <f aca="false">V17+W17</f>
        <v>2473.19650370186</v>
      </c>
      <c r="AI17" s="2" t="n">
        <f aca="false">2*X17+Y17</f>
        <v>0</v>
      </c>
      <c r="AJ17" s="2" t="n">
        <f aca="false">Z17+AA17+2*AB17+AC17+2*AD17+AE17</f>
        <v>377.319650370186</v>
      </c>
      <c r="AL17" s="2" t="n">
        <f aca="false">AG17-P17</f>
        <v>-188.301345402897</v>
      </c>
    </row>
    <row r="18" customFormat="false" ht="14.65" hidden="false" customHeight="false" outlineLevel="0" collapsed="false">
      <c r="A18" s="0" t="n">
        <f aca="false">A17+2</f>
        <v>28</v>
      </c>
      <c r="B18" s="1" t="n">
        <v>1</v>
      </c>
      <c r="C18" s="1" t="n">
        <v>15.1686161992499</v>
      </c>
      <c r="D18" s="1" t="n">
        <v>6.83</v>
      </c>
      <c r="E18" s="2" t="n">
        <f aca="false">beta*(1/(alpha*psi))*(1/alpha)*((-1/alpha*psi)*(EXP(alpha*(zeta+psi*'TaxV.Toll'!Size))-EXP(alpha*zeta))+('TaxV.Toll'!Size*EXP(alpha*zeta)))</f>
        <v>1770.05728497612</v>
      </c>
      <c r="F18" s="2" t="n">
        <f aca="false">beta*(-1/(alpha*psi)^2)*(1/alpha)*(EXP(alpha*('TaxV.Toll'!Tau+zeta))-EXP(alpha*('TaxV.Toll'!Tau+zeta+psi*'TaxV.Toll'!Size)))</f>
        <v>451.248296683634</v>
      </c>
      <c r="G18" s="2" t="n">
        <f aca="false">'TaxV.Toll'!Tau*beta*EXP(alpha*('TaxV.Toll'!Tau+zeta))*(0-(1/(alpha*psi)^2))*(-1+EXP(alpha*psi*'TaxV.Toll'!Size))</f>
        <v>308.202586634922</v>
      </c>
      <c r="H18" s="2" t="n">
        <f aca="false">2*'TaxV.Toll'!Tau*beta*EXP(alpha*(2*'TaxV.Toll'!Tau+zeta))*(1/(alpha*psi)^2)*(EXP(alpha*psi*'TaxV.Toll'!Size))</f>
        <v>20.1588226284411</v>
      </c>
      <c r="I18" s="2" t="n">
        <f aca="false">gamma*'TaxV.Toll'!Size</f>
        <v>140</v>
      </c>
      <c r="J18" s="2" t="n">
        <f aca="false">phi*beta*EXP(alpha*(zeta))*(0-1/(alpha*psi)^2)*((2/(alpha*psi))*(EXP(alpha*psi*'TaxV.Toll'!Size)-1)-('TaxV.Toll'!Size*(EXP(alpha*psi*'TaxV.Toll'!Size)+1)))</f>
        <v>103.86362797998</v>
      </c>
      <c r="K18" s="2" t="n">
        <f aca="false">(phi*beta*EXP(alpha*('TaxV.Toll'!Tau+zeta)))*(0-1/(alpha*psi)^2)*((1/(alpha*psi))*(1-EXP(alpha*psi*'TaxV.Toll'!Size))+'TaxV.Toll'!Size*EXP(alpha*psi*'TaxV.Toll'!Size))</f>
        <v>36.9440324676229</v>
      </c>
      <c r="L18" s="2" t="n">
        <f aca="false">(phi*beta*EXP(alpha*(2*'TaxV.Toll'!Tau+zeta)))*(1/(alpha*psi)^2)*('TaxV.Toll'!Size*EXP(alpha*psi*'TaxV.Toll'!Size))</f>
        <v>4.13211591212556</v>
      </c>
      <c r="M18" s="2" t="n">
        <f aca="false">'TaxV.Toll'!thetax*beta*(-1/(alpha*psi)^2)*EXP(alpha*('TaxV.Toll'!Tau+zeta))*(EXP(alpha*psi*'TaxV.Toll'!Size)-1)</f>
        <v>45.1248296683634</v>
      </c>
      <c r="N18" s="2" t="n">
        <f aca="false">'TaxV.Toll'!thetax*beta*(1/(alpha*psi)^2)*EXP(alpha*(2*'TaxV.Toll'!Tau+zeta+psi*'TaxV.Toll'!Size))</f>
        <v>1.47575568290199</v>
      </c>
      <c r="P18" s="2" t="n">
        <f aca="false">Q18+R18-S18</f>
        <v>2444.26035371106</v>
      </c>
      <c r="Q18" s="2" t="n">
        <f aca="false">E18+F18</f>
        <v>2221.30558165976</v>
      </c>
      <c r="R18" s="2" t="n">
        <f aca="false">2*G18+H18</f>
        <v>636.563995898286</v>
      </c>
      <c r="S18" s="2" t="n">
        <f aca="false">I18+J18+2*K18+L18+2*M18+N18</f>
        <v>413.60922384698</v>
      </c>
      <c r="T18" s="1" t="n">
        <f aca="false">D18</f>
        <v>6.83</v>
      </c>
      <c r="V18" s="2" t="n">
        <f aca="false">beta*(1/(alpha*psi))*(1/alpha)*((-1/alpha*psi)*(EXP(alpha*(zeta+psi*'TaxV.Toll'!Size))-EXP(alpha*zeta))+('TaxV.Toll'!Size*EXP(alpha*zeta)))</f>
        <v>1770.05728497612</v>
      </c>
      <c r="W18" s="2" t="n">
        <f aca="false">beta*(-1/(alpha*psi)^2)*(1/alpha)*(EXP(alpha*(zeta))-EXP(alpha*(zeta+psi*'TaxV.Toll'!Size)))</f>
        <v>893.385103625875</v>
      </c>
      <c r="X18" s="2" t="n">
        <f aca="false">0</f>
        <v>0</v>
      </c>
      <c r="Y18" s="2" t="n">
        <v>0</v>
      </c>
      <c r="Z18" s="2" t="n">
        <f aca="false">gamma*'TaxV.Toll'!Size</f>
        <v>140</v>
      </c>
      <c r="AA18" s="2" t="n">
        <f aca="false">phi*beta*EXP(alpha*(zeta))*(0-1/(alpha*psi)^2)*((2/(alpha*psi))*(EXP(alpha*psi*'TaxV.Toll'!Size)-1)-('TaxV.Toll'!Size*(EXP(alpha*psi*'TaxV.Toll'!Size)+1)))</f>
        <v>103.86362797998</v>
      </c>
      <c r="AB18" s="2" t="n">
        <f aca="false">(phi*beta*EXP(alpha*(zeta)))*(0-1/(alpha*psi)^2)*((1/(alpha*psi))*(1-EXP(alpha*psi*'TaxV.Toll'!Size))+'TaxV.Toll'!Size*EXP(alpha*psi*'TaxV.Toll'!Size))</f>
        <v>73.1421005176328</v>
      </c>
      <c r="AC18" s="2" t="n">
        <f aca="false">(phi*beta*EXP(alpha*(zeta)))*(1/(alpha*psi)^2)*('TaxV.Toll'!Size*EXP(alpha*psi*'TaxV.Toll'!Size))</f>
        <v>16.1964098449548</v>
      </c>
      <c r="AD18" s="2" t="n">
        <f aca="false">0</f>
        <v>0</v>
      </c>
      <c r="AE18" s="2" t="n">
        <v>0</v>
      </c>
      <c r="AG18" s="2" t="n">
        <f aca="false">AH18+AI18-AJ18</f>
        <v>2257.0981497418</v>
      </c>
      <c r="AH18" s="2" t="n">
        <f aca="false">V18+W18</f>
        <v>2663.442388602</v>
      </c>
      <c r="AI18" s="2" t="n">
        <f aca="false">2*X18+Y18</f>
        <v>0</v>
      </c>
      <c r="AJ18" s="2" t="n">
        <f aca="false">Z18+AA18+2*AB18+AC18+2*AD18+AE18</f>
        <v>406.3442388602</v>
      </c>
      <c r="AL18" s="2" t="n">
        <f aca="false">AG18-P18</f>
        <v>-187.162203969265</v>
      </c>
    </row>
    <row r="19" customFormat="false" ht="14.65" hidden="false" customHeight="false" outlineLevel="0" collapsed="false">
      <c r="A19" s="0" t="n">
        <f aca="false">A18+2</f>
        <v>30</v>
      </c>
      <c r="B19" s="1" t="n">
        <v>1</v>
      </c>
      <c r="C19" s="1" t="n">
        <v>15.4185232188585</v>
      </c>
      <c r="D19" s="1" t="n">
        <v>6.8507047322613</v>
      </c>
      <c r="E19" s="2" t="n">
        <f aca="false">beta*(1/(alpha*psi))*(1/alpha)*((-1/alpha*psi)*(EXP(alpha*(zeta+psi*'TaxV.Toll'!Size))-EXP(alpha*zeta))+('TaxV.Toll'!Size*EXP(alpha*zeta)))</f>
        <v>1949.81777339257</v>
      </c>
      <c r="F19" s="2" t="n">
        <f aca="false">beta*(-1/(alpha*psi)^2)*(1/alpha)*(EXP(alpha*('TaxV.Toll'!Tau+zeta))-EXP(alpha*('TaxV.Toll'!Tau+zeta+psi*'TaxV.Toll'!Size)))</f>
        <v>455.600179160306</v>
      </c>
      <c r="G19" s="2" t="n">
        <f aca="false">'TaxV.Toll'!Tau*beta*EXP(alpha*('TaxV.Toll'!Tau+zeta))*(0-(1/(alpha*psi)^2))*(-1+EXP(alpha*psi*'TaxV.Toll'!Size))</f>
        <v>312.118230339261</v>
      </c>
      <c r="H19" s="2" t="n">
        <f aca="false">2*'TaxV.Toll'!Tau*beta*EXP(alpha*(2*'TaxV.Toll'!Tau+zeta))*(1/(alpha*psi)^2)*(EXP(alpha*psi*'TaxV.Toll'!Size))</f>
        <v>16.4862705673053</v>
      </c>
      <c r="I19" s="2" t="n">
        <f aca="false">gamma*'TaxV.Toll'!Size</f>
        <v>150</v>
      </c>
      <c r="J19" s="2" t="n">
        <f aca="false">phi*beta*EXP(alpha*(zeta))*(0-1/(alpha*psi)^2)*((2/(alpha*psi))*(EXP(alpha*psi*'TaxV.Toll'!Size)-1)-('TaxV.Toll'!Size*(EXP(alpha*psi*'TaxV.Toll'!Size)+1)))</f>
        <v>118.802404645642</v>
      </c>
      <c r="K19" s="2" t="n">
        <f aca="false">(phi*beta*EXP(alpha*('TaxV.Toll'!Tau+zeta)))*(0-1/(alpha*psi)^2)*((1/(alpha*psi))*(1-EXP(alpha*psi*'TaxV.Toll'!Size))+'TaxV.Toll'!Size*EXP(alpha*psi*'TaxV.Toll'!Size))</f>
        <v>38.398571303437</v>
      </c>
      <c r="L19" s="2" t="n">
        <f aca="false">(phi*beta*EXP(alpha*(2*'TaxV.Toll'!Tau+zeta)))*(1/(alpha*psi)^2)*('TaxV.Toll'!Size*EXP(alpha*psi*'TaxV.Toll'!Size))</f>
        <v>3.60976086657221</v>
      </c>
      <c r="M19" s="2" t="n">
        <f aca="false">'TaxV.Toll'!thetax*beta*(-1/(alpha*psi)^2)*EXP(alpha*('TaxV.Toll'!Tau+zeta))*(EXP(alpha*psi*'TaxV.Toll'!Size)-1)</f>
        <v>45.5600179160306</v>
      </c>
      <c r="N19" s="2" t="n">
        <f aca="false">'TaxV.Toll'!thetax*beta*(1/(alpha*psi)^2)*EXP(alpha*(2*'TaxV.Toll'!Tau+zeta+psi*'TaxV.Toll'!Size))</f>
        <v>1.20325362219074</v>
      </c>
      <c r="P19" s="2" t="n">
        <f aca="false">Q19+R19-S19</f>
        <v>2604.60808622536</v>
      </c>
      <c r="Q19" s="2" t="n">
        <f aca="false">E19+F19</f>
        <v>2405.41795255288</v>
      </c>
      <c r="R19" s="2" t="n">
        <f aca="false">2*G19+H19</f>
        <v>640.722731245826</v>
      </c>
      <c r="S19" s="2" t="n">
        <f aca="false">I19+J19+2*K19+L19+2*M19+N19</f>
        <v>441.53259757334</v>
      </c>
      <c r="T19" s="1" t="n">
        <f aca="false">D19</f>
        <v>6.8507047322613</v>
      </c>
      <c r="V19" s="2" t="n">
        <f aca="false">beta*(1/(alpha*psi))*(1/alpha)*((-1/alpha*psi)*(EXP(alpha*(zeta+psi*'TaxV.Toll'!Size))-EXP(alpha*zeta))+('TaxV.Toll'!Size*EXP(alpha*zeta)))</f>
        <v>1949.81777339257</v>
      </c>
      <c r="W19" s="2" t="n">
        <f aca="false">beta*(-1/(alpha*psi)^2)*(1/alpha)*(EXP(alpha*(zeta))-EXP(alpha*(zeta+psi*'TaxV.Toll'!Size)))</f>
        <v>903.870500109573</v>
      </c>
      <c r="X19" s="2" t="n">
        <f aca="false">0</f>
        <v>0</v>
      </c>
      <c r="Y19" s="2" t="n">
        <v>0</v>
      </c>
      <c r="Z19" s="2" t="n">
        <f aca="false">gamma*'TaxV.Toll'!Size</f>
        <v>150</v>
      </c>
      <c r="AA19" s="2" t="n">
        <f aca="false">phi*beta*EXP(alpha*(zeta))*(0-1/(alpha*psi)^2)*((2/(alpha*psi))*(EXP(alpha*psi*'TaxV.Toll'!Size)-1)-('TaxV.Toll'!Size*(EXP(alpha*psi*'TaxV.Toll'!Size)+1)))</f>
        <v>118.802404645642</v>
      </c>
      <c r="AB19" s="2" t="n">
        <f aca="false">(phi*beta*EXP(alpha*(zeta)))*(0-1/(alpha*psi)^2)*((1/(alpha*psi))*(1-EXP(alpha*psi*'TaxV.Toll'!Size))+'TaxV.Toll'!Size*EXP(alpha*psi*'TaxV.Toll'!Size))</f>
        <v>76.179372693615</v>
      </c>
      <c r="AC19" s="2" t="n">
        <f aca="false">(phi*beta*EXP(alpha*(zeta)))*(1/(alpha*psi)^2)*('TaxV.Toll'!Size*EXP(alpha*psi*'TaxV.Toll'!Size))</f>
        <v>14.2076773173423</v>
      </c>
      <c r="AD19" s="2" t="n">
        <f aca="false">0</f>
        <v>0</v>
      </c>
      <c r="AE19" s="2" t="n">
        <v>0</v>
      </c>
      <c r="AG19" s="2" t="n">
        <f aca="false">AH19+AI19-AJ19</f>
        <v>2418.31944615193</v>
      </c>
      <c r="AH19" s="2" t="n">
        <f aca="false">V19+W19</f>
        <v>2853.68827350214</v>
      </c>
      <c r="AI19" s="2" t="n">
        <f aca="false">2*X19+Y19</f>
        <v>0</v>
      </c>
      <c r="AJ19" s="2" t="n">
        <f aca="false">Z19+AA19+2*AB19+AC19+2*AD19+AE19</f>
        <v>435.368827350214</v>
      </c>
      <c r="AL19" s="2" t="n">
        <f aca="false">AG19-P19</f>
        <v>-186.288640073433</v>
      </c>
    </row>
    <row r="20" customFormat="false" ht="14.65" hidden="false" customHeight="false" outlineLevel="0" collapsed="false">
      <c r="A20" s="0" t="n">
        <f aca="false">A19+2</f>
        <v>32</v>
      </c>
      <c r="B20" s="1" t="n">
        <v>1</v>
      </c>
      <c r="C20" s="1" t="n">
        <v>15.6369895481985</v>
      </c>
      <c r="D20" s="1" t="n">
        <v>6.87</v>
      </c>
      <c r="E20" s="2" t="n">
        <f aca="false">beta*(1/(alpha*psi))*(1/alpha)*((-1/alpha*psi)*(EXP(alpha*(zeta+psi*'TaxV.Toll'!Size))-EXP(alpha*zeta))+('TaxV.Toll'!Size*EXP(alpha*zeta)))</f>
        <v>2131.47894173329</v>
      </c>
      <c r="F20" s="2" t="n">
        <f aca="false">beta*(-1/(alpha*psi)^2)*(1/alpha)*(EXP(alpha*('TaxV.Toll'!Tau+zeta))-EXP(alpha*('TaxV.Toll'!Tau+zeta+psi*'TaxV.Toll'!Size)))</f>
        <v>459.040759434671</v>
      </c>
      <c r="G20" s="2" t="n">
        <f aca="false">'TaxV.Toll'!Tau*beta*EXP(alpha*('TaxV.Toll'!Tau+zeta))*(0-(1/(alpha*psi)^2))*(-1+EXP(alpha*psi*'TaxV.Toll'!Size))</f>
        <v>315.361001731619</v>
      </c>
      <c r="H20" s="2" t="n">
        <f aca="false">2*'TaxV.Toll'!Tau*beta*EXP(alpha*(2*'TaxV.Toll'!Tau+zeta))*(1/(alpha*psi)^2)*(EXP(alpha*psi*'TaxV.Toll'!Size))</f>
        <v>13.483698978595</v>
      </c>
      <c r="I20" s="2" t="n">
        <f aca="false">gamma*'TaxV.Toll'!Size</f>
        <v>160</v>
      </c>
      <c r="J20" s="2" t="n">
        <f aca="false">phi*beta*EXP(alpha*(zeta))*(0-1/(alpha*psi)^2)*((2/(alpha*psi))*(EXP(alpha*psi*'TaxV.Toll'!Size)-1)-('TaxV.Toll'!Size*(EXP(alpha*psi*'TaxV.Toll'!Size)+1)))</f>
        <v>134.310119012581</v>
      </c>
      <c r="K20" s="2" t="n">
        <f aca="false">(phi*beta*EXP(alpha*('TaxV.Toll'!Tau+zeta)))*(0-1/(alpha*psi)^2)*((1/(alpha*psi))*(1-EXP(alpha*psi*'TaxV.Toll'!Size))+'TaxV.Toll'!Size*EXP(alpha*psi*'TaxV.Toll'!Size))</f>
        <v>39.6619489053325</v>
      </c>
      <c r="L20" s="2" t="n">
        <f aca="false">(phi*beta*EXP(alpha*(2*'TaxV.Toll'!Tau+zeta)))*(1/(alpha*psi)^2)*('TaxV.Toll'!Size*EXP(alpha*psi*'TaxV.Toll'!Size))</f>
        <v>3.14030835018225</v>
      </c>
      <c r="M20" s="2" t="n">
        <f aca="false">'TaxV.Toll'!thetax*beta*(-1/(alpha*psi)^2)*EXP(alpha*('TaxV.Toll'!Tau+zeta))*(EXP(alpha*psi*'TaxV.Toll'!Size)-1)</f>
        <v>45.9040759434671</v>
      </c>
      <c r="N20" s="2" t="n">
        <f aca="false">'TaxV.Toll'!thetax*beta*(1/(alpha*psi)^2)*EXP(alpha*(2*'TaxV.Toll'!Tau+zeta+psi*'TaxV.Toll'!Size))</f>
        <v>0.981346359431951</v>
      </c>
      <c r="P20" s="2" t="n">
        <f aca="false">Q20+R20-S20</f>
        <v>2765.16158019</v>
      </c>
      <c r="Q20" s="2" t="n">
        <f aca="false">E20+F20</f>
        <v>2590.51970116796</v>
      </c>
      <c r="R20" s="2" t="n">
        <f aca="false">2*G20+H20</f>
        <v>644.205702441832</v>
      </c>
      <c r="S20" s="2" t="n">
        <f aca="false">I20+J20+2*K20+L20+2*M20+N20</f>
        <v>469.563823419794</v>
      </c>
      <c r="T20" s="1" t="n">
        <f aca="false">D20</f>
        <v>6.87</v>
      </c>
      <c r="V20" s="2" t="n">
        <f aca="false">beta*(1/(alpha*psi))*(1/alpha)*((-1/alpha*psi)*(EXP(alpha*(zeta+psi*'TaxV.Toll'!Size))-EXP(alpha*zeta))+('TaxV.Toll'!Size*EXP(alpha*zeta)))</f>
        <v>2131.47894173329</v>
      </c>
      <c r="W20" s="2" t="n">
        <f aca="false">beta*(-1/(alpha*psi)^2)*(1/alpha)*(EXP(alpha*(zeta))-EXP(alpha*(zeta+psi*'TaxV.Toll'!Size)))</f>
        <v>912.455216668992</v>
      </c>
      <c r="X20" s="2" t="n">
        <f aca="false">0</f>
        <v>0</v>
      </c>
      <c r="Y20" s="2" t="n">
        <v>0</v>
      </c>
      <c r="Z20" s="2" t="n">
        <f aca="false">gamma*'TaxV.Toll'!Size</f>
        <v>160</v>
      </c>
      <c r="AA20" s="2" t="n">
        <f aca="false">phi*beta*EXP(alpha*(zeta))*(0-1/(alpha*psi)^2)*((2/(alpha*psi))*(EXP(alpha*psi*'TaxV.Toll'!Size)-1)-('TaxV.Toll'!Size*(EXP(alpha*psi*'TaxV.Toll'!Size)+1)))</f>
        <v>134.310119012581</v>
      </c>
      <c r="AB20" s="2" t="n">
        <f aca="false">(phi*beta*EXP(alpha*(zeta)))*(0-1/(alpha*psi)^2)*((1/(alpha*psi))*(1-EXP(alpha*psi*'TaxV.Toll'!Size))+'TaxV.Toll'!Size*EXP(alpha*psi*'TaxV.Toll'!Size))</f>
        <v>78.8377751607482</v>
      </c>
      <c r="AC20" s="2" t="n">
        <f aca="false">(phi*beta*EXP(alpha*(zeta)))*(1/(alpha*psi)^2)*('TaxV.Toll'!Size*EXP(alpha*psi*'TaxV.Toll'!Size))</f>
        <v>12.407746506151</v>
      </c>
      <c r="AD20" s="2" t="n">
        <f aca="false">0</f>
        <v>0</v>
      </c>
      <c r="AE20" s="2" t="n">
        <v>0</v>
      </c>
      <c r="AG20" s="2" t="n">
        <f aca="false">AH20+AI20-AJ20</f>
        <v>2579.54074256206</v>
      </c>
      <c r="AH20" s="2" t="n">
        <f aca="false">V20+W20</f>
        <v>3043.93415840228</v>
      </c>
      <c r="AI20" s="2" t="n">
        <f aca="false">2*X20+Y20</f>
        <v>0</v>
      </c>
      <c r="AJ20" s="2" t="n">
        <f aca="false">Z20+AA20+2*AB20+AC20+2*AD20+AE20</f>
        <v>464.393415840229</v>
      </c>
      <c r="AL20" s="2" t="n">
        <f aca="false">AG20-P20</f>
        <v>-185.620837627945</v>
      </c>
    </row>
    <row r="21" customFormat="false" ht="14.65" hidden="false" customHeight="false" outlineLevel="0" collapsed="false">
      <c r="A21" s="0" t="n">
        <f aca="false">A20+2</f>
        <v>34</v>
      </c>
      <c r="B21" s="1" t="n">
        <v>1</v>
      </c>
      <c r="C21" s="1" t="n">
        <v>15.8274996263527</v>
      </c>
      <c r="D21" s="1" t="n">
        <v>6.89</v>
      </c>
      <c r="E21" s="2" t="n">
        <f aca="false">beta*(1/(alpha*psi))*(1/alpha)*((-1/alpha*psi)*(EXP(alpha*(zeta+psi*'TaxV.Toll'!Size))-EXP(alpha*zeta))+('TaxV.Toll'!Size*EXP(alpha*zeta)))</f>
        <v>2314.69625517978</v>
      </c>
      <c r="F21" s="2" t="n">
        <f aca="false">beta*(-1/(alpha*psi)^2)*(1/alpha)*(EXP(alpha*('TaxV.Toll'!Tau+zeta))-EXP(alpha*('TaxV.Toll'!Tau+zeta+psi*'TaxV.Toll'!Size)))</f>
        <v>461.652485752956</v>
      </c>
      <c r="G21" s="2" t="n">
        <f aca="false">'TaxV.Toll'!Tau*beta*EXP(alpha*('TaxV.Toll'!Tau+zeta))*(0-(1/(alpha*psi)^2))*(-1+EXP(alpha*psi*'TaxV.Toll'!Size))</f>
        <v>318.078562683786</v>
      </c>
      <c r="H21" s="2" t="n">
        <f aca="false">2*'TaxV.Toll'!Tau*beta*EXP(alpha*(2*'TaxV.Toll'!Tau+zeta))*(1/(alpha*psi)^2)*(EXP(alpha*psi*'TaxV.Toll'!Size))</f>
        <v>11.0274591826295</v>
      </c>
      <c r="I21" s="2" t="n">
        <f aca="false">gamma*'TaxV.Toll'!Size</f>
        <v>170</v>
      </c>
      <c r="J21" s="2" t="n">
        <f aca="false">phi*beta*EXP(alpha*(zeta))*(0-1/(alpha*psi)^2)*((2/(alpha*psi))*(EXP(alpha*psi*'TaxV.Toll'!Size)-1)-('TaxV.Toll'!Size*(EXP(alpha*psi*'TaxV.Toll'!Size)+1)))</f>
        <v>150.314763074257</v>
      </c>
      <c r="K21" s="2" t="n">
        <f aca="false">(phi*beta*EXP(alpha*('TaxV.Toll'!Tau+zeta)))*(0-1/(alpha*psi)^2)*((1/(alpha*psi))*(1-EXP(alpha*psi*'TaxV.Toll'!Size))+'TaxV.Toll'!Size*EXP(alpha*psi*'TaxV.Toll'!Size))</f>
        <v>40.7460625864628</v>
      </c>
      <c r="L21" s="2" t="n">
        <f aca="false">(phi*beta*EXP(alpha*(2*'TaxV.Toll'!Tau+zeta)))*(1/(alpha*psi)^2)*('TaxV.Toll'!Size*EXP(alpha*psi*'TaxV.Toll'!Size))</f>
        <v>2.72085349934255</v>
      </c>
      <c r="M21" s="2" t="n">
        <f aca="false">'TaxV.Toll'!thetax*beta*(-1/(alpha*psi)^2)*EXP(alpha*('TaxV.Toll'!Tau+zeta))*(EXP(alpha*psi*'TaxV.Toll'!Size)-1)</f>
        <v>46.1652485752956</v>
      </c>
      <c r="N21" s="2" t="n">
        <f aca="false">'TaxV.Toll'!thetax*beta*(1/(alpha*psi)^2)*EXP(alpha*(2*'TaxV.Toll'!Tau+zeta+psi*'TaxV.Toll'!Size))</f>
        <v>0.800251029218396</v>
      </c>
      <c r="P21" s="2" t="n">
        <f aca="false">Q21+R21-S21</f>
        <v>2925.87483555661</v>
      </c>
      <c r="Q21" s="2" t="n">
        <f aca="false">E21+F21</f>
        <v>2776.34874093274</v>
      </c>
      <c r="R21" s="2" t="n">
        <f aca="false">2*G21+H21</f>
        <v>647.184584550202</v>
      </c>
      <c r="S21" s="2" t="n">
        <f aca="false">I21+J21+2*K21+L21+2*M21+N21</f>
        <v>497.658489926334</v>
      </c>
      <c r="T21" s="1" t="n">
        <f aca="false">D21</f>
        <v>6.89</v>
      </c>
      <c r="V21" s="2" t="n">
        <f aca="false">beta*(1/(alpha*psi))*(1/alpha)*((-1/alpha*psi)*(EXP(alpha*(zeta+psi*'TaxV.Toll'!Size))-EXP(alpha*zeta))+('TaxV.Toll'!Size*EXP(alpha*zeta)))</f>
        <v>2314.69625517978</v>
      </c>
      <c r="W21" s="2" t="n">
        <f aca="false">beta*(-1/(alpha*psi)^2)*(1/alpha)*(EXP(alpha*(zeta))-EXP(alpha*(zeta+psi*'TaxV.Toll'!Size)))</f>
        <v>919.483788122646</v>
      </c>
      <c r="X21" s="2" t="n">
        <f aca="false">0</f>
        <v>0</v>
      </c>
      <c r="Y21" s="2" t="n">
        <v>0</v>
      </c>
      <c r="Z21" s="2" t="n">
        <f aca="false">gamma*'TaxV.Toll'!Size</f>
        <v>170</v>
      </c>
      <c r="AA21" s="2" t="n">
        <f aca="false">phi*beta*EXP(alpha*(zeta))*(0-1/(alpha*psi)^2)*((2/(alpha*psi))*(EXP(alpha*psi*'TaxV.Toll'!Size)-1)-('TaxV.Toll'!Size*(EXP(alpha*psi*'TaxV.Toll'!Size)+1)))</f>
        <v>150.314763074257</v>
      </c>
      <c r="AB21" s="2" t="n">
        <f aca="false">(phi*beta*EXP(alpha*(zeta)))*(0-1/(alpha*psi)^2)*((1/(alpha*psi))*(1-EXP(alpha*psi*'TaxV.Toll'!Size))+'TaxV.Toll'!Size*EXP(alpha*psi*'TaxV.Toll'!Size))</f>
        <v>81.1548624437215</v>
      </c>
      <c r="AC21" s="2" t="n">
        <f aca="false">(phi*beta*EXP(alpha*(zeta)))*(1/(alpha*psi)^2)*('TaxV.Toll'!Size*EXP(alpha*psi*'TaxV.Toll'!Size))</f>
        <v>10.7935163685431</v>
      </c>
      <c r="AD21" s="2" t="n">
        <f aca="false">0</f>
        <v>0</v>
      </c>
      <c r="AE21" s="2" t="n">
        <v>0</v>
      </c>
      <c r="AG21" s="2" t="n">
        <f aca="false">AH21+AI21-AJ21</f>
        <v>2740.76203897218</v>
      </c>
      <c r="AH21" s="2" t="n">
        <f aca="false">V21+W21</f>
        <v>3234.18004330243</v>
      </c>
      <c r="AI21" s="2" t="n">
        <f aca="false">2*X21+Y21</f>
        <v>0</v>
      </c>
      <c r="AJ21" s="2" t="n">
        <f aca="false">Z21+AA21+2*AB21+AC21+2*AD21+AE21</f>
        <v>493.418004330243</v>
      </c>
      <c r="AL21" s="2" t="n">
        <f aca="false">AG21-P21</f>
        <v>-185.112796584421</v>
      </c>
    </row>
    <row r="22" customFormat="false" ht="14.65" hidden="false" customHeight="false" outlineLevel="0" collapsed="false">
      <c r="A22" s="0" t="n">
        <f aca="false">A21+2</f>
        <v>36</v>
      </c>
      <c r="B22" s="1" t="n">
        <v>1</v>
      </c>
      <c r="C22" s="1" t="n">
        <v>15.9932242003681</v>
      </c>
      <c r="D22" s="1" t="n">
        <v>6.91</v>
      </c>
      <c r="E22" s="2" t="n">
        <f aca="false">beta*(1/(alpha*psi))*(1/alpha)*((-1/alpha*psi)*(EXP(alpha*(zeta+psi*'TaxV.Toll'!Size))-EXP(alpha*zeta))+('TaxV.Toll'!Size*EXP(alpha*zeta)))</f>
        <v>2499.18763248061</v>
      </c>
      <c r="F22" s="2" t="n">
        <f aca="false">beta*(-1/(alpha*psi)^2)*(1/alpha)*(EXP(alpha*('TaxV.Toll'!Tau+zeta))-EXP(alpha*('TaxV.Toll'!Tau+zeta+psi*'TaxV.Toll'!Size)))</f>
        <v>463.613541891646</v>
      </c>
      <c r="G22" s="2" t="n">
        <f aca="false">'TaxV.Toll'!Tau*beta*EXP(alpha*('TaxV.Toll'!Tau+zeta))*(0-(1/(alpha*psi)^2))*(-1+EXP(alpha*psi*'TaxV.Toll'!Size))</f>
        <v>320.356957447127</v>
      </c>
      <c r="H22" s="2" t="n">
        <f aca="false">2*'TaxV.Toll'!Tau*beta*EXP(alpha*(2*'TaxV.Toll'!Tau+zeta))*(1/(alpha*psi)^2)*(EXP(alpha*psi*'TaxV.Toll'!Size))</f>
        <v>9.0185809973114</v>
      </c>
      <c r="I22" s="2" t="n">
        <f aca="false">gamma*'TaxV.Toll'!Size</f>
        <v>180</v>
      </c>
      <c r="J22" s="2" t="n">
        <f aca="false">phi*beta*EXP(alpha*(zeta))*(0-1/(alpha*psi)^2)*((2/(alpha*psi))*(EXP(alpha*psi*'TaxV.Toll'!Size)-1)-('TaxV.Toll'!Size*(EXP(alpha*psi*'TaxV.Toll'!Size)+1)))</f>
        <v>166.751740036217</v>
      </c>
      <c r="K22" s="2" t="n">
        <f aca="false">(phi*beta*EXP(alpha*('TaxV.Toll'!Tau+zeta)))*(0-1/(alpha*psi)^2)*((1/(alpha*psi))*(1-EXP(alpha*psi*'TaxV.Toll'!Size))+'TaxV.Toll'!Size*EXP(alpha*psi*'TaxV.Toll'!Size))</f>
        <v>41.6728948402872</v>
      </c>
      <c r="L22" s="2" t="n">
        <f aca="false">(phi*beta*EXP(alpha*(2*'TaxV.Toll'!Tau+zeta)))*(1/(alpha*psi)^2)*('TaxV.Toll'!Size*EXP(alpha*psi*'TaxV.Toll'!Size))</f>
        <v>2.34926856659342</v>
      </c>
      <c r="M22" s="2" t="n">
        <f aca="false">'TaxV.Toll'!thetax*beta*(-1/(alpha*psi)^2)*EXP(alpha*('TaxV.Toll'!Tau+zeta))*(EXP(alpha*psi*'TaxV.Toll'!Size)-1)</f>
        <v>46.3613541891646</v>
      </c>
      <c r="N22" s="2" t="n">
        <f aca="false">'TaxV.Toll'!thetax*beta*(1/(alpha*psi)^2)*EXP(alpha*(2*'TaxV.Toll'!Tau+zeta+psi*'TaxV.Toll'!Size))</f>
        <v>0.652574601831505</v>
      </c>
      <c r="P22" s="2" t="n">
        <f aca="false">Q22+R22-S22</f>
        <v>3086.71158900028</v>
      </c>
      <c r="Q22" s="2" t="n">
        <f aca="false">E22+F22</f>
        <v>2962.80117437226</v>
      </c>
      <c r="R22" s="2" t="n">
        <f aca="false">2*G22+H22</f>
        <v>649.732495891566</v>
      </c>
      <c r="S22" s="2" t="n">
        <f aca="false">I22+J22+2*K22+L22+2*M22+N22</f>
        <v>525.822081263546</v>
      </c>
      <c r="T22" s="1" t="n">
        <f aca="false">D22</f>
        <v>6.91</v>
      </c>
      <c r="V22" s="2" t="n">
        <f aca="false">beta*(1/(alpha*psi))*(1/alpha)*((-1/alpha*psi)*(EXP(alpha*(zeta+psi*'TaxV.Toll'!Size))-EXP(alpha*zeta))+('TaxV.Toll'!Size*EXP(alpha*zeta)))</f>
        <v>2499.18763248061</v>
      </c>
      <c r="W22" s="2" t="n">
        <f aca="false">beta*(-1/(alpha*psi)^2)*(1/alpha)*(EXP(alpha*(zeta))-EXP(alpha*(zeta+psi*'TaxV.Toll'!Size)))</f>
        <v>925.238295721959</v>
      </c>
      <c r="X22" s="2" t="n">
        <f aca="false">0</f>
        <v>0</v>
      </c>
      <c r="Y22" s="2" t="n">
        <v>0</v>
      </c>
      <c r="Z22" s="2" t="n">
        <f aca="false">gamma*'TaxV.Toll'!Size</f>
        <v>180</v>
      </c>
      <c r="AA22" s="2" t="n">
        <f aca="false">phi*beta*EXP(alpha*(zeta))*(0-1/(alpha*psi)^2)*((2/(alpha*psi))*(EXP(alpha*psi*'TaxV.Toll'!Size)-1)-('TaxV.Toll'!Size*(EXP(alpha*psi*'TaxV.Toll'!Size)+1)))</f>
        <v>166.751740036217</v>
      </c>
      <c r="AB22" s="2" t="n">
        <f aca="false">(phi*beta*EXP(alpha*(zeta)))*(0-1/(alpha*psi)^2)*((1/(alpha*psi))*(1-EXP(alpha*psi*'TaxV.Toll'!Size))+'TaxV.Toll'!Size*EXP(alpha*psi*'TaxV.Toll'!Size))</f>
        <v>83.167023211844</v>
      </c>
      <c r="AC22" s="2" t="n">
        <f aca="false">(phi*beta*EXP(alpha*(zeta)))*(1/(alpha*psi)^2)*('TaxV.Toll'!Size*EXP(alpha*psi*'TaxV.Toll'!Size))</f>
        <v>9.35680636035192</v>
      </c>
      <c r="AD22" s="2" t="n">
        <f aca="false">0</f>
        <v>0</v>
      </c>
      <c r="AE22" s="2" t="n">
        <v>0</v>
      </c>
      <c r="AG22" s="2" t="n">
        <f aca="false">AH22+AI22-AJ22</f>
        <v>2901.98333538231</v>
      </c>
      <c r="AH22" s="2" t="n">
        <f aca="false">V22+W22</f>
        <v>3424.42592820257</v>
      </c>
      <c r="AI22" s="2" t="n">
        <f aca="false">2*X22+Y22</f>
        <v>0</v>
      </c>
      <c r="AJ22" s="2" t="n">
        <f aca="false">Z22+AA22+2*AB22+AC22+2*AD22+AE22</f>
        <v>522.442592820257</v>
      </c>
      <c r="AL22" s="2" t="n">
        <f aca="false">AG22-P22</f>
        <v>-184.728253617965</v>
      </c>
    </row>
    <row r="23" customFormat="false" ht="14.65" hidden="false" customHeight="false" outlineLevel="0" collapsed="false">
      <c r="A23" s="0" t="n">
        <f aca="false">A22+2</f>
        <v>38</v>
      </c>
      <c r="B23" s="1" t="n">
        <v>1</v>
      </c>
      <c r="C23" s="1" t="n">
        <v>16.1370418681239</v>
      </c>
      <c r="D23" s="1" t="n">
        <v>6.93</v>
      </c>
      <c r="E23" s="2" t="n">
        <f aca="false">beta*(1/(alpha*psi))*(1/alpha)*((-1/alpha*psi)*(EXP(alpha*(zeta+psi*'TaxV.Toll'!Size))-EXP(alpha*zeta))+('TaxV.Toll'!Size*EXP(alpha*zeta)))</f>
        <v>2684.72212504038</v>
      </c>
      <c r="F23" s="2" t="n">
        <f aca="false">beta*(-1/(alpha*psi)^2)*(1/alpha)*(EXP(alpha*('TaxV.Toll'!Tau+zeta))-EXP(alpha*('TaxV.Toll'!Tau+zeta+psi*'TaxV.Toll'!Size)))</f>
        <v>465.04328432549</v>
      </c>
      <c r="G23" s="2" t="n">
        <f aca="false">'TaxV.Toll'!Tau*beta*EXP(alpha*('TaxV.Toll'!Tau+zeta))*(0-(1/(alpha*psi)^2))*(-1+EXP(alpha*psi*'TaxV.Toll'!Size))</f>
        <v>322.274996037565</v>
      </c>
      <c r="H23" s="2" t="n">
        <f aca="false">2*'TaxV.Toll'!Tau*beta*EXP(alpha*(2*'TaxV.Toll'!Tau+zeta))*(1/(alpha*psi)^2)*(EXP(alpha*psi*'TaxV.Toll'!Size))</f>
        <v>7.37559944609966</v>
      </c>
      <c r="I23" s="2" t="n">
        <f aca="false">gamma*'TaxV.Toll'!Size</f>
        <v>190</v>
      </c>
      <c r="J23" s="2" t="n">
        <f aca="false">phi*beta*EXP(alpha*(zeta))*(0-1/(alpha*psi)^2)*((2/(alpha*psi))*(EXP(alpha*psi*'TaxV.Toll'!Size)-1)-('TaxV.Toll'!Size*(EXP(alpha*psi*'TaxV.Toll'!Size)+1)))</f>
        <v>183.563543544387</v>
      </c>
      <c r="K23" s="2" t="n">
        <f aca="false">(phi*beta*EXP(alpha*('TaxV.Toll'!Tau+zeta)))*(0-1/(alpha*psi)^2)*((1/(alpha*psi))*(1-EXP(alpha*psi*'TaxV.Toll'!Size))+'TaxV.Toll'!Size*EXP(alpha*psi*'TaxV.Toll'!Size))</f>
        <v>42.460583392394</v>
      </c>
      <c r="L23" s="2" t="n">
        <f aca="false">(phi*beta*EXP(alpha*(2*'TaxV.Toll'!Tau+zeta)))*(1/(alpha*psi)^2)*('TaxV.Toll'!Size*EXP(alpha*psi*'TaxV.Toll'!Size))</f>
        <v>2.02217012230727</v>
      </c>
      <c r="M23" s="2" t="n">
        <f aca="false">'TaxV.Toll'!thetax*beta*(-1/(alpha*psi)^2)*EXP(alpha*('TaxV.Toll'!Tau+zeta))*(EXP(alpha*psi*'TaxV.Toll'!Size)-1)</f>
        <v>46.504328432549</v>
      </c>
      <c r="N23" s="2" t="n">
        <f aca="false">'TaxV.Toll'!thetax*beta*(1/(alpha*psi)^2)*EXP(alpha*(2*'TaxV.Toll'!Tau+zeta+psi*'TaxV.Toll'!Size))</f>
        <v>0.532150032186122</v>
      </c>
      <c r="P23" s="2" t="n">
        <f aca="false">Q23+R23-S23</f>
        <v>3247.64331353833</v>
      </c>
      <c r="Q23" s="2" t="n">
        <f aca="false">E23+F23</f>
        <v>3149.76540936587</v>
      </c>
      <c r="R23" s="2" t="n">
        <f aca="false">2*G23+H23</f>
        <v>651.925591521229</v>
      </c>
      <c r="S23" s="2" t="n">
        <f aca="false">I23+J23+2*K23+L23+2*M23+N23</f>
        <v>554.047687348767</v>
      </c>
      <c r="T23" s="1" t="n">
        <f aca="false">D23</f>
        <v>6.93</v>
      </c>
      <c r="V23" s="2" t="n">
        <f aca="false">beta*(1/(alpha*psi))*(1/alpha)*((-1/alpha*psi)*(EXP(alpha*(zeta+psi*'TaxV.Toll'!Size))-EXP(alpha*zeta))+('TaxV.Toll'!Size*EXP(alpha*zeta)))</f>
        <v>2684.72212504038</v>
      </c>
      <c r="W23" s="2" t="n">
        <f aca="false">beta*(-1/(alpha*psi)^2)*(1/alpha)*(EXP(alpha*(zeta))-EXP(alpha*(zeta+psi*'TaxV.Toll'!Size)))</f>
        <v>929.949688062337</v>
      </c>
      <c r="X23" s="2" t="n">
        <f aca="false">0</f>
        <v>0</v>
      </c>
      <c r="Y23" s="2" t="n">
        <v>0</v>
      </c>
      <c r="Z23" s="2" t="n">
        <f aca="false">gamma*'TaxV.Toll'!Size</f>
        <v>190</v>
      </c>
      <c r="AA23" s="2" t="n">
        <f aca="false">phi*beta*EXP(alpha*(zeta))*(0-1/(alpha*psi)^2)*((2/(alpha*psi))*(EXP(alpha*psi*'TaxV.Toll'!Size)-1)-('TaxV.Toll'!Size*(EXP(alpha*psi*'TaxV.Toll'!Size)+1)))</f>
        <v>183.563543544387</v>
      </c>
      <c r="AB23" s="2" t="n">
        <f aca="false">(phi*beta*EXP(alpha*(zeta)))*(0-1/(alpha*psi)^2)*((1/(alpha*psi))*(1-EXP(alpha*psi*'TaxV.Toll'!Size))+'TaxV.Toll'!Size*EXP(alpha*psi*'TaxV.Toll'!Size))</f>
        <v>84.9086689596504</v>
      </c>
      <c r="AC23" s="2" t="n">
        <f aca="false">(phi*beta*EXP(alpha*(zeta)))*(1/(alpha*psi)^2)*('TaxV.Toll'!Size*EXP(alpha*psi*'TaxV.Toll'!Size))</f>
        <v>8.08629984658332</v>
      </c>
      <c r="AD23" s="2" t="n">
        <f aca="false">0</f>
        <v>0</v>
      </c>
      <c r="AE23" s="2" t="n">
        <v>0</v>
      </c>
      <c r="AG23" s="2" t="n">
        <f aca="false">AH23+AI23-AJ23</f>
        <v>3063.20463179244</v>
      </c>
      <c r="AH23" s="2" t="n">
        <f aca="false">V23+W23</f>
        <v>3614.67181310271</v>
      </c>
      <c r="AI23" s="2" t="n">
        <f aca="false">2*X23+Y23</f>
        <v>0</v>
      </c>
      <c r="AJ23" s="2" t="n">
        <f aca="false">Z23+AA23+2*AB23+AC23+2*AD23+AE23</f>
        <v>551.467181310271</v>
      </c>
      <c r="AL23" s="2" t="n">
        <f aca="false">AG23-P23</f>
        <v>-184.438681745887</v>
      </c>
    </row>
    <row r="24" customFormat="false" ht="14.65" hidden="false" customHeight="false" outlineLevel="0" collapsed="false">
      <c r="A24" s="0" t="n">
        <f aca="false">A23+2</f>
        <v>40</v>
      </c>
      <c r="B24" s="1" t="n">
        <v>1</v>
      </c>
      <c r="C24" s="1" t="n">
        <v>16.2615575289943</v>
      </c>
      <c r="D24" s="1" t="n">
        <v>6.94</v>
      </c>
      <c r="E24" s="2" t="n">
        <f aca="false">beta*(1/(alpha*psi))*(1/alpha)*((-1/alpha*psi)*(EXP(alpha*(zeta+psi*'TaxV.Toll'!Size))-EXP(alpha*zeta))+('TaxV.Toll'!Size*EXP(alpha*zeta)))</f>
        <v>2871.11064814164</v>
      </c>
      <c r="F24" s="2" t="n">
        <f aca="false">beta*(-1/(alpha*psi)^2)*(1/alpha)*(EXP(alpha*('TaxV.Toll'!Tau+zeta))-EXP(alpha*('TaxV.Toll'!Tau+zeta+psi*'TaxV.Toll'!Size)))</f>
        <v>466.505510269363</v>
      </c>
      <c r="G24" s="2" t="n">
        <f aca="false">'TaxV.Toll'!Tau*beta*EXP(alpha*('TaxV.Toll'!Tau+zeta))*(0-(1/(alpha*psi)^2))*(-1+EXP(alpha*psi*'TaxV.Toll'!Size))</f>
        <v>323.754824126938</v>
      </c>
      <c r="H24" s="2" t="n">
        <f aca="false">2*'TaxV.Toll'!Tau*beta*EXP(alpha*(2*'TaxV.Toll'!Tau+zeta))*(1/(alpha*psi)^2)*(EXP(alpha*psi*'TaxV.Toll'!Size))</f>
        <v>6.03526123978567</v>
      </c>
      <c r="I24" s="2" t="n">
        <f aca="false">gamma*'TaxV.Toll'!Size</f>
        <v>200</v>
      </c>
      <c r="J24" s="2" t="n">
        <f aca="false">phi*beta*EXP(alpha*(zeta))*(0-1/(alpha*psi)^2)*((2/(alpha*psi))*(EXP(alpha*psi*'TaxV.Toll'!Size)-1)-('TaxV.Toll'!Size*(EXP(alpha*psi*'TaxV.Toll'!Size)+1)))</f>
        <v>200.699309683839</v>
      </c>
      <c r="K24" s="2" t="n">
        <f aca="false">(phi*beta*EXP(alpha*('TaxV.Toll'!Tau+zeta)))*(0-1/(alpha*psi)^2)*((1/(alpha*psi))*(1-EXP(alpha*psi*'TaxV.Toll'!Size))+'TaxV.Toll'!Size*EXP(alpha*psi*'TaxV.Toll'!Size))</f>
        <v>43.1690464602235</v>
      </c>
      <c r="L24" s="2" t="n">
        <f aca="false">(phi*beta*EXP(alpha*(2*'TaxV.Toll'!Tau+zeta)))*(1/(alpha*psi)^2)*('TaxV.Toll'!Size*EXP(alpha*psi*'TaxV.Toll'!Size))</f>
        <v>1.73926836881431</v>
      </c>
      <c r="M24" s="2" t="n">
        <f aca="false">'TaxV.Toll'!thetax*beta*(-1/(alpha*psi)^2)*EXP(alpha*('TaxV.Toll'!Tau+zeta))*(EXP(alpha*psi*'TaxV.Toll'!Size)-1)</f>
        <v>46.6505510269363</v>
      </c>
      <c r="N24" s="2" t="n">
        <f aca="false">'TaxV.Toll'!thetax*beta*(1/(alpha*psi)^2)*EXP(alpha*(2*'TaxV.Toll'!Tau+zeta+psi*'TaxV.Toll'!Size))</f>
        <v>0.434817092203578</v>
      </c>
      <c r="P24" s="2" t="n">
        <f aca="false">Q24+R24-S24</f>
        <v>3408.64847778548</v>
      </c>
      <c r="Q24" s="2" t="n">
        <f aca="false">E24+F24</f>
        <v>3337.616158411</v>
      </c>
      <c r="R24" s="2" t="n">
        <f aca="false">2*G24+H24</f>
        <v>653.544909493661</v>
      </c>
      <c r="S24" s="2" t="n">
        <f aca="false">I24+J24+2*K24+L24+2*M24+N24</f>
        <v>582.512590119177</v>
      </c>
      <c r="T24" s="1" t="n">
        <f aca="false">D24</f>
        <v>6.94</v>
      </c>
      <c r="V24" s="2" t="n">
        <f aca="false">beta*(1/(alpha*psi))*(1/alpha)*((-1/alpha*psi)*(EXP(alpha*(zeta+psi*'TaxV.Toll'!Size))-EXP(alpha*zeta))+('TaxV.Toll'!Size*EXP(alpha*zeta)))</f>
        <v>2871.11064814164</v>
      </c>
      <c r="W24" s="2" t="n">
        <f aca="false">beta*(-1/(alpha*psi)^2)*(1/alpha)*(EXP(alpha*(zeta))-EXP(alpha*(zeta+psi*'TaxV.Toll'!Size)))</f>
        <v>933.80704986122</v>
      </c>
      <c r="X24" s="2" t="n">
        <f aca="false">0</f>
        <v>0</v>
      </c>
      <c r="Y24" s="2" t="n">
        <v>0</v>
      </c>
      <c r="Z24" s="2" t="n">
        <f aca="false">gamma*'TaxV.Toll'!Size</f>
        <v>200</v>
      </c>
      <c r="AA24" s="2" t="n">
        <f aca="false">phi*beta*EXP(alpha*(zeta))*(0-1/(alpha*psi)^2)*((2/(alpha*psi))*(EXP(alpha*psi*'TaxV.Toll'!Size)-1)-('TaxV.Toll'!Size*(EXP(alpha*psi*'TaxV.Toll'!Size)+1)))</f>
        <v>200.699309683839</v>
      </c>
      <c r="AB24" s="2" t="n">
        <f aca="false">(phi*beta*EXP(alpha*(zeta)))*(0-1/(alpha*psi)^2)*((1/(alpha*psi))*(1-EXP(alpha*psi*'TaxV.Toll'!Size))+'TaxV.Toll'!Size*EXP(alpha*psi*'TaxV.Toll'!Size))</f>
        <v>86.4117551303247</v>
      </c>
      <c r="AC24" s="2" t="n">
        <f aca="false">(phi*beta*EXP(alpha*(zeta)))*(1/(alpha*psi)^2)*('TaxV.Toll'!Size*EXP(alpha*psi*'TaxV.Toll'!Size))</f>
        <v>6.9689498557974</v>
      </c>
      <c r="AD24" s="2" t="n">
        <f aca="false">0</f>
        <v>0</v>
      </c>
      <c r="AE24" s="2" t="n">
        <v>0</v>
      </c>
      <c r="AG24" s="2" t="n">
        <f aca="false">AH24+AI24-AJ24</f>
        <v>3224.42592820257</v>
      </c>
      <c r="AH24" s="2" t="n">
        <f aca="false">V24+W24</f>
        <v>3804.91769800286</v>
      </c>
      <c r="AI24" s="2" t="n">
        <f aca="false">2*X24+Y24</f>
        <v>0</v>
      </c>
      <c r="AJ24" s="2" t="n">
        <f aca="false">Z24+AA24+2*AB24+AC24+2*AD24+AE24</f>
        <v>580.491769800286</v>
      </c>
      <c r="AL24" s="2" t="n">
        <f aca="false">AG24-P24</f>
        <v>-184.222549582913</v>
      </c>
    </row>
    <row r="25" customFormat="false" ht="14.65" hidden="false" customHeight="false" outlineLevel="0" collapsed="false">
      <c r="A25" s="0" t="n">
        <v>42</v>
      </c>
      <c r="B25" s="1" t="n">
        <v>1</v>
      </c>
      <c r="C25" s="1" t="n">
        <v>16.3777966950653</v>
      </c>
      <c r="D25" s="1" t="n">
        <v>6.94600615421292</v>
      </c>
      <c r="E25" s="2" t="n">
        <f aca="false">beta*(1/(alpha*psi))*(1/alpha)*((-1/alpha*psi)*(EXP(alpha*(zeta+psi*'TaxV.Toll'!Size))-EXP(alpha*zeta))+('TaxV.Toll'!Size*EXP(alpha*zeta)))</f>
        <v>3058.19839231128</v>
      </c>
      <c r="F25" s="2" t="n">
        <f aca="false">beta*(-1/(alpha*psi)^2)*(1/alpha)*(EXP(alpha*('TaxV.Toll'!Tau+zeta))-EXP(alpha*('TaxV.Toll'!Tau+zeta+psi*'TaxV.Toll'!Size)))</f>
        <v>467.802180948666</v>
      </c>
      <c r="G25" s="2" t="n">
        <f aca="false">'TaxV.Toll'!Tau*beta*EXP(alpha*('TaxV.Toll'!Tau+zeta))*(0-(1/(alpha*psi)^2))*(-1+EXP(alpha*psi*'TaxV.Toll'!Size))</f>
        <v>324.935682782366</v>
      </c>
      <c r="H25" s="2" t="n">
        <f aca="false">2*'TaxV.Toll'!Tau*beta*EXP(alpha*(2*'TaxV.Toll'!Tau+zeta))*(1/(alpha*psi)^2)*(EXP(alpha*psi*'TaxV.Toll'!Size))</f>
        <v>4.93959318223841</v>
      </c>
      <c r="I25" s="2" t="n">
        <f aca="false">gamma*'TaxV.Toll'!Size</f>
        <v>210</v>
      </c>
      <c r="J25" s="2" t="n">
        <f aca="false">phi*beta*EXP(alpha*(zeta))*(0-1/(alpha*psi)^2)*((2/(alpha*psi))*(EXP(alpha*psi*'TaxV.Toll'!Size)-1)-('TaxV.Toll'!Size*(EXP(alpha*psi*'TaxV.Toll'!Size)+1)))</f>
        <v>218.114298413737</v>
      </c>
      <c r="K25" s="2" t="n">
        <f aca="false">(phi*beta*EXP(alpha*('TaxV.Toll'!Tau+zeta)))*(0-1/(alpha*psi)^2)*((1/(alpha*psi))*(1-EXP(alpha*psi*'TaxV.Toll'!Size))+'TaxV.Toll'!Size*EXP(alpha*psi*'TaxV.Toll'!Size))</f>
        <v>43.7890795598794</v>
      </c>
      <c r="L25" s="2" t="n">
        <f aca="false">(phi*beta*EXP(alpha*(2*'TaxV.Toll'!Tau+zeta)))*(1/(alpha*psi)^2)*('TaxV.Toll'!Size*EXP(alpha*psi*'TaxV.Toll'!Size))</f>
        <v>1.49339713389242</v>
      </c>
      <c r="M25" s="2" t="n">
        <f aca="false">'TaxV.Toll'!thetax*beta*(-1/(alpha*psi)^2)*EXP(alpha*('TaxV.Toll'!Tau+zeta))*(EXP(alpha*psi*'TaxV.Toll'!Size)-1)</f>
        <v>46.7802180948666</v>
      </c>
      <c r="N25" s="2" t="n">
        <f aca="false">'TaxV.Toll'!thetax*beta*(1/(alpha*psi)^2)*EXP(alpha*(2*'TaxV.Toll'!Tau+zeta+psi*'TaxV.Toll'!Size))</f>
        <v>0.355570746164861</v>
      </c>
      <c r="P25" s="2" t="n">
        <f aca="false">Q25+R25-S25</f>
        <v>3569.70967040364</v>
      </c>
      <c r="Q25" s="2" t="n">
        <f aca="false">E25+F25</f>
        <v>3526.00057325995</v>
      </c>
      <c r="R25" s="2" t="n">
        <f aca="false">2*G25+H25</f>
        <v>654.81095874697</v>
      </c>
      <c r="S25" s="2" t="n">
        <f aca="false">I25+J25+2*K25+L25+2*M25+N25</f>
        <v>611.101861603286</v>
      </c>
      <c r="T25" s="1" t="n">
        <f aca="false">D25</f>
        <v>6.94600615421292</v>
      </c>
      <c r="V25" s="2" t="n">
        <f aca="false">beta*(1/(alpha*psi))*(1/alpha)*((-1/alpha*psi)*(EXP(alpha*(zeta+psi*'TaxV.Toll'!Size))-EXP(alpha*zeta))+('TaxV.Toll'!Size*EXP(alpha*zeta)))</f>
        <v>3058.19839231128</v>
      </c>
      <c r="W25" s="2" t="n">
        <f aca="false">beta*(-1/(alpha*psi)^2)*(1/alpha)*(EXP(alpha*(zeta))-EXP(alpha*(zeta+psi*'TaxV.Toll'!Size)))</f>
        <v>936.965190591715</v>
      </c>
      <c r="X25" s="2" t="n">
        <f aca="false">0</f>
        <v>0</v>
      </c>
      <c r="Y25" s="2" t="n">
        <v>0</v>
      </c>
      <c r="Z25" s="2" t="n">
        <f aca="false">gamma*'TaxV.Toll'!Size</f>
        <v>210</v>
      </c>
      <c r="AA25" s="2" t="n">
        <f aca="false">phi*beta*EXP(alpha*(zeta))*(0-1/(alpha*psi)^2)*((2/(alpha*psi))*(EXP(alpha*psi*'TaxV.Toll'!Size)-1)-('TaxV.Toll'!Size*(EXP(alpha*psi*'TaxV.Toll'!Size)+1)))</f>
        <v>218.114298413737</v>
      </c>
      <c r="AB25" s="2" t="n">
        <f aca="false">(phi*beta*EXP(alpha*(zeta)))*(0-1/(alpha*psi)^2)*((1/(alpha*psi))*(1-EXP(alpha*psi*'TaxV.Toll'!Size))+'TaxV.Toll'!Size*EXP(alpha*psi*'TaxV.Toll'!Size))</f>
        <v>87.7055408173918</v>
      </c>
      <c r="AC25" s="2" t="n">
        <f aca="false">(phi*beta*EXP(alpha*(zeta)))*(1/(alpha*psi)^2)*('TaxV.Toll'!Size*EXP(alpha*psi*'TaxV.Toll'!Size))</f>
        <v>5.99097824177969</v>
      </c>
      <c r="AD25" s="2" t="n">
        <f aca="false">0</f>
        <v>0</v>
      </c>
      <c r="AE25" s="2" t="n">
        <v>0</v>
      </c>
      <c r="AG25" s="2" t="n">
        <f aca="false">AH25+AI25-AJ25</f>
        <v>3385.6472246127</v>
      </c>
      <c r="AH25" s="2" t="n">
        <f aca="false">V25+W25</f>
        <v>3995.163582903</v>
      </c>
      <c r="AI25" s="2" t="n">
        <f aca="false">2*X25+Y25</f>
        <v>0</v>
      </c>
      <c r="AJ25" s="2" t="n">
        <f aca="false">Z25+AA25+2*AB25+AC25+2*AD25+AE25</f>
        <v>609.5163582903</v>
      </c>
      <c r="AL25" s="2" t="n">
        <f aca="false">AG25-P25</f>
        <v>-184.062445790936</v>
      </c>
    </row>
    <row r="26" customFormat="false" ht="14.65" hidden="false" customHeight="false" outlineLevel="0" collapsed="false">
      <c r="A26" s="0" t="n">
        <v>50</v>
      </c>
      <c r="B26" s="1" t="n">
        <v>1</v>
      </c>
      <c r="C26" s="1" t="n">
        <v>16.668739898627</v>
      </c>
      <c r="D26" s="1" t="n">
        <v>6.96</v>
      </c>
      <c r="E26" s="2" t="n">
        <f aca="false">beta*(1/(alpha*psi))*(1/alpha)*((-1/alpha*psi)*(EXP(alpha*(zeta+psi*'TaxV.Toll'!Size))-EXP(alpha*zeta))+('TaxV.Toll'!Size*EXP(alpha*zeta)))</f>
        <v>3811.32703144911</v>
      </c>
      <c r="F26" s="2" t="n">
        <f aca="false">beta*(-1/(alpha*psi)^2)*(1/alpha)*(EXP(alpha*('TaxV.Toll'!Tau+zeta))-EXP(alpha*('TaxV.Toll'!Tau+zeta+psi*'TaxV.Toll'!Size)))</f>
        <v>471.064265512094</v>
      </c>
      <c r="G26" s="2" t="n">
        <f aca="false">'TaxV.Toll'!Tau*beta*EXP(alpha*('TaxV.Toll'!Tau+zeta))*(0-(1/(alpha*psi)^2))*(-1+EXP(alpha*psi*'TaxV.Toll'!Size))</f>
        <v>327.860728796418</v>
      </c>
      <c r="H26" s="2" t="n">
        <f aca="false">2*'TaxV.Toll'!Tau*beta*EXP(alpha*(2*'TaxV.Toll'!Tau+zeta))*(1/(alpha*psi)^2)*(EXP(alpha*psi*'TaxV.Toll'!Size))</f>
        <v>2.21775814464817</v>
      </c>
      <c r="I26" s="2" t="n">
        <f aca="false">gamma*'TaxV.Toll'!Size</f>
        <v>250</v>
      </c>
      <c r="J26" s="2" t="n">
        <f aca="false">phi*beta*EXP(alpha*(zeta))*(0-1/(alpha*psi)^2)*((2/(alpha*psi))*(EXP(alpha*psi*'TaxV.Toll'!Size)-1)-('TaxV.Toll'!Size*(EXP(alpha*psi*'TaxV.Toll'!Size)+1)))</f>
        <v>289.855360762594</v>
      </c>
      <c r="K26" s="2" t="n">
        <f aca="false">(phi*beta*EXP(alpha*('TaxV.Toll'!Tau+zeta)))*(0-1/(alpha*psi)^2)*((1/(alpha*psi))*(1-EXP(alpha*psi*'TaxV.Toll'!Size))+'TaxV.Toll'!Size*EXP(alpha*psi*'TaxV.Toll'!Size))</f>
        <v>45.5086578432466</v>
      </c>
      <c r="L26" s="2" t="n">
        <f aca="false">(phi*beta*EXP(alpha*(2*'TaxV.Toll'!Tau+zeta)))*(1/(alpha*psi)^2)*('TaxV.Toll'!Size*EXP(alpha*psi*'TaxV.Toll'!Size))</f>
        <v>0.796608528968453</v>
      </c>
      <c r="M26" s="2" t="n">
        <f aca="false">'TaxV.Toll'!thetax*beta*(-1/(alpha*psi)^2)*EXP(alpha*('TaxV.Toll'!Tau+zeta))*(EXP(alpha*psi*'TaxV.Toll'!Size)-1)</f>
        <v>47.1064265512094</v>
      </c>
      <c r="N26" s="2" t="n">
        <f aca="false">'TaxV.Toll'!thetax*beta*(1/(alpha*psi)^2)*EXP(alpha*(2*'TaxV.Toll'!Tau+zeta+psi*'TaxV.Toll'!Size))</f>
        <v>0.159321705793691</v>
      </c>
      <c r="P26" s="2" t="n">
        <f aca="false">Q26+R26-S26</f>
        <v>4214.28905291242</v>
      </c>
      <c r="Q26" s="2" t="n">
        <f aca="false">E26+F26</f>
        <v>4282.39129696121</v>
      </c>
      <c r="R26" s="2" t="n">
        <f aca="false">2*G26+H26</f>
        <v>657.939215737483</v>
      </c>
      <c r="S26" s="2" t="n">
        <f aca="false">I26+J26+2*K26+L26+2*M26+N26</f>
        <v>726.041459786268</v>
      </c>
      <c r="T26" s="1" t="n">
        <f aca="false">D26</f>
        <v>6.96</v>
      </c>
      <c r="V26" s="2" t="n">
        <f aca="false">beta*(1/(alpha*psi))*(1/alpha)*((-1/alpha*psi)*(EXP(alpha*(zeta+psi*'TaxV.Toll'!Size))-EXP(alpha*zeta))+('TaxV.Toll'!Size*EXP(alpha*zeta)))</f>
        <v>3811.32703144911</v>
      </c>
      <c r="W26" s="2" t="n">
        <f aca="false">beta*(-1/(alpha*psi)^2)*(1/alpha)*(EXP(alpha*(zeta))-EXP(alpha*(zeta+psi*'TaxV.Toll'!Size)))</f>
        <v>944.820091054458</v>
      </c>
      <c r="X26" s="2" t="n">
        <f aca="false">0</f>
        <v>0</v>
      </c>
      <c r="Y26" s="2" t="n">
        <v>0</v>
      </c>
      <c r="Z26" s="2" t="n">
        <f aca="false">gamma*'TaxV.Toll'!Size</f>
        <v>250</v>
      </c>
      <c r="AA26" s="2" t="n">
        <f aca="false">phi*beta*EXP(alpha*(zeta))*(0-1/(alpha*psi)^2)*((2/(alpha*psi))*(EXP(alpha*psi*'TaxV.Toll'!Size)-1)-('TaxV.Toll'!Size*(EXP(alpha*psi*'TaxV.Toll'!Size)+1)))</f>
        <v>289.855360762594</v>
      </c>
      <c r="AB26" s="2" t="n">
        <f aca="false">(phi*beta*EXP(alpha*(zeta)))*(0-1/(alpha*psi)^2)*((1/(alpha*psi))*(1-EXP(alpha*psi*'TaxV.Toll'!Size))+'TaxV.Toll'!Size*EXP(alpha*psi*'TaxV.Toll'!Size))</f>
        <v>91.2773423823176</v>
      </c>
      <c r="AC26" s="2" t="n">
        <f aca="false">(phi*beta*EXP(alpha*(zeta)))*(1/(alpha*psi)^2)*('TaxV.Toll'!Size*EXP(alpha*psi*'TaxV.Toll'!Size))</f>
        <v>3.20466672312819</v>
      </c>
      <c r="AD26" s="2" t="n">
        <f aca="false">0</f>
        <v>0</v>
      </c>
      <c r="AE26" s="2" t="n">
        <v>0</v>
      </c>
      <c r="AG26" s="2" t="n">
        <f aca="false">AH26+AI26-AJ26</f>
        <v>4030.53241025321</v>
      </c>
      <c r="AH26" s="2" t="n">
        <f aca="false">V26+W26</f>
        <v>4756.14712250357</v>
      </c>
      <c r="AI26" s="2" t="n">
        <f aca="false">2*X26+Y26</f>
        <v>0</v>
      </c>
      <c r="AJ26" s="2" t="n">
        <f aca="false">Z26+AA26+2*AB26+AC26+2*AD26+AE26</f>
        <v>725.614712250357</v>
      </c>
      <c r="AL26" s="2" t="n">
        <f aca="false">AG26-P26</f>
        <v>-183.756642659208</v>
      </c>
    </row>
    <row r="27" customFormat="false" ht="14.65" hidden="false" customHeight="false" outlineLevel="0" collapsed="false">
      <c r="A27" s="0" t="n">
        <v>60</v>
      </c>
      <c r="B27" s="1" t="n">
        <v>1</v>
      </c>
      <c r="C27" s="1" t="n">
        <v>16.8559333478865</v>
      </c>
      <c r="D27" s="1" t="n">
        <v>6.97</v>
      </c>
      <c r="E27" s="2" t="n">
        <f aca="false">beta*(1/(alpha*psi))*(1/alpha)*((-1/alpha*psi)*(EXP(alpha*(zeta+psi*'TaxV.Toll'!Size))-EXP(alpha*zeta))+('TaxV.Toll'!Size*EXP(alpha*zeta)))</f>
        <v>4758.50498451006</v>
      </c>
      <c r="F27" s="2" t="n">
        <f aca="false">beta*(-1/(alpha*psi)^2)*(1/alpha)*(EXP(alpha*('TaxV.Toll'!Tau+zeta))-EXP(alpha*('TaxV.Toll'!Tau+zeta+psi*'TaxV.Toll'!Size)))</f>
        <v>472.611382642085</v>
      </c>
      <c r="G27" s="2" t="n">
        <f aca="false">'TaxV.Toll'!Tau*beta*EXP(alpha*('TaxV.Toll'!Tau+zeta))*(0-(1/(alpha*psi)^2))*(-1+EXP(alpha*psi*'TaxV.Toll'!Size))</f>
        <v>329.410133701533</v>
      </c>
      <c r="H27" s="2" t="n">
        <f aca="false">2*'TaxV.Toll'!Tau*beta*EXP(alpha*(2*'TaxV.Toll'!Tau+zeta))*(1/(alpha*psi)^2)*(EXP(alpha*psi*'TaxV.Toll'!Size))</f>
        <v>0.815407403798304</v>
      </c>
      <c r="I27" s="2" t="n">
        <f aca="false">gamma*'TaxV.Toll'!Size</f>
        <v>300</v>
      </c>
      <c r="J27" s="2" t="n">
        <f aca="false">phi*beta*EXP(alpha*(zeta))*(0-1/(alpha*psi)^2)*((2/(alpha*psi))*(EXP(alpha*psi*'TaxV.Toll'!Size)-1)-('TaxV.Toll'!Size*(EXP(alpha*psi*'TaxV.Toll'!Size)+1)))</f>
        <v>382.378059405478</v>
      </c>
      <c r="K27" s="2" t="n">
        <f aca="false">(phi*beta*EXP(alpha*('TaxV.Toll'!Tau+zeta)))*(0-1/(alpha*psi)^2)*((1/(alpha*psi))*(1-EXP(alpha*psi*'TaxV.Toll'!Size))+'TaxV.Toll'!Size*EXP(alpha*psi*'TaxV.Toll'!Size))</f>
        <v>46.5564997438777</v>
      </c>
      <c r="L27" s="2" t="n">
        <f aca="false">(phi*beta*EXP(alpha*(2*'TaxV.Toll'!Tau+zeta)))*(1/(alpha*psi)^2)*('TaxV.Toll'!Size*EXP(alpha*psi*'TaxV.Toll'!Size))</f>
        <v>0.350964449267563</v>
      </c>
      <c r="M27" s="2" t="n">
        <f aca="false">'TaxV.Toll'!thetax*beta*(-1/(alpha*psi)^2)*EXP(alpha*('TaxV.Toll'!Tau+zeta))*(EXP(alpha*psi*'TaxV.Toll'!Size)-1)</f>
        <v>47.2611382642085</v>
      </c>
      <c r="N27" s="2" t="n">
        <f aca="false">'TaxV.Toll'!thetax*beta*(1/(alpha*psi)^2)*EXP(alpha*(2*'TaxV.Toll'!Tau+zeta+psi*'TaxV.Toll'!Size))</f>
        <v>0.0584940748779271</v>
      </c>
      <c r="P27" s="2" t="n">
        <f aca="false">Q27+R27-S27</f>
        <v>5020.32924801321</v>
      </c>
      <c r="Q27" s="2" t="n">
        <f aca="false">E27+F27</f>
        <v>5231.11636715215</v>
      </c>
      <c r="R27" s="2" t="n">
        <f aca="false">2*G27+H27</f>
        <v>659.635674806865</v>
      </c>
      <c r="S27" s="2" t="n">
        <f aca="false">I27+J27+2*K27+L27+2*M27+N27</f>
        <v>870.422793945796</v>
      </c>
      <c r="T27" s="1" t="n">
        <f aca="false">D27</f>
        <v>6.97</v>
      </c>
      <c r="V27" s="2" t="n">
        <f aca="false">beta*(1/(alpha*psi))*(1/alpha)*((-1/alpha*psi)*(EXP(alpha*(zeta+psi*'TaxV.Toll'!Size))-EXP(alpha*zeta))+('TaxV.Toll'!Size*EXP(alpha*zeta)))</f>
        <v>4758.50498451006</v>
      </c>
      <c r="W27" s="2" t="n">
        <f aca="false">beta*(-1/(alpha*psi)^2)*(1/alpha)*(EXP(alpha*(zeta))-EXP(alpha*(zeta+psi*'TaxV.Toll'!Size)))</f>
        <v>948.871562494224</v>
      </c>
      <c r="X27" s="2" t="n">
        <f aca="false">0</f>
        <v>0</v>
      </c>
      <c r="Y27" s="2" t="n">
        <v>0</v>
      </c>
      <c r="Z27" s="2" t="n">
        <f aca="false">gamma*'TaxV.Toll'!Size</f>
        <v>300</v>
      </c>
      <c r="AA27" s="2" t="n">
        <f aca="false">phi*beta*EXP(alpha*(zeta))*(0-1/(alpha*psi)^2)*((2/(alpha*psi))*(EXP(alpha*psi*'TaxV.Toll'!Size)-1)-('TaxV.Toll'!Size*(EXP(alpha*psi*'TaxV.Toll'!Size)+1)))</f>
        <v>382.378059405478</v>
      </c>
      <c r="AB27" s="2" t="n">
        <f aca="false">(phi*beta*EXP(alpha*(zeta)))*(0-1/(alpha*psi)^2)*((1/(alpha*psi))*(1-EXP(alpha*psi*'TaxV.Toll'!Size))+'TaxV.Toll'!Size*EXP(alpha*psi*'TaxV.Toll'!Size))</f>
        <v>93.4724390455283</v>
      </c>
      <c r="AC27" s="2" t="n">
        <f aca="false">(phi*beta*EXP(alpha*(zeta)))*(1/(alpha*psi)^2)*('TaxV.Toll'!Size*EXP(alpha*psi*'TaxV.Toll'!Size))</f>
        <v>1.41471720389414</v>
      </c>
      <c r="AD27" s="2" t="n">
        <f aca="false">0</f>
        <v>0</v>
      </c>
      <c r="AE27" s="2" t="n">
        <v>0</v>
      </c>
      <c r="AG27" s="2" t="n">
        <f aca="false">AH27+AI27-AJ27</f>
        <v>4836.63889230386</v>
      </c>
      <c r="AH27" s="2" t="n">
        <f aca="false">V27+W27</f>
        <v>5707.37654700428</v>
      </c>
      <c r="AI27" s="2" t="n">
        <f aca="false">2*X27+Y27</f>
        <v>0</v>
      </c>
      <c r="AJ27" s="2" t="n">
        <f aca="false">Z27+AA27+2*AB27+AC27+2*AD27+AE27</f>
        <v>870.737654700429</v>
      </c>
      <c r="AL27" s="2" t="n">
        <f aca="false">AG27-P27</f>
        <v>-183.690355709359</v>
      </c>
    </row>
    <row r="28" customFormat="false" ht="14.65" hidden="false" customHeight="false" outlineLevel="0" collapsed="false">
      <c r="A28" s="0" t="n">
        <v>70</v>
      </c>
      <c r="B28" s="1" t="n">
        <v>1</v>
      </c>
      <c r="C28" s="1" t="n">
        <v>16.9388048442106</v>
      </c>
      <c r="D28" s="1" t="n">
        <v>6.98</v>
      </c>
      <c r="E28" s="2" t="n">
        <f aca="false">beta*(1/(alpha*psi))*(1/alpha)*((-1/alpha*psi)*(EXP(alpha*(zeta+psi*'TaxV.Toll'!Size))-EXP(alpha*zeta))+('TaxV.Toll'!Size*EXP(alpha*zeta)))</f>
        <v>5708.24395596159</v>
      </c>
      <c r="F28" s="2" t="n">
        <f aca="false">beta*(-1/(alpha*psi)^2)*(1/alpha)*(EXP(alpha*('TaxV.Toll'!Tau+zeta))-EXP(alpha*('TaxV.Toll'!Tau+zeta+psi*'TaxV.Toll'!Size)))</f>
        <v>472.880626322023</v>
      </c>
      <c r="G28" s="2" t="n">
        <f aca="false">'TaxV.Toll'!Tau*beta*EXP(alpha*('TaxV.Toll'!Tau+zeta))*(0-(1/(alpha*psi)^2))*(-1+EXP(alpha*psi*'TaxV.Toll'!Size))</f>
        <v>330.070677172772</v>
      </c>
      <c r="H28" s="2" t="n">
        <f aca="false">2*'TaxV.Toll'!Tau*beta*EXP(alpha*(2*'TaxV.Toll'!Tau+zeta))*(1/(alpha*psi)^2)*(EXP(alpha*psi*'TaxV.Toll'!Size))</f>
        <v>0.299801791800814</v>
      </c>
      <c r="I28" s="2" t="n">
        <f aca="false">gamma*'TaxV.Toll'!Size</f>
        <v>350</v>
      </c>
      <c r="J28" s="2" t="n">
        <f aca="false">phi*beta*EXP(alpha*(zeta))*(0-1/(alpha*psi)^2)*((2/(alpha*psi))*(EXP(alpha*psi*'TaxV.Toll'!Size)-1)-('TaxV.Toll'!Size*(EXP(alpha*psi*'TaxV.Toll'!Size)+1)))</f>
        <v>476.395380311933</v>
      </c>
      <c r="K28" s="2" t="n">
        <f aca="false">(phi*beta*EXP(alpha*('TaxV.Toll'!Tau+zeta)))*(0-1/(alpha*psi)^2)*((1/(alpha*psi))*(1-EXP(alpha*psi*'TaxV.Toll'!Size))+'TaxV.Toll'!Size*EXP(alpha*psi*'TaxV.Toll'!Size))</f>
        <v>46.9859392108007</v>
      </c>
      <c r="L28" s="2" t="n">
        <f aca="false">(phi*beta*EXP(alpha*(2*'TaxV.Toll'!Tau+zeta)))*(1/(alpha*psi)^2)*('TaxV.Toll'!Size*EXP(alpha*psi*'TaxV.Toll'!Size))</f>
        <v>0.15033041136144</v>
      </c>
      <c r="M28" s="2" t="n">
        <f aca="false">'TaxV.Toll'!thetax*beta*(-1/(alpha*psi)^2)*EXP(alpha*('TaxV.Toll'!Tau+zeta))*(EXP(alpha*psi*'TaxV.Toll'!Size)-1)</f>
        <v>47.2880626322023</v>
      </c>
      <c r="N28" s="2" t="n">
        <f aca="false">'TaxV.Toll'!thetax*beta*(1/(alpha*psi)^2)*EXP(alpha*(2*'TaxV.Toll'!Tau+zeta+psi*'TaxV.Toll'!Size))</f>
        <v>0.0214757730516342</v>
      </c>
      <c r="P28" s="2" t="n">
        <f aca="false">Q28+R28-S28</f>
        <v>5826.45054823861</v>
      </c>
      <c r="Q28" s="2" t="n">
        <f aca="false">E28+F28</f>
        <v>6181.12458228361</v>
      </c>
      <c r="R28" s="2" t="n">
        <f aca="false">2*G28+H28</f>
        <v>660.441156137345</v>
      </c>
      <c r="S28" s="2" t="n">
        <f aca="false">I28+J28+2*K28+L28+2*M28+N28</f>
        <v>1015.11519018235</v>
      </c>
      <c r="T28" s="1" t="n">
        <f aca="false">D28</f>
        <v>6.98</v>
      </c>
      <c r="V28" s="2" t="n">
        <f aca="false">beta*(1/(alpha*psi))*(1/alpha)*((-1/alpha*psi)*(EXP(alpha*(zeta+psi*'TaxV.Toll'!Size))-EXP(alpha*zeta))+('TaxV.Toll'!Size*EXP(alpha*zeta)))</f>
        <v>5708.24395596159</v>
      </c>
      <c r="W28" s="2" t="n">
        <f aca="false">beta*(-1/(alpha*psi)^2)*(1/alpha)*(EXP(alpha*(zeta))-EXP(alpha*(zeta+psi*'TaxV.Toll'!Size)))</f>
        <v>950.362015543407</v>
      </c>
      <c r="X28" s="2" t="n">
        <f aca="false">0</f>
        <v>0</v>
      </c>
      <c r="Y28" s="2" t="n">
        <v>0</v>
      </c>
      <c r="Z28" s="2" t="n">
        <f aca="false">gamma*'TaxV.Toll'!Size</f>
        <v>350</v>
      </c>
      <c r="AA28" s="2" t="n">
        <f aca="false">phi*beta*EXP(alpha*(zeta))*(0-1/(alpha*psi)^2)*((2/(alpha*psi))*(EXP(alpha*psi*'TaxV.Toll'!Size)-1)-('TaxV.Toll'!Size*(EXP(alpha*psi*'TaxV.Toll'!Size)+1)))</f>
        <v>476.395380311933</v>
      </c>
      <c r="AB28" s="2" t="n">
        <f aca="false">(phi*beta*EXP(alpha*(zeta)))*(0-1/(alpha*psi)^2)*((1/(alpha*psi))*(1-EXP(alpha*psi*'TaxV.Toll'!Size))+'TaxV.Toll'!Size*EXP(alpha*psi*'TaxV.Toll'!Size))</f>
        <v>94.4290152842258</v>
      </c>
      <c r="AC28" s="2" t="n">
        <f aca="false">(phi*beta*EXP(alpha*(zeta)))*(1/(alpha*psi)^2)*('TaxV.Toll'!Size*EXP(alpha*psi*'TaxV.Toll'!Size))</f>
        <v>0.607186270114902</v>
      </c>
      <c r="AD28" s="2" t="n">
        <f aca="false">0</f>
        <v>0</v>
      </c>
      <c r="AE28" s="2" t="n">
        <v>0</v>
      </c>
      <c r="AG28" s="2" t="n">
        <f aca="false">AH28+AI28-AJ28</f>
        <v>5642.7453743545</v>
      </c>
      <c r="AH28" s="2" t="n">
        <f aca="false">V28+W28</f>
        <v>6658.605971505</v>
      </c>
      <c r="AI28" s="2" t="n">
        <f aca="false">2*X28+Y28</f>
        <v>0</v>
      </c>
      <c r="AJ28" s="2" t="n">
        <f aca="false">Z28+AA28+2*AB28+AC28+2*AD28+AE28</f>
        <v>1015.8605971505</v>
      </c>
      <c r="AL28" s="2" t="n">
        <f aca="false">AG28-P28</f>
        <v>-183.705173884106</v>
      </c>
    </row>
    <row r="29" customFormat="false" ht="14.65" hidden="false" customHeight="false" outlineLevel="0" collapsed="false">
      <c r="A29" s="0" t="n">
        <v>80</v>
      </c>
      <c r="B29" s="1" t="n">
        <v>1</v>
      </c>
      <c r="C29" s="1" t="n">
        <v>16.9744700505751</v>
      </c>
      <c r="D29" s="1" t="n">
        <v>6.99</v>
      </c>
      <c r="E29" s="2" t="n">
        <f aca="false">beta*(1/(alpha*psi))*(1/alpha)*((-1/alpha*psi)*(EXP(alpha*(zeta+psi*'TaxV.Toll'!Size))-EXP(alpha*zeta))+('TaxV.Toll'!Size*EXP(alpha*zeta)))</f>
        <v>6658.92507342748</v>
      </c>
      <c r="F29" s="2" t="n">
        <f aca="false">beta*(-1/(alpha*psi)^2)*(1/alpha)*(EXP(alpha*('TaxV.Toll'!Tau+zeta))-EXP(alpha*('TaxV.Toll'!Tau+zeta+psi*'TaxV.Toll'!Size)))</f>
        <v>472.680535690082</v>
      </c>
      <c r="G29" s="2" t="n">
        <f aca="false">'TaxV.Toll'!Tau*beta*EXP(alpha*('TaxV.Toll'!Tau+zeta))*(0-(1/(alpha*psi)^2))*(-1+EXP(alpha*psi*'TaxV.Toll'!Size))</f>
        <v>330.403694447367</v>
      </c>
      <c r="H29" s="2" t="n">
        <f aca="false">2*'TaxV.Toll'!Tau*beta*EXP(alpha*(2*'TaxV.Toll'!Tau+zeta))*(1/(alpha*psi)^2)*(EXP(alpha*psi*'TaxV.Toll'!Size))</f>
        <v>0.110228248437244</v>
      </c>
      <c r="I29" s="2" t="n">
        <f aca="false">gamma*'TaxV.Toll'!Size</f>
        <v>400</v>
      </c>
      <c r="J29" s="2" t="n">
        <f aca="false">phi*beta*EXP(alpha*(zeta))*(0-1/(alpha*psi)^2)*((2/(alpha*psi))*(EXP(alpha*psi*'TaxV.Toll'!Size)-1)-('TaxV.Toll'!Size*(EXP(alpha*psi*'TaxV.Toll'!Size)+1)))</f>
        <v>571.05675662291</v>
      </c>
      <c r="K29" s="2" t="n">
        <f aca="false">(phi*beta*EXP(alpha*('TaxV.Toll'!Tau+zeta)))*(0-1/(alpha*psi)^2)*((1/(alpha*psi))*(1-EXP(alpha*psi*'TaxV.Toll'!Size))+'TaxV.Toll'!Size*EXP(alpha*psi*'TaxV.Toll'!Size))</f>
        <v>47.1411576764498</v>
      </c>
      <c r="L29" s="2" t="n">
        <f aca="false">(phi*beta*EXP(alpha*(2*'TaxV.Toll'!Tau+zeta)))*(1/(alpha*psi)^2)*('TaxV.Toll'!Size*EXP(alpha*psi*'TaxV.Toll'!Size))</f>
        <v>0.0630776815091525</v>
      </c>
      <c r="M29" s="2" t="n">
        <f aca="false">'TaxV.Toll'!thetax*beta*(-1/(alpha*psi)^2)*EXP(alpha*('TaxV.Toll'!Tau+zeta))*(EXP(alpha*psi*'TaxV.Toll'!Size)-1)</f>
        <v>47.2680535690081</v>
      </c>
      <c r="N29" s="2" t="n">
        <f aca="false">'TaxV.Toll'!thetax*beta*(1/(alpha*psi)^2)*EXP(alpha*(2*'TaxV.Toll'!Tau+zeta+psi*'TaxV.Toll'!Size))</f>
        <v>0.00788471018864406</v>
      </c>
      <c r="P29" s="2" t="n">
        <f aca="false">Q29+R29-S29</f>
        <v>6632.57708475521</v>
      </c>
      <c r="Q29" s="2" t="n">
        <f aca="false">E29+F29</f>
        <v>7131.60560911756</v>
      </c>
      <c r="R29" s="2" t="n">
        <f aca="false">2*G29+H29</f>
        <v>660.917617143171</v>
      </c>
      <c r="S29" s="2" t="n">
        <f aca="false">I29+J29+2*K29+L29+2*M29+N29</f>
        <v>1159.94614150552</v>
      </c>
      <c r="T29" s="1" t="n">
        <f aca="false">D29</f>
        <v>6.99</v>
      </c>
      <c r="V29" s="2" t="n">
        <f aca="false">beta*(1/(alpha*psi))*(1/alpha)*((-1/alpha*psi)*(EXP(alpha*(zeta+psi*'TaxV.Toll'!Size))-EXP(alpha*zeta))+('TaxV.Toll'!Size*EXP(alpha*zeta)))</f>
        <v>6658.92507342748</v>
      </c>
      <c r="W29" s="2" t="n">
        <f aca="false">beta*(-1/(alpha*psi)^2)*(1/alpha)*(EXP(alpha*(zeta))-EXP(alpha*(zeta+psi*'TaxV.Toll'!Size)))</f>
        <v>950.910322578233</v>
      </c>
      <c r="X29" s="2" t="n">
        <f aca="false">0</f>
        <v>0</v>
      </c>
      <c r="Y29" s="2" t="n">
        <v>0</v>
      </c>
      <c r="Z29" s="2" t="n">
        <f aca="false">gamma*'TaxV.Toll'!Size</f>
        <v>400</v>
      </c>
      <c r="AA29" s="2" t="n">
        <f aca="false">phi*beta*EXP(alpha*(zeta))*(0-1/(alpha*psi)^2)*((2/(alpha*psi))*(EXP(alpha*psi*'TaxV.Toll'!Size)-1)-('TaxV.Toll'!Size*(EXP(alpha*psi*'TaxV.Toll'!Size)+1)))</f>
        <v>571.05675662291</v>
      </c>
      <c r="AB29" s="2" t="n">
        <f aca="false">(phi*beta*EXP(alpha*(zeta)))*(0-1/(alpha*psi)^2)*((1/(alpha*psi))*(1-EXP(alpha*psi*'TaxV.Toll'!Size))+'TaxV.Toll'!Size*EXP(alpha*psi*'TaxV.Toll'!Size))</f>
        <v>94.8357507198383</v>
      </c>
      <c r="AC29" s="2" t="n">
        <f aca="false">(phi*beta*EXP(alpha*(zeta)))*(1/(alpha*psi)^2)*('TaxV.Toll'!Size*EXP(alpha*psi*'TaxV.Toll'!Size))</f>
        <v>0.255281537984963</v>
      </c>
      <c r="AD29" s="2" t="n">
        <f aca="false">0</f>
        <v>0</v>
      </c>
      <c r="AE29" s="2" t="n">
        <v>0</v>
      </c>
      <c r="AG29" s="2" t="n">
        <f aca="false">AH29+AI29-AJ29</f>
        <v>6448.85185640514</v>
      </c>
      <c r="AH29" s="2" t="n">
        <f aca="false">V29+W29</f>
        <v>7609.83539600571</v>
      </c>
      <c r="AI29" s="2" t="n">
        <f aca="false">2*X29+Y29</f>
        <v>0</v>
      </c>
      <c r="AJ29" s="2" t="n">
        <f aca="false">Z29+AA29+2*AB29+AC29+2*AD29+AE29</f>
        <v>1160.98353960057</v>
      </c>
      <c r="AL29" s="2" t="n">
        <f aca="false">AG29-P29</f>
        <v>-183.725228350067</v>
      </c>
    </row>
    <row r="30" customFormat="false" ht="14.65" hidden="false" customHeight="false" outlineLevel="0" collapsed="false">
      <c r="A30" s="0" t="n">
        <v>90</v>
      </c>
      <c r="B30" s="1" t="n">
        <v>1</v>
      </c>
      <c r="C30" s="1" t="n">
        <v>16.9894991503708</v>
      </c>
      <c r="D30" s="1" t="n">
        <v>7</v>
      </c>
      <c r="E30" s="2" t="n">
        <f aca="false">beta*(1/(alpha*psi))*(1/alpha)*((-1/alpha*psi)*(EXP(alpha*(zeta+psi*'TaxV.Toll'!Size))-EXP(alpha*zeta))+('TaxV.Toll'!Size*EXP(alpha*zeta)))</f>
        <v>7609.95278704263</v>
      </c>
      <c r="F30" s="2" t="n">
        <f aca="false">beta*(-1/(alpha*psi)^2)*(1/alpha)*(EXP(alpha*('TaxV.Toll'!Tau+zeta))-EXP(alpha*('TaxV.Toll'!Tau+zeta+psi*'TaxV.Toll'!Size)))</f>
        <v>472.308258077284</v>
      </c>
      <c r="G30" s="2" t="n">
        <f aca="false">'TaxV.Toll'!Tau*beta*EXP(alpha*('TaxV.Toll'!Tau+zeta))*(0-(1/(alpha*psi)^2))*(-1+EXP(alpha*psi*'TaxV.Toll'!Size))</f>
        <v>330.615780654099</v>
      </c>
      <c r="H30" s="2" t="n">
        <f aca="false">2*'TaxV.Toll'!Tau*beta*EXP(alpha*(2*'TaxV.Toll'!Tau+zeta))*(1/(alpha*psi)^2)*(EXP(alpha*psi*'TaxV.Toll'!Size))</f>
        <v>0.0405275826174962</v>
      </c>
      <c r="I30" s="2" t="n">
        <f aca="false">gamma*'TaxV.Toll'!Size</f>
        <v>450</v>
      </c>
      <c r="J30" s="2" t="n">
        <f aca="false">phi*beta*EXP(alpha*(zeta))*(0-1/(alpha*psi)^2)*((2/(alpha*psi))*(EXP(alpha*psi*'TaxV.Toll'!Size)-1)-('TaxV.Toll'!Size*(EXP(alpha*psi*'TaxV.Toll'!Size)+1)))</f>
        <v>665.989727291111</v>
      </c>
      <c r="K30" s="2" t="n">
        <f aca="false">(phi*beta*EXP(alpha*('TaxV.Toll'!Tau+zeta)))*(0-1/(alpha*psi)^2)*((1/(alpha*psi))*(1-EXP(alpha*psi*'TaxV.Toll'!Size))+'TaxV.Toll'!Size*EXP(alpha*psi*'TaxV.Toll'!Size))</f>
        <v>47.1783606103706</v>
      </c>
      <c r="L30" s="2" t="n">
        <f aca="false">(phi*beta*EXP(alpha*(2*'TaxV.Toll'!Tau+zeta)))*(1/(alpha*psi)^2)*('TaxV.Toll'!Size*EXP(alpha*psi*'TaxV.Toll'!Size))</f>
        <v>0.0260534459683904</v>
      </c>
      <c r="M30" s="2" t="n">
        <f aca="false">'TaxV.Toll'!thetax*beta*(-1/(alpha*psi)^2)*EXP(alpha*('TaxV.Toll'!Tau+zeta))*(EXP(alpha*psi*'TaxV.Toll'!Size)-1)</f>
        <v>47.2308258077284</v>
      </c>
      <c r="N30" s="2" t="n">
        <f aca="false">'TaxV.Toll'!thetax*beta*(1/(alpha*psi)^2)*EXP(alpha*(2*'TaxV.Toll'!Tau+zeta+psi*'TaxV.Toll'!Size))</f>
        <v>0.00289482732982115</v>
      </c>
      <c r="P30" s="2" t="n">
        <f aca="false">Q30+R30-S30</f>
        <v>7438.69608561012</v>
      </c>
      <c r="Q30" s="2" t="n">
        <f aca="false">E30+F30</f>
        <v>8082.26104511992</v>
      </c>
      <c r="R30" s="2" t="n">
        <f aca="false">2*G30+H30</f>
        <v>661.272088890815</v>
      </c>
      <c r="S30" s="2" t="n">
        <f aca="false">I30+J30+2*K30+L30+2*M30+N30</f>
        <v>1304.83704840061</v>
      </c>
      <c r="T30" s="1" t="n">
        <f aca="false">D30</f>
        <v>7</v>
      </c>
      <c r="V30" s="2" t="n">
        <f aca="false">beta*(1/(alpha*psi))*(1/alpha)*((-1/alpha*psi)*(EXP(alpha*(zeta+psi*'TaxV.Toll'!Size))-EXP(alpha*zeta))+('TaxV.Toll'!Size*EXP(alpha*zeta)))</f>
        <v>7609.95278704263</v>
      </c>
      <c r="W30" s="2" t="n">
        <f aca="false">beta*(-1/(alpha*psi)^2)*(1/alpha)*(EXP(alpha*(zeta))-EXP(alpha*(zeta+psi*'TaxV.Toll'!Size)))</f>
        <v>951.112033463795</v>
      </c>
      <c r="X30" s="2" t="n">
        <f aca="false">0</f>
        <v>0</v>
      </c>
      <c r="Y30" s="2" t="n">
        <v>0</v>
      </c>
      <c r="Z30" s="2" t="n">
        <f aca="false">gamma*'TaxV.Toll'!Size</f>
        <v>450</v>
      </c>
      <c r="AA30" s="2" t="n">
        <f aca="false">phi*beta*EXP(alpha*(zeta))*(0-1/(alpha*psi)^2)*((2/(alpha*psi))*(EXP(alpha*psi*'TaxV.Toll'!Size)-1)-('TaxV.Toll'!Size*(EXP(alpha*psi*'TaxV.Toll'!Size)+1)))</f>
        <v>665.989727291111</v>
      </c>
      <c r="AB30" s="2" t="n">
        <f aca="false">(phi*beta*EXP(alpha*(zeta)))*(0-1/(alpha*psi)^2)*((1/(alpha*psi))*(1-EXP(alpha*psi*'TaxV.Toll'!Size))+'TaxV.Toll'!Size*EXP(alpha*psi*'TaxV.Toll'!Size))</f>
        <v>95.0055514131523</v>
      </c>
      <c r="AC30" s="2" t="n">
        <f aca="false">(phi*beta*EXP(alpha*(zeta)))*(1/(alpha*psi)^2)*('TaxV.Toll'!Size*EXP(alpha*psi*'TaxV.Toll'!Size))</f>
        <v>0.105651933227206</v>
      </c>
      <c r="AD30" s="2" t="n">
        <f aca="false">0</f>
        <v>0</v>
      </c>
      <c r="AE30" s="2" t="n">
        <v>0</v>
      </c>
      <c r="AG30" s="2" t="n">
        <f aca="false">AH30+AI30-AJ30</f>
        <v>7254.95833845578</v>
      </c>
      <c r="AH30" s="2" t="n">
        <f aca="false">V30+W30</f>
        <v>8561.06482050643</v>
      </c>
      <c r="AI30" s="2" t="n">
        <f aca="false">2*X30+Y30</f>
        <v>0</v>
      </c>
      <c r="AJ30" s="2" t="n">
        <f aca="false">Z30+AA30+2*AB30+AC30+2*AD30+AE30</f>
        <v>1306.10648205064</v>
      </c>
      <c r="AL30" s="2" t="n">
        <f aca="false">AG30-P30</f>
        <v>-183.737747154339</v>
      </c>
    </row>
    <row r="31" customFormat="false" ht="14.65" hidden="false" customHeight="false" outlineLevel="0" collapsed="false">
      <c r="A31" s="0" t="n">
        <v>100</v>
      </c>
      <c r="B31" s="1" t="n">
        <v>1</v>
      </c>
      <c r="C31" s="1" t="n">
        <v>16.9957272903307</v>
      </c>
      <c r="D31" s="1" t="n">
        <v>7.01</v>
      </c>
      <c r="E31" s="2" t="n">
        <f aca="false">beta*(1/(alpha*psi))*(1/alpha)*((-1/alpha*psi)*(EXP(alpha*(zeta+psi*'TaxV.Toll'!Size))-EXP(alpha*zeta))+('TaxV.Toll'!Size*EXP(alpha*zeta)))</f>
        <v>8561.10800625549</v>
      </c>
      <c r="F31" s="2" t="n">
        <f aca="false">beta*(-1/(alpha*psi)^2)*(1/alpha)*(EXP(alpha*('TaxV.Toll'!Tau+zeta))-EXP(alpha*('TaxV.Toll'!Tau+zeta+psi*'TaxV.Toll'!Size)))</f>
        <v>471.872998319215</v>
      </c>
      <c r="G31" s="2" t="n">
        <f aca="false">'TaxV.Toll'!Tau*beta*EXP(alpha*('TaxV.Toll'!Tau+zeta))*(0-(1/(alpha*psi)^2))*(-1+EXP(alpha*psi*'TaxV.Toll'!Size))</f>
        <v>330.782971821769</v>
      </c>
      <c r="H31" s="2" t="n">
        <f aca="false">2*'TaxV.Toll'!Tau*beta*EXP(alpha*(2*'TaxV.Toll'!Tau+zeta))*(1/(alpha*psi)^2)*(EXP(alpha*psi*'TaxV.Toll'!Size))</f>
        <v>0.0149007321090018</v>
      </c>
      <c r="I31" s="2" t="n">
        <f aca="false">gamma*'TaxV.Toll'!Size</f>
        <v>500</v>
      </c>
      <c r="J31" s="2" t="n">
        <f aca="false">phi*beta*EXP(alpha*(zeta))*(0-1/(alpha*psi)^2)*((2/(alpha*psi))*(EXP(alpha*psi*'TaxV.Toll'!Size)-1)-('TaxV.Toll'!Size*(EXP(alpha*psi*'TaxV.Toll'!Size)+1)))</f>
        <v>761.035362499444</v>
      </c>
      <c r="K31" s="2" t="n">
        <f aca="false">(phi*beta*EXP(alpha*('TaxV.Toll'!Tau+zeta)))*(0-1/(alpha*psi)^2)*((1/(alpha*psi))*(1-EXP(alpha*psi*'TaxV.Toll'!Size))+'TaxV.Toll'!Size*EXP(alpha*psi*'TaxV.Toll'!Size))</f>
        <v>47.1658758582941</v>
      </c>
      <c r="L31" s="2" t="n">
        <f aca="false">(phi*beta*EXP(alpha*(2*'TaxV.Toll'!Tau+zeta)))*(1/(alpha*psi)^2)*('TaxV.Toll'!Size*EXP(alpha*psi*'TaxV.Toll'!Size))</f>
        <v>0.0106281969393736</v>
      </c>
      <c r="M31" s="2" t="n">
        <f aca="false">'TaxV.Toll'!thetax*beta*(-1/(alpha*psi)^2)*EXP(alpha*('TaxV.Toll'!Tau+zeta))*(EXP(alpha*psi*'TaxV.Toll'!Size)-1)</f>
        <v>47.1872998319215</v>
      </c>
      <c r="N31" s="2" t="n">
        <f aca="false">'TaxV.Toll'!thetax*beta*(1/(alpha*psi)^2)*EXP(alpha*(2*'TaxV.Toll'!Tau+zeta+psi*'TaxV.Toll'!Size))</f>
        <v>0.00106281969393736</v>
      </c>
      <c r="P31" s="2" t="n">
        <f aca="false">Q31+R31-S31</f>
        <v>8244.80844405384</v>
      </c>
      <c r="Q31" s="2" t="n">
        <f aca="false">E31+F31</f>
        <v>9032.9810045747</v>
      </c>
      <c r="R31" s="2" t="n">
        <f aca="false">2*G31+H31</f>
        <v>661.580844375648</v>
      </c>
      <c r="S31" s="2" t="n">
        <f aca="false">I31+J31+2*K31+L31+2*M31+N31</f>
        <v>1449.75340489651</v>
      </c>
      <c r="T31" s="1" t="n">
        <f aca="false">D31</f>
        <v>7.01</v>
      </c>
      <c r="V31" s="2" t="n">
        <f aca="false">beta*(1/(alpha*psi))*(1/alpha)*((-1/alpha*psi)*(EXP(alpha*(zeta+psi*'TaxV.Toll'!Size))-EXP(alpha*zeta))+('TaxV.Toll'!Size*EXP(alpha*zeta)))</f>
        <v>8561.10800625549</v>
      </c>
      <c r="W31" s="2" t="n">
        <f aca="false">beta*(-1/(alpha*psi)^2)*(1/alpha)*(EXP(alpha*(zeta))-EXP(alpha*(zeta+psi*'TaxV.Toll'!Size)))</f>
        <v>951.186238751654</v>
      </c>
      <c r="X31" s="2" t="n">
        <f aca="false">0</f>
        <v>0</v>
      </c>
      <c r="Y31" s="2" t="n">
        <v>0</v>
      </c>
      <c r="Z31" s="2" t="n">
        <f aca="false">gamma*'TaxV.Toll'!Size</f>
        <v>500</v>
      </c>
      <c r="AA31" s="2" t="n">
        <f aca="false">phi*beta*EXP(alpha*(zeta))*(0-1/(alpha*psi)^2)*((2/(alpha*psi))*(EXP(alpha*psi*'TaxV.Toll'!Size)-1)-('TaxV.Toll'!Size*(EXP(alpha*psi*'TaxV.Toll'!Size)+1)))</f>
        <v>761.035362499444</v>
      </c>
      <c r="AB31" s="2" t="n">
        <f aca="false">(phi*beta*EXP(alpha*(zeta)))*(0-1/(alpha*psi)^2)*((1/(alpha*psi))*(1-EXP(alpha*psi*'TaxV.Toll'!Size))+'TaxV.Toll'!Size*EXP(alpha*psi*'TaxV.Toll'!Size))</f>
        <v>95.075438126105</v>
      </c>
      <c r="AC31" s="2" t="n">
        <f aca="false">(phi*beta*EXP(alpha*(zeta)))*(1/(alpha*psi)^2)*('TaxV.Toll'!Size*EXP(alpha*psi*'TaxV.Toll'!Size))</f>
        <v>0.0431857490603413</v>
      </c>
      <c r="AD31" s="2" t="n">
        <f aca="false">0</f>
        <v>0</v>
      </c>
      <c r="AE31" s="2" t="n">
        <v>0</v>
      </c>
      <c r="AG31" s="2" t="n">
        <f aca="false">AH31+AI31-AJ31</f>
        <v>8061.06482050643</v>
      </c>
      <c r="AH31" s="2" t="n">
        <f aca="false">V31+W31</f>
        <v>9512.29424500714</v>
      </c>
      <c r="AI31" s="2" t="n">
        <f aca="false">2*X31+Y31</f>
        <v>0</v>
      </c>
      <c r="AJ31" s="2" t="n">
        <f aca="false">Z31+AA31+2*AB31+AC31+2*AD31+AE31</f>
        <v>1451.22942450071</v>
      </c>
      <c r="AL31" s="2" t="n">
        <f aca="false">AG31-P31</f>
        <v>-183.743623547416</v>
      </c>
    </row>
    <row r="32" customFormat="false" ht="14.65" hidden="false" customHeight="false" outlineLevel="0" collapsed="false">
      <c r="A32" s="0" t="n">
        <v>1000</v>
      </c>
      <c r="B32" s="1" t="n">
        <v>1</v>
      </c>
      <c r="C32" s="1" t="n">
        <v>17.0000332562097</v>
      </c>
      <c r="D32" s="1" t="n">
        <v>7.02</v>
      </c>
      <c r="E32" s="2" t="n">
        <f aca="false">beta*(1/(alpha*psi))*(1/alpha)*((-1/alpha*psi)*(EXP(alpha*(zeta+psi*'TaxV.Toll'!Size))-EXP(alpha*zeta))+('TaxV.Toll'!Size*EXP(alpha*zeta)))</f>
        <v>94171.7130255707</v>
      </c>
      <c r="F32" s="2" t="n">
        <f aca="false">beta*(-1/(alpha*psi)^2)*(1/alpha)*(EXP(alpha*('TaxV.Toll'!Tau+zeta))-EXP(alpha*('TaxV.Toll'!Tau+zeta+psi*'TaxV.Toll'!Size)))</f>
        <v>471.422763739131</v>
      </c>
      <c r="G32" s="2" t="n">
        <f aca="false">'TaxV.Toll'!Tau*beta*EXP(alpha*('TaxV.Toll'!Tau+zeta))*(0-(1/(alpha*psi)^2))*(-1+EXP(alpha*psi*'TaxV.Toll'!Size))</f>
        <v>330.93878014487</v>
      </c>
      <c r="H32" s="2" t="n">
        <f aca="false">2*'TaxV.Toll'!Tau*beta*EXP(alpha*(2*'TaxV.Toll'!Tau+zeta))*(1/(alpha*psi)^2)*(EXP(alpha*psi*'TaxV.Toll'!Size))</f>
        <v>1.22026664622287E-041</v>
      </c>
      <c r="I32" s="2" t="n">
        <f aca="false">gamma*'TaxV.Toll'!Size</f>
        <v>5000</v>
      </c>
      <c r="J32" s="2" t="n">
        <f aca="false">phi*beta*EXP(alpha*(zeta))*(0-1/(alpha*psi)^2)*((2/(alpha*psi))*(EXP(alpha*psi*'TaxV.Toll'!Size)-1)-('TaxV.Toll'!Size*(EXP(alpha*psi*'TaxV.Toll'!Size)+1)))</f>
        <v>9322.048360107</v>
      </c>
      <c r="K32" s="2" t="n">
        <f aca="false">(phi*beta*EXP(alpha*('TaxV.Toll'!Tau+zeta)))*(0-1/(alpha*psi)^2)*((1/(alpha*psi))*(1-EXP(alpha*psi*'TaxV.Toll'!Size))+'TaxV.Toll'!Size*EXP(alpha*psi*'TaxV.Toll'!Size))</f>
        <v>47.1422763739131</v>
      </c>
      <c r="L32" s="2" t="n">
        <f aca="false">(phi*beta*EXP(alpha*(2*'TaxV.Toll'!Tau+zeta)))*(1/(alpha*psi)^2)*('TaxV.Toll'!Size*EXP(alpha*psi*'TaxV.Toll'!Size))</f>
        <v>8.69135787908028E-041</v>
      </c>
      <c r="M32" s="2" t="n">
        <f aca="false">'TaxV.Toll'!thetax*beta*(-1/(alpha*psi)^2)*EXP(alpha*('TaxV.Toll'!Tau+zeta))*(EXP(alpha*psi*'TaxV.Toll'!Size)-1)</f>
        <v>47.1422763739131</v>
      </c>
      <c r="N32" s="2" t="n">
        <f aca="false">'TaxV.Toll'!thetax*beta*(1/(alpha*psi)^2)*EXP(alpha*(2*'TaxV.Toll'!Tau+zeta+psi*'TaxV.Toll'!Size))</f>
        <v>8.69135787908021E-043</v>
      </c>
      <c r="P32" s="2" t="n">
        <f aca="false">Q32+R32-S32</f>
        <v>80794.3958839969</v>
      </c>
      <c r="Q32" s="2" t="n">
        <f aca="false">E32+F32</f>
        <v>94643.1357893098</v>
      </c>
      <c r="R32" s="2" t="n">
        <f aca="false">2*G32+H32</f>
        <v>661.87756028974</v>
      </c>
      <c r="S32" s="2" t="n">
        <f aca="false">I32+J32+2*K32+L32+2*M32+N32</f>
        <v>14510.6174656026</v>
      </c>
      <c r="T32" s="1" t="n">
        <f aca="false">D32</f>
        <v>7.02</v>
      </c>
      <c r="V32" s="2" t="n">
        <f aca="false">beta*(1/(alpha*psi))*(1/alpha)*((-1/alpha*psi)*(EXP(alpha*(zeta+psi*'TaxV.Toll'!Size))-EXP(alpha*zeta))+('TaxV.Toll'!Size*EXP(alpha*zeta)))</f>
        <v>94171.7130255707</v>
      </c>
      <c r="W32" s="2" t="n">
        <f aca="false">beta*(-1/(alpha*psi)^2)*(1/alpha)*(EXP(alpha*(zeta))-EXP(alpha*(zeta+psi*'TaxV.Toll'!Size)))</f>
        <v>951.229424500714</v>
      </c>
      <c r="X32" s="2" t="n">
        <f aca="false">0</f>
        <v>0</v>
      </c>
      <c r="Y32" s="2" t="n">
        <v>0</v>
      </c>
      <c r="Z32" s="2" t="n">
        <f aca="false">gamma*'TaxV.Toll'!Size</f>
        <v>5000</v>
      </c>
      <c r="AA32" s="2" t="n">
        <f aca="false">phi*beta*EXP(alpha*(zeta))*(0-1/(alpha*psi)^2)*((2/(alpha*psi))*(EXP(alpha*psi*'TaxV.Toll'!Size)-1)-('TaxV.Toll'!Size*(EXP(alpha*psi*'TaxV.Toll'!Size)+1)))</f>
        <v>9322.048360107</v>
      </c>
      <c r="AB32" s="2" t="n">
        <f aca="false">(phi*beta*EXP(alpha*(zeta)))*(0-1/(alpha*psi)^2)*((1/(alpha*psi))*(1-EXP(alpha*psi*'TaxV.Toll'!Size))+'TaxV.Toll'!Size*EXP(alpha*psi*'TaxV.Toll'!Size))</f>
        <v>95.1229424500714</v>
      </c>
      <c r="AC32" s="2" t="n">
        <f aca="false">(phi*beta*EXP(alpha*(zeta)))*(1/(alpha*psi)^2)*('TaxV.Toll'!Size*EXP(alpha*psi*'TaxV.Toll'!Size))</f>
        <v>3.53864572976923E-040</v>
      </c>
      <c r="AD32" s="2" t="n">
        <f aca="false">0</f>
        <v>0</v>
      </c>
      <c r="AE32" s="2" t="n">
        <v>0</v>
      </c>
      <c r="AG32" s="2" t="n">
        <f aca="false">AH32+AI32-AJ32</f>
        <v>80610.6482050643</v>
      </c>
      <c r="AH32" s="2" t="n">
        <f aca="false">V32+W32</f>
        <v>95122.9424500714</v>
      </c>
      <c r="AI32" s="2" t="n">
        <f aca="false">2*X32+Y32</f>
        <v>0</v>
      </c>
      <c r="AJ32" s="2" t="n">
        <f aca="false">Z32+AA32+2*AB32+AC32+2*AD32+AE32</f>
        <v>14512.2942450071</v>
      </c>
      <c r="AL32" s="2" t="n">
        <f aca="false">AG32-P32</f>
        <v>-183.747678932661</v>
      </c>
    </row>
    <row r="33" customFormat="false" ht="14.65" hidden="false" customHeight="false" outlineLevel="0" collapsed="false">
      <c r="A33" s="0" t="n">
        <v>10000</v>
      </c>
      <c r="B33" s="1" t="n">
        <v>1</v>
      </c>
      <c r="C33" s="1" t="n">
        <v>17.01</v>
      </c>
      <c r="D33" s="1" t="n">
        <v>7.02021396780895</v>
      </c>
      <c r="E33" s="2" t="n">
        <f aca="false">beta*(1/(alpha*psi))*(1/alpha)*((-1/alpha*psi)*(EXP(alpha*(zeta+psi*'TaxV.Toll'!Size))-EXP(alpha*zeta))+('TaxV.Toll'!Size*EXP(alpha*zeta)))</f>
        <v>950278.195076213</v>
      </c>
      <c r="F33" s="2" t="n">
        <f aca="false">beta*(-1/(alpha*psi)^2)*(1/alpha)*(EXP(alpha*('TaxV.Toll'!Tau+zeta))-EXP(alpha*('TaxV.Toll'!Tau+zeta+psi*'TaxV.Toll'!Size)))</f>
        <v>471.412676917459</v>
      </c>
      <c r="G33" s="2" t="n">
        <f aca="false">'TaxV.Toll'!Tau*beta*EXP(alpha*('TaxV.Toll'!Tau+zeta))*(0-(1/(alpha*psi)^2))*(-1+EXP(alpha*psi*'TaxV.Toll'!Size))</f>
        <v>330.941785909816</v>
      </c>
      <c r="H33" s="2" t="n">
        <f aca="false">2*'TaxV.Toll'!Tau*beta*EXP(alpha*(2*'TaxV.Toll'!Tau+zeta))*(1/(alpha*psi)^2)*(EXP(alpha*psi*'TaxV.Toll'!Size))</f>
        <v>0</v>
      </c>
      <c r="I33" s="2" t="n">
        <f aca="false">gamma*'TaxV.Toll'!Size</f>
        <v>50000</v>
      </c>
      <c r="J33" s="2" t="n">
        <f aca="false">phi*beta*EXP(alpha*(zeta))*(0-1/(alpha*psi)^2)*((2/(alpha*psi))*(EXP(alpha*psi*'TaxV.Toll'!Size)-1)-('TaxV.Toll'!Size*(EXP(alpha*psi*'TaxV.Toll'!Size)+1)))</f>
        <v>94932.6965651713</v>
      </c>
      <c r="K33" s="2" t="n">
        <f aca="false">(phi*beta*EXP(alpha*('TaxV.Toll'!Tau+zeta)))*(0-1/(alpha*psi)^2)*((1/(alpha*psi))*(1-EXP(alpha*psi*'TaxV.Toll'!Size))+'TaxV.Toll'!Size*EXP(alpha*psi*'TaxV.Toll'!Size))</f>
        <v>47.1412676917459</v>
      </c>
      <c r="L33" s="2" t="n">
        <f aca="false">(phi*beta*EXP(alpha*(2*'TaxV.Toll'!Tau+zeta)))*(1/(alpha*psi)^2)*('TaxV.Toll'!Size*EXP(alpha*psi*'TaxV.Toll'!Size))</f>
        <v>0</v>
      </c>
      <c r="M33" s="2" t="n">
        <f aca="false">'TaxV.Toll'!thetax*beta*(-1/(alpha*psi)^2)*EXP(alpha*('TaxV.Toll'!Tau+zeta))*(EXP(alpha*psi*'TaxV.Toll'!Size)-1)</f>
        <v>47.1412676917459</v>
      </c>
      <c r="N33" s="2" t="n">
        <f aca="false">'TaxV.Toll'!thetax*beta*(1/(alpha*psi)^2)*EXP(alpha*(2*'TaxV.Toll'!Tau+zeta+psi*'TaxV.Toll'!Size))</f>
        <v>0</v>
      </c>
      <c r="P33" s="2" t="n">
        <f aca="false">Q33+R33-S33</f>
        <v>806290.229689012</v>
      </c>
      <c r="Q33" s="2" t="n">
        <f aca="false">E33+F33</f>
        <v>950749.607753131</v>
      </c>
      <c r="R33" s="2" t="n">
        <f aca="false">2*G33+H33</f>
        <v>661.883571819631</v>
      </c>
      <c r="S33" s="2" t="n">
        <f aca="false">I33+J33+2*K33+L33+2*M33+N33</f>
        <v>145121.261635938</v>
      </c>
      <c r="T33" s="1" t="n">
        <f aca="false">D33</f>
        <v>7.02021396780895</v>
      </c>
      <c r="V33" s="2" t="n">
        <f aca="false">beta*(1/(alpha*psi))*(1/alpha)*((-1/alpha*psi)*(EXP(alpha*(zeta+psi*'TaxV.Toll'!Size))-EXP(alpha*zeta))+('TaxV.Toll'!Size*EXP(alpha*zeta)))</f>
        <v>950278.195076213</v>
      </c>
      <c r="W33" s="2" t="n">
        <f aca="false">beta*(-1/(alpha*psi)^2)*(1/alpha)*(EXP(alpha*(zeta))-EXP(alpha*(zeta+psi*'TaxV.Toll'!Size)))</f>
        <v>951.229424500714</v>
      </c>
      <c r="X33" s="2" t="n">
        <f aca="false">0</f>
        <v>0</v>
      </c>
      <c r="Y33" s="2" t="n">
        <v>0</v>
      </c>
      <c r="Z33" s="2" t="n">
        <f aca="false">gamma*'TaxV.Toll'!Size</f>
        <v>50000</v>
      </c>
      <c r="AA33" s="2" t="n">
        <f aca="false">phi*beta*EXP(alpha*(zeta))*(0-1/(alpha*psi)^2)*((2/(alpha*psi))*(EXP(alpha*psi*'TaxV.Toll'!Size)-1)-('TaxV.Toll'!Size*(EXP(alpha*psi*'TaxV.Toll'!Size)+1)))</f>
        <v>94932.6965651713</v>
      </c>
      <c r="AB33" s="2" t="n">
        <f aca="false">(phi*beta*EXP(alpha*(zeta)))*(0-1/(alpha*psi)^2)*((1/(alpha*psi))*(1-EXP(alpha*psi*'TaxV.Toll'!Size))+'TaxV.Toll'!Size*EXP(alpha*psi*'TaxV.Toll'!Size))</f>
        <v>95.1229424500714</v>
      </c>
      <c r="AC33" s="2" t="n">
        <f aca="false">(phi*beta*EXP(alpha*(zeta)))*(1/(alpha*psi)^2)*('TaxV.Toll'!Size*EXP(alpha*psi*'TaxV.Toll'!Size))</f>
        <v>0</v>
      </c>
      <c r="AD33" s="2" t="n">
        <f aca="false">0</f>
        <v>0</v>
      </c>
      <c r="AE33" s="2" t="n">
        <v>0</v>
      </c>
      <c r="AG33" s="2" t="n">
        <f aca="false">AH33+AI33-AJ33</f>
        <v>806106.482050643</v>
      </c>
      <c r="AH33" s="2" t="n">
        <f aca="false">V33+W33</f>
        <v>951229.424500714</v>
      </c>
      <c r="AI33" s="2" t="n">
        <f aca="false">2*X33+Y33</f>
        <v>0</v>
      </c>
      <c r="AJ33" s="2" t="n">
        <f aca="false">Z33+AA33+2*AB33+AC33+2*AD33+AE33</f>
        <v>145122.942450071</v>
      </c>
      <c r="AL33" s="2" t="n">
        <f aca="false">AG33-P33</f>
        <v>-183.747638369678</v>
      </c>
    </row>
    <row r="34" customFormat="false" ht="14.65" hidden="false" customHeight="false" outlineLevel="0" collapsed="false">
      <c r="C34" s="1"/>
      <c r="D34" s="1"/>
      <c r="E34" s="2"/>
      <c r="F34" s="2"/>
      <c r="G34" s="2"/>
      <c r="H34" s="2"/>
      <c r="I34" s="2"/>
      <c r="J34" s="2"/>
      <c r="K34" s="2"/>
      <c r="L34" s="2"/>
      <c r="M34" s="2"/>
      <c r="N34" s="2"/>
      <c r="P34" s="2"/>
      <c r="Q34" s="2"/>
      <c r="R34" s="2"/>
      <c r="S34" s="2"/>
      <c r="T34" s="1"/>
      <c r="V34" s="2"/>
      <c r="W34" s="2"/>
      <c r="X34" s="2"/>
      <c r="Y34" s="2"/>
      <c r="Z34" s="2"/>
      <c r="AA34" s="2"/>
      <c r="AB34" s="2"/>
      <c r="AC34" s="2"/>
      <c r="AD34" s="2"/>
      <c r="AE34" s="2"/>
      <c r="AG34" s="2"/>
      <c r="AH34" s="2"/>
      <c r="AI34" s="2"/>
      <c r="AJ34" s="2"/>
      <c r="AL34" s="2"/>
    </row>
    <row r="35" customFormat="false" ht="14.65" hidden="false" customHeight="false" outlineLevel="0" collapsed="false">
      <c r="C35" s="1"/>
      <c r="D35" s="1"/>
      <c r="E35" s="2"/>
      <c r="F35" s="2"/>
      <c r="G35" s="2"/>
      <c r="H35" s="2"/>
      <c r="I35" s="2"/>
      <c r="J35" s="2"/>
      <c r="K35" s="2"/>
      <c r="L35" s="2"/>
      <c r="M35" s="2"/>
      <c r="N35" s="2"/>
      <c r="P35" s="2"/>
      <c r="Q35" s="2"/>
      <c r="R35" s="2"/>
      <c r="S35" s="2"/>
      <c r="T35" s="1"/>
      <c r="V35" s="2"/>
      <c r="W35" s="2"/>
      <c r="X35" s="2"/>
      <c r="Y35" s="2"/>
      <c r="Z35" s="2"/>
      <c r="AA35" s="2"/>
      <c r="AB35" s="2"/>
      <c r="AC35" s="2"/>
      <c r="AD35" s="2"/>
      <c r="AE35" s="2"/>
      <c r="AG35" s="2"/>
      <c r="AH35" s="2"/>
      <c r="AI35" s="2"/>
      <c r="AJ35" s="2"/>
      <c r="AL35" s="2"/>
    </row>
    <row r="36" customFormat="false" ht="14.65" hidden="false" customHeight="false" outlineLevel="0" collapsed="false">
      <c r="C36" s="1"/>
      <c r="D36" s="1"/>
      <c r="E36" s="2"/>
      <c r="F36" s="2"/>
      <c r="G36" s="2"/>
      <c r="H36" s="2"/>
      <c r="I36" s="2"/>
      <c r="J36" s="2"/>
      <c r="K36" s="2"/>
      <c r="L36" s="2"/>
      <c r="M36" s="2"/>
      <c r="N36" s="2"/>
      <c r="P36" s="2"/>
      <c r="Q36" s="2"/>
      <c r="R36" s="2"/>
      <c r="S36" s="2"/>
      <c r="T36" s="1"/>
      <c r="V36" s="2"/>
      <c r="W36" s="2"/>
      <c r="X36" s="2"/>
      <c r="Y36" s="2"/>
      <c r="Z36" s="2"/>
      <c r="AA36" s="2"/>
      <c r="AB36" s="2"/>
      <c r="AC36" s="2"/>
      <c r="AD36" s="2"/>
      <c r="AE36" s="2"/>
      <c r="AG36" s="2"/>
      <c r="AH36" s="2"/>
      <c r="AI36" s="2"/>
      <c r="AJ36" s="2"/>
      <c r="AL36" s="2"/>
    </row>
    <row r="37" customFormat="false" ht="14.65" hidden="false" customHeight="false" outlineLevel="0" collapsed="false">
      <c r="C37" s="1"/>
      <c r="D37" s="1"/>
      <c r="E37" s="2"/>
      <c r="F37" s="2"/>
      <c r="G37" s="2"/>
      <c r="H37" s="2"/>
      <c r="I37" s="2"/>
      <c r="J37" s="2"/>
      <c r="K37" s="2"/>
      <c r="L37" s="2"/>
      <c r="M37" s="2"/>
      <c r="N37" s="2"/>
      <c r="P37" s="2"/>
      <c r="Q37" s="2"/>
      <c r="R37" s="2"/>
      <c r="S37" s="2"/>
      <c r="T37" s="1"/>
      <c r="V37" s="2"/>
      <c r="W37" s="2"/>
      <c r="X37" s="2"/>
      <c r="Y37" s="2"/>
      <c r="Z37" s="2"/>
      <c r="AA37" s="2"/>
      <c r="AB37" s="2"/>
      <c r="AC37" s="2"/>
      <c r="AD37" s="2"/>
      <c r="AE37" s="2"/>
      <c r="AG37" s="2"/>
      <c r="AH37" s="2"/>
      <c r="AI37" s="2"/>
      <c r="AJ37" s="2"/>
      <c r="AL37" s="2"/>
    </row>
    <row r="38" customFormat="false" ht="14.65" hidden="false" customHeight="false" outlineLevel="0" collapsed="false">
      <c r="C38" s="1"/>
      <c r="D38" s="1"/>
      <c r="E38" s="2"/>
      <c r="F38" s="2"/>
      <c r="G38" s="2"/>
      <c r="H38" s="2"/>
      <c r="I38" s="2"/>
      <c r="J38" s="2"/>
      <c r="K38" s="2"/>
      <c r="L38" s="2"/>
      <c r="M38" s="2"/>
      <c r="N38" s="2"/>
      <c r="P38" s="2"/>
      <c r="Q38" s="2"/>
      <c r="R38" s="2"/>
      <c r="S38" s="2"/>
      <c r="T38" s="1"/>
      <c r="V38" s="2"/>
      <c r="W38" s="2"/>
      <c r="X38" s="2"/>
      <c r="Y38" s="2"/>
      <c r="Z38" s="2"/>
      <c r="AA38" s="2"/>
      <c r="AB38" s="2"/>
      <c r="AC38" s="2"/>
      <c r="AD38" s="2"/>
      <c r="AE38" s="2"/>
      <c r="AG38" s="2"/>
      <c r="AH38" s="2"/>
      <c r="AI38" s="2"/>
      <c r="AJ38" s="2"/>
      <c r="AL38" s="2"/>
    </row>
    <row r="39" customFormat="false" ht="14.65" hidden="false" customHeight="false" outlineLevel="0" collapsed="false">
      <c r="C39" s="1"/>
      <c r="D39" s="1"/>
      <c r="E39" s="2"/>
      <c r="F39" s="2"/>
      <c r="G39" s="2"/>
      <c r="H39" s="2"/>
      <c r="I39" s="2"/>
      <c r="J39" s="2"/>
      <c r="K39" s="2"/>
      <c r="L39" s="2"/>
      <c r="M39" s="2"/>
      <c r="N39" s="2"/>
      <c r="P39" s="2"/>
      <c r="Q39" s="2"/>
      <c r="R39" s="2"/>
      <c r="S39" s="2"/>
      <c r="T39" s="1"/>
      <c r="V39" s="2"/>
      <c r="W39" s="2"/>
      <c r="X39" s="2"/>
      <c r="Y39" s="2"/>
      <c r="Z39" s="2"/>
      <c r="AA39" s="2"/>
      <c r="AB39" s="2"/>
      <c r="AC39" s="2"/>
      <c r="AD39" s="2"/>
      <c r="AE39" s="2"/>
      <c r="AG39" s="2"/>
      <c r="AH39" s="2"/>
      <c r="AI39" s="2"/>
      <c r="AJ39" s="2"/>
      <c r="AL39" s="2"/>
    </row>
    <row r="40" customFormat="false" ht="14.65" hidden="false" customHeight="false" outlineLevel="0" collapsed="false">
      <c r="C40" s="1"/>
      <c r="D40" s="1"/>
      <c r="E40" s="2"/>
      <c r="F40" s="2"/>
      <c r="G40" s="2"/>
      <c r="H40" s="2"/>
      <c r="I40" s="2"/>
      <c r="J40" s="2"/>
      <c r="K40" s="2"/>
      <c r="L40" s="2"/>
      <c r="M40" s="2"/>
      <c r="N40" s="2"/>
      <c r="P40" s="2"/>
      <c r="Q40" s="2"/>
      <c r="R40" s="2"/>
      <c r="S40" s="2"/>
      <c r="T40" s="1"/>
      <c r="V40" s="2"/>
      <c r="W40" s="2"/>
      <c r="X40" s="2"/>
      <c r="Y40" s="2"/>
      <c r="Z40" s="2"/>
      <c r="AA40" s="2"/>
      <c r="AB40" s="2"/>
      <c r="AC40" s="2"/>
      <c r="AD40" s="2"/>
      <c r="AE40" s="2"/>
      <c r="AG40" s="2"/>
      <c r="AH40" s="2"/>
      <c r="AI40" s="2"/>
      <c r="AJ40" s="2"/>
      <c r="AL40" s="2"/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3"/>
  <sheetViews>
    <sheetView showFormulas="false" showGridLines="true" showRowColHeaders="true" showZeros="true" rightToLeft="false" tabSelected="false" showOutlineSymbols="true" defaultGridColor="true" view="normal" topLeftCell="A26" colorId="64" zoomScale="100" zoomScaleNormal="100" zoomScalePageLayoutView="100" workbookViewId="0">
      <selection pane="topLeft" activeCell="A4" activeCellId="0" sqref="A4 A4"/>
    </sheetView>
  </sheetViews>
  <sheetFormatPr defaultColWidth="11.0546875" defaultRowHeight="14.65" customHeight="false" zeroHeight="false" outlineLevelRow="0" outlineLevelCol="0"/>
  <cols>
    <col collapsed="false" customWidth="true" hidden="false" outlineLevel="0" max="3" min="2" style="1" width="10.71"/>
    <col collapsed="false" customWidth="true" hidden="false" outlineLevel="0" max="4" min="4" style="1" width="12.14"/>
    <col collapsed="false" customWidth="true" hidden="false" outlineLevel="0" max="8" min="5" style="1" width="10.71"/>
    <col collapsed="false" customWidth="true" hidden="false" outlineLevel="0" max="9" min="9" style="1" width="12.14"/>
    <col collapsed="false" customWidth="true" hidden="false" outlineLevel="0" max="14" min="10" style="1" width="10.71"/>
    <col collapsed="false" customWidth="true" hidden="false" outlineLevel="0" max="15" min="15" style="2" width="10.71"/>
    <col collapsed="false" customWidth="true" hidden="false" outlineLevel="0" max="17" min="16" style="1" width="10.71"/>
  </cols>
  <sheetData>
    <row r="1" customFormat="false" ht="14.65" hidden="false" customHeight="false" outlineLevel="0" collapsed="false">
      <c r="A1" s="0" t="s">
        <v>9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23</v>
      </c>
      <c r="G1" s="1" t="s">
        <v>24</v>
      </c>
      <c r="H1" s="1" t="s">
        <v>47</v>
      </c>
      <c r="I1" s="1" t="s">
        <v>48</v>
      </c>
      <c r="J1" s="1" t="s">
        <v>49</v>
      </c>
      <c r="K1" s="0" t="s">
        <v>50</v>
      </c>
      <c r="M1" s="1" t="s">
        <v>13</v>
      </c>
      <c r="N1" s="1" t="s">
        <v>14</v>
      </c>
      <c r="O1" s="2" t="str">
        <f aca="false">A1</f>
        <v>Size</v>
      </c>
      <c r="P1" s="1" t="s">
        <v>51</v>
      </c>
      <c r="Q1" s="1" t="s">
        <v>52</v>
      </c>
    </row>
    <row r="2" customFormat="false" ht="15.65" hidden="false" customHeight="false" outlineLevel="0" collapsed="false">
      <c r="A2" s="2" t="n">
        <v>1</v>
      </c>
      <c r="B2" s="1" t="n">
        <f aca="false">0-J2</f>
        <v>316.636769379014</v>
      </c>
      <c r="C2" s="1" t="n">
        <f aca="false">0-K2</f>
        <v>316.636769379014</v>
      </c>
      <c r="D2" s="1" t="n">
        <f aca="false">F2/B2</f>
        <v>1.09999995000007</v>
      </c>
      <c r="E2" s="1" t="n">
        <v>5.5</v>
      </c>
      <c r="F2" s="1" t="n">
        <v>348.300430485099</v>
      </c>
      <c r="G2" s="1" t="n">
        <v>31.6636611060857</v>
      </c>
      <c r="H2" s="1" t="n">
        <f aca="false">F2/G2</f>
        <v>11.0000049999953</v>
      </c>
      <c r="I2" s="1" t="n">
        <f aca="false">F2-G2</f>
        <v>316.636769379014</v>
      </c>
      <c r="J2" s="1" t="n">
        <v>-316.636769379014</v>
      </c>
      <c r="K2" s="0" t="n">
        <v>-316.636769379014</v>
      </c>
      <c r="M2" s="1" t="n">
        <v>0</v>
      </c>
      <c r="N2" s="1" t="n">
        <v>348.300446316958</v>
      </c>
      <c r="O2" s="2" t="n">
        <f aca="false">A2</f>
        <v>1</v>
      </c>
      <c r="P2" s="1" t="n">
        <f aca="false">2*M2/(2*M2+N2)</f>
        <v>-0</v>
      </c>
      <c r="Q2" s="1" t="n">
        <f aca="false">M2/(2*M2+N2)</f>
        <v>-0</v>
      </c>
    </row>
    <row r="3" customFormat="false" ht="14.65" hidden="false" customHeight="false" outlineLevel="0" collapsed="false">
      <c r="A3" s="2" t="n">
        <f aca="false">A2+1</f>
        <v>2</v>
      </c>
      <c r="B3" s="1" t="n">
        <f aca="false">0-J3</f>
        <v>413.638250655079</v>
      </c>
      <c r="C3" s="1" t="n">
        <f aca="false">0-K3</f>
        <v>287.82948876453</v>
      </c>
      <c r="D3" s="1" t="n">
        <f aca="false">F3/B3</f>
        <v>0.946789500252212</v>
      </c>
      <c r="E3" s="1" t="n">
        <v>6.68229493668799</v>
      </c>
      <c r="F3" s="1" t="n">
        <v>391.628352622922</v>
      </c>
      <c r="G3" s="1" t="n">
        <v>113.215165886664</v>
      </c>
      <c r="H3" s="1" t="n">
        <f aca="false">F3/G3</f>
        <v>3.45915098525731</v>
      </c>
      <c r="I3" s="1" t="n">
        <f aca="false">F3-G3</f>
        <v>278.413186736258</v>
      </c>
      <c r="J3" s="1" t="n">
        <v>-413.638250655079</v>
      </c>
      <c r="K3" s="0" t="n">
        <v>-287.82948876453</v>
      </c>
      <c r="M3" s="1" t="n">
        <v>59.0645180842694</v>
      </c>
      <c r="N3" s="1" t="n">
        <v>273.504988491967</v>
      </c>
      <c r="O3" s="2" t="n">
        <f aca="false">A3</f>
        <v>2</v>
      </c>
      <c r="P3" s="1" t="n">
        <f aca="false">2*M3/(2*M3+N3)</f>
        <v>0.301631188125038</v>
      </c>
      <c r="Q3" s="1" t="n">
        <f aca="false">M3/(2*M3+N3)</f>
        <v>0.150815594062519</v>
      </c>
    </row>
    <row r="4" customFormat="false" ht="14.65" hidden="false" customHeight="false" outlineLevel="0" collapsed="false">
      <c r="A4" s="2" t="n">
        <f aca="false">A3+2</f>
        <v>4</v>
      </c>
      <c r="B4" s="1" t="n">
        <f aca="false">0-J4</f>
        <v>512.652074662673</v>
      </c>
      <c r="C4" s="1" t="n">
        <f aca="false">0-K4</f>
        <v>265.102751502039</v>
      </c>
      <c r="D4" s="1" t="n">
        <f aca="false">F4/B4</f>
        <v>0.844357713909166</v>
      </c>
      <c r="E4" s="1" t="n">
        <v>7.82370448169604</v>
      </c>
      <c r="F4" s="1" t="n">
        <v>432.861733792965</v>
      </c>
      <c r="G4" s="1" t="n">
        <v>188.221434849186</v>
      </c>
      <c r="H4" s="1" t="n">
        <f aca="false">F4/G4</f>
        <v>2.2997472851049</v>
      </c>
      <c r="I4" s="1" t="n">
        <f aca="false">F4-G4</f>
        <v>244.640298943779</v>
      </c>
      <c r="J4" s="1" t="n">
        <v>-512.652074662673</v>
      </c>
      <c r="K4" s="2" t="n">
        <v>-265.102751502039</v>
      </c>
      <c r="M4" s="1" t="n">
        <v>112.204709628291</v>
      </c>
      <c r="N4" s="1" t="n">
        <v>208.665946570021</v>
      </c>
      <c r="O4" s="2" t="n">
        <f aca="false">A4</f>
        <v>4</v>
      </c>
      <c r="P4" s="1" t="n">
        <f aca="false">2*M4/(2*M4+N4)</f>
        <v>0.518176365973291</v>
      </c>
      <c r="Q4" s="1" t="n">
        <f aca="false">M4/(2*M4+N4)</f>
        <v>0.259088182986645</v>
      </c>
    </row>
    <row r="5" customFormat="false" ht="14.65" hidden="false" customHeight="false" outlineLevel="0" collapsed="false">
      <c r="A5" s="2" t="n">
        <f aca="false">A4+2</f>
        <v>6</v>
      </c>
      <c r="B5" s="1" t="n">
        <f aca="false">0-J5</f>
        <v>610.224992383336</v>
      </c>
      <c r="C5" s="1" t="n">
        <f aca="false">0-K5</f>
        <v>247.211337773037</v>
      </c>
      <c r="D5" s="1" t="n">
        <f aca="false">F5/B5</f>
        <v>0.770995219272601</v>
      </c>
      <c r="E5" s="1" t="n">
        <v>8.88600683564722</v>
      </c>
      <c r="F5" s="1" t="n">
        <v>470.480551808211</v>
      </c>
      <c r="G5" s="1" t="n">
        <v>265.230014338742</v>
      </c>
      <c r="H5" s="1" t="n">
        <f aca="false">F5/G5</f>
        <v>1.77385863730841</v>
      </c>
      <c r="I5" s="1" t="n">
        <f aca="false">F5-G5</f>
        <v>205.250537469469</v>
      </c>
      <c r="J5" s="1" t="n">
        <v>-610.224992383336</v>
      </c>
      <c r="K5" s="2" t="n">
        <v>-247.211337773037</v>
      </c>
      <c r="M5" s="1" t="n">
        <v>156.832272750478</v>
      </c>
      <c r="N5" s="1" t="n">
        <v>156.897664318216</v>
      </c>
      <c r="O5" s="2" t="n">
        <f aca="false">A5</f>
        <v>6</v>
      </c>
      <c r="P5" s="1" t="n">
        <f aca="false">2*M5/(2*M5+N5)</f>
        <v>0.666574023488821</v>
      </c>
      <c r="Q5" s="1" t="n">
        <f aca="false">M5/(2*M5+N5)</f>
        <v>0.333287011744411</v>
      </c>
    </row>
    <row r="6" customFormat="false" ht="14.65" hidden="false" customHeight="false" outlineLevel="0" collapsed="false">
      <c r="A6" s="2" t="n">
        <f aca="false">A5+2</f>
        <v>8</v>
      </c>
      <c r="B6" s="1" t="n">
        <f aca="false">0-J6</f>
        <v>703.881238452785</v>
      </c>
      <c r="C6" s="1" t="n">
        <f aca="false">0-K6</f>
        <v>233.153073865528</v>
      </c>
      <c r="D6" s="1" t="n">
        <f aca="false">F6/B6</f>
        <v>0.714297636115313</v>
      </c>
      <c r="E6" s="1" t="n">
        <v>9.85003410314511</v>
      </c>
      <c r="F6" s="1" t="n">
        <v>502.780704732743</v>
      </c>
      <c r="G6" s="1" t="n">
        <v>347.779079345129</v>
      </c>
      <c r="H6" s="1" t="n">
        <f aca="false">F6/G6</f>
        <v>1.44568990659094</v>
      </c>
      <c r="I6" s="1" t="n">
        <f aca="false">F6-G6</f>
        <v>155.001625387613</v>
      </c>
      <c r="J6" s="1" t="n">
        <v>-703.881238452785</v>
      </c>
      <c r="K6" s="2" t="n">
        <v>-233.153073865528</v>
      </c>
      <c r="M6" s="1" t="n">
        <v>192.678695974848</v>
      </c>
      <c r="N6" s="1" t="n">
        <v>117.423312783047</v>
      </c>
      <c r="O6" s="2" t="n">
        <f aca="false">A6</f>
        <v>8</v>
      </c>
      <c r="P6" s="1" t="n">
        <f aca="false">2*M6/(2*M6+N6)</f>
        <v>0.766452229216982</v>
      </c>
      <c r="Q6" s="1" t="n">
        <f aca="false">M6/(2*M6+N6)</f>
        <v>0.383226114608491</v>
      </c>
    </row>
    <row r="7" customFormat="false" ht="14.65" hidden="false" customHeight="false" outlineLevel="0" collapsed="false">
      <c r="A7" s="2" t="n">
        <f aca="false">A6+2</f>
        <v>10</v>
      </c>
      <c r="B7" s="1" t="n">
        <f aca="false">0-J7</f>
        <v>792.013745784943</v>
      </c>
      <c r="C7" s="1" t="n">
        <f aca="false">0-K7</f>
        <v>222.125854013315</v>
      </c>
      <c r="D7" s="1" t="n">
        <f aca="false">F7/B7</f>
        <v>0.668323197793681</v>
      </c>
      <c r="E7" s="1" t="n">
        <v>10.7128251081063</v>
      </c>
      <c r="F7" s="1" t="n">
        <v>529.321159279544</v>
      </c>
      <c r="G7" s="1" t="n">
        <v>438.351925214205</v>
      </c>
      <c r="H7" s="1" t="n">
        <f aca="false">F7/G7</f>
        <v>1.20752557210941</v>
      </c>
      <c r="I7" s="1" t="n">
        <f aca="false">F7-G7</f>
        <v>90.9692340653386</v>
      </c>
      <c r="J7" s="1" t="n">
        <v>-792.013745784943</v>
      </c>
      <c r="K7" s="2" t="n">
        <v>-222.125854013315</v>
      </c>
      <c r="M7" s="1" t="n">
        <v>220.666864045632</v>
      </c>
      <c r="N7" s="1" t="n">
        <v>87.9874311882811</v>
      </c>
      <c r="O7" s="2" t="n">
        <f aca="false">A7</f>
        <v>10</v>
      </c>
      <c r="P7" s="1" t="n">
        <f aca="false">2*M7/(2*M7+N7)</f>
        <v>0.833773070194208</v>
      </c>
      <c r="Q7" s="1" t="n">
        <f aca="false">M7/(2*M7+N7)</f>
        <v>0.416886535097104</v>
      </c>
    </row>
    <row r="8" customFormat="false" ht="14.65" hidden="false" customHeight="false" outlineLevel="0" collapsed="false">
      <c r="A8" s="2" t="n">
        <f aca="false">A7+2</f>
        <v>12</v>
      </c>
      <c r="B8" s="1" t="n">
        <f aca="false">0-J8</f>
        <v>873.686003815307</v>
      </c>
      <c r="C8" s="1" t="n">
        <f aca="false">0-K8</f>
        <v>213.490513004438</v>
      </c>
      <c r="D8" s="1" t="n">
        <f aca="false">F8/B8</f>
        <v>0.630014197057993</v>
      </c>
      <c r="E8" s="1" t="n">
        <v>11.4801812061327</v>
      </c>
      <c r="F8" s="1" t="n">
        <v>550.434586174508</v>
      </c>
      <c r="G8" s="1" t="n">
        <v>538.540605873136</v>
      </c>
      <c r="H8" s="1" t="n">
        <f aca="false">F8/G8</f>
        <v>1.022085577525</v>
      </c>
      <c r="I8" s="1" t="n">
        <f aca="false">F8-G8</f>
        <v>11.8939803013715</v>
      </c>
      <c r="J8" s="1" t="n">
        <v>-873.686003815307</v>
      </c>
      <c r="K8" s="2" t="n">
        <v>-213.490513004438</v>
      </c>
      <c r="M8" s="1" t="n">
        <v>242.109916339104</v>
      </c>
      <c r="N8" s="1" t="n">
        <v>66.2147534962998</v>
      </c>
      <c r="O8" s="2" t="n">
        <f aca="false">A8</f>
        <v>12</v>
      </c>
      <c r="P8" s="1" t="n">
        <f aca="false">2*M8/(2*M8+N8)</f>
        <v>0.879704591318491</v>
      </c>
      <c r="Q8" s="1" t="n">
        <f aca="false">M8/(2*M8+N8)</f>
        <v>0.439852295659245</v>
      </c>
    </row>
    <row r="9" customFormat="false" ht="14.65" hidden="false" customHeight="false" outlineLevel="0" collapsed="false">
      <c r="A9" s="2" t="n">
        <f aca="false">A8+2</f>
        <v>14</v>
      </c>
      <c r="B9" s="1" t="n">
        <f aca="false">0-J9</f>
        <v>948.452333978023</v>
      </c>
      <c r="C9" s="1" t="n">
        <f aca="false">0-K9</f>
        <v>206.739427266289</v>
      </c>
      <c r="D9" s="1" t="n">
        <f aca="false">F9/B9</f>
        <v>0.597531546297578</v>
      </c>
      <c r="E9" s="1" t="n">
        <v>12.161043065145</v>
      </c>
      <c r="F9" s="1" t="n">
        <v>566.730189711435</v>
      </c>
      <c r="G9" s="1" t="n">
        <v>648.917285599721</v>
      </c>
      <c r="H9" s="1" t="n">
        <f aca="false">F9/G9</f>
        <v>0.873347346862043</v>
      </c>
      <c r="I9" s="1" t="n">
        <f aca="false">F9-G9</f>
        <v>-82.1870958882857</v>
      </c>
      <c r="J9" s="1" t="n">
        <v>-948.452333978023</v>
      </c>
      <c r="K9" s="2" t="n">
        <v>-206.739427266289</v>
      </c>
      <c r="M9" s="1" t="n">
        <v>258.306942342777</v>
      </c>
      <c r="N9" s="1" t="n">
        <v>50.1163050258799</v>
      </c>
      <c r="O9" s="2" t="n">
        <f aca="false">A9</f>
        <v>14</v>
      </c>
      <c r="P9" s="1" t="n">
        <f aca="false">2*M9/(2*M9+N9)</f>
        <v>0.911569374747095</v>
      </c>
      <c r="Q9" s="1" t="n">
        <f aca="false">M9/(2*M9+N9)</f>
        <v>0.455784687373547</v>
      </c>
    </row>
    <row r="10" customFormat="false" ht="14.65" hidden="false" customHeight="false" outlineLevel="0" collapsed="false">
      <c r="A10" s="2" t="n">
        <f aca="false">A9+2</f>
        <v>16</v>
      </c>
      <c r="B10" s="1" t="n">
        <f aca="false">0-J10</f>
        <v>1016.21376849018</v>
      </c>
      <c r="C10" s="1" t="n">
        <f aca="false">0-K10</f>
        <v>201.47046250055</v>
      </c>
      <c r="D10" s="1" t="n">
        <f aca="false">F10/B10</f>
        <v>0.569717313519878</v>
      </c>
      <c r="E10" s="1" t="n">
        <v>12.7644908519281</v>
      </c>
      <c r="F10" s="1" t="n">
        <v>578.954578146138</v>
      </c>
      <c r="G10" s="1" t="n">
        <v>769.556164273157</v>
      </c>
      <c r="H10" s="1" t="n">
        <f aca="false">F10/G10</f>
        <v>0.752322708886308</v>
      </c>
      <c r="I10" s="1" t="n">
        <f aca="false">F10-G10</f>
        <v>-190.601586127019</v>
      </c>
      <c r="J10" s="1" t="n">
        <v>-1016.21376849018</v>
      </c>
      <c r="K10" s="2" t="n">
        <v>-201.47046250055</v>
      </c>
      <c r="M10" s="1" t="n">
        <v>270.391592590575</v>
      </c>
      <c r="N10" s="1" t="n">
        <v>38.171392964988</v>
      </c>
      <c r="O10" s="2" t="n">
        <f aca="false">A10</f>
        <v>16</v>
      </c>
      <c r="P10" s="1" t="n">
        <f aca="false">2*M10/(2*M10+N10)</f>
        <v>0.934068415026243</v>
      </c>
      <c r="Q10" s="1" t="n">
        <f aca="false">M10/(2*M10+N10)</f>
        <v>0.467034207513121</v>
      </c>
    </row>
    <row r="11" customFormat="false" ht="14.65" hidden="false" customHeight="false" outlineLevel="0" collapsed="false">
      <c r="A11" s="2" t="n">
        <f aca="false">A10+2</f>
        <v>18</v>
      </c>
      <c r="B11" s="1" t="n">
        <f aca="false">0-J11</f>
        <v>1077.11047531887</v>
      </c>
      <c r="C11" s="1" t="n">
        <f aca="false">0-K11</f>
        <v>197.365674310243</v>
      </c>
      <c r="D11" s="1" t="n">
        <f aca="false">F11/B11</f>
        <v>0.545769400232548</v>
      </c>
      <c r="E11" s="1" t="n">
        <v>13.2990333690592</v>
      </c>
      <c r="F11" s="1" t="n">
        <v>587.853938098976</v>
      </c>
      <c r="G11" s="1" t="n">
        <v>900.198662587355</v>
      </c>
      <c r="H11" s="1" t="n">
        <f aca="false">F11/G11</f>
        <v>0.653026895651415</v>
      </c>
      <c r="I11" s="1" t="n">
        <f aca="false">F11-G11</f>
        <v>-312.344724488379</v>
      </c>
      <c r="J11" s="1" t="n">
        <v>-1077.11047531887</v>
      </c>
      <c r="K11" s="2" t="n">
        <v>-197.365674310243</v>
      </c>
      <c r="M11" s="1" t="n">
        <v>279.297252126824</v>
      </c>
      <c r="N11" s="1" t="n">
        <v>29.2594338453272</v>
      </c>
      <c r="O11" s="2" t="n">
        <f aca="false">A11</f>
        <v>18</v>
      </c>
      <c r="P11" s="1" t="n">
        <f aca="false">2*M11/(2*M11+N11)</f>
        <v>0.950226694168372</v>
      </c>
      <c r="Q11" s="1" t="n">
        <f aca="false">M11/(2*M11+N11)</f>
        <v>0.475113347084186</v>
      </c>
    </row>
    <row r="12" customFormat="false" ht="14.65" hidden="false" customHeight="false" outlineLevel="0" collapsed="false">
      <c r="A12" s="2" t="n">
        <f aca="false">A11+2</f>
        <v>20</v>
      </c>
      <c r="B12" s="1" t="n">
        <f aca="false">0-J12</f>
        <v>1131.44286752765</v>
      </c>
      <c r="C12" s="1" t="n">
        <f aca="false">0-K12</f>
        <v>194.174078180425</v>
      </c>
      <c r="D12" s="1" t="n">
        <f aca="false">F12/B12</f>
        <v>0.525092005570712</v>
      </c>
      <c r="E12" s="1" t="n">
        <v>13.7720475570767</v>
      </c>
      <c r="F12" s="1" t="n">
        <v>594.111604498771</v>
      </c>
      <c r="G12" s="1" t="n">
        <v>1040.38013805316</v>
      </c>
      <c r="H12" s="1" t="n">
        <f aca="false">F12/G12</f>
        <v>0.571052428596452</v>
      </c>
      <c r="I12" s="1" t="n">
        <f aca="false">F12-G12</f>
        <v>-446.268533554393</v>
      </c>
      <c r="J12" s="1" t="n">
        <v>-1131.44286752765</v>
      </c>
      <c r="K12" s="2" t="n">
        <v>-194.174078180425</v>
      </c>
      <c r="M12" s="1" t="n">
        <v>285.771623057199</v>
      </c>
      <c r="N12" s="1" t="n">
        <v>22.568358384372</v>
      </c>
      <c r="O12" s="2" t="n">
        <f aca="false">A12</f>
        <v>20</v>
      </c>
      <c r="P12" s="1" t="n">
        <f aca="false">2*M12/(2*M12+N12)</f>
        <v>0.962013267854931</v>
      </c>
      <c r="Q12" s="1" t="n">
        <f aca="false">M12/(2*M12+N12)</f>
        <v>0.481006633927465</v>
      </c>
    </row>
    <row r="13" customFormat="false" ht="14.65" hidden="false" customHeight="false" outlineLevel="0" collapsed="false">
      <c r="A13" s="2" t="n">
        <f aca="false">A12+2</f>
        <v>22</v>
      </c>
      <c r="B13" s="1" t="n">
        <f aca="false">0-J13</f>
        <v>1179.61359821319</v>
      </c>
      <c r="C13" s="1" t="n">
        <f aca="false">0-K13</f>
        <v>191.697813021917</v>
      </c>
      <c r="D13" s="1" t="n">
        <f aca="false">F13/B13</f>
        <v>0.507214663662437</v>
      </c>
      <c r="E13" s="1" t="n">
        <v>14.1900492132047</v>
      </c>
      <c r="F13" s="1" t="n">
        <v>598.317314469339</v>
      </c>
      <c r="G13" s="1" t="n">
        <v>1189.5012829596</v>
      </c>
      <c r="H13" s="1" t="n">
        <f aca="false">F13/G13</f>
        <v>0.502998460817686</v>
      </c>
      <c r="I13" s="1" t="n">
        <f aca="false">F13-G13</f>
        <v>-591.183968490257</v>
      </c>
      <c r="J13" s="1" t="n">
        <v>-1179.61359821319</v>
      </c>
      <c r="K13" s="2" t="n">
        <v>-191.697813021917</v>
      </c>
      <c r="M13" s="1" t="n">
        <v>290.402988879283</v>
      </c>
      <c r="N13" s="1" t="n">
        <v>17.5113367107738</v>
      </c>
      <c r="O13" s="2" t="n">
        <f aca="false">A13</f>
        <v>22</v>
      </c>
      <c r="P13" s="1" t="n">
        <f aca="false">2*M13/(2*M13+N13)</f>
        <v>0.970732358420373</v>
      </c>
      <c r="Q13" s="1" t="n">
        <f aca="false">M13/(2*M13+N13)</f>
        <v>0.485366179210186</v>
      </c>
    </row>
    <row r="14" customFormat="false" ht="14.65" hidden="false" customHeight="false" outlineLevel="0" collapsed="false">
      <c r="A14" s="2" t="n">
        <f aca="false">A13+2</f>
        <v>24</v>
      </c>
      <c r="B14" s="1" t="n">
        <f aca="false">0-J14</f>
        <v>1222.08476995117</v>
      </c>
      <c r="C14" s="1" t="n">
        <f aca="false">0-K14</f>
        <v>189.779997712312</v>
      </c>
      <c r="D14" s="1" t="n">
        <f aca="false">F14/B14</f>
        <v>0.491751692339159</v>
      </c>
      <c r="E14" s="1" t="n">
        <v>14.5587993463083</v>
      </c>
      <c r="F14" s="1" t="n">
        <v>600.962253805399</v>
      </c>
      <c r="G14" s="1" t="n">
        <v>1346.88610602529</v>
      </c>
      <c r="H14" s="1" t="n">
        <f aca="false">F14/G14</f>
        <v>0.44618639327928</v>
      </c>
      <c r="I14" s="1" t="n">
        <f aca="false">F14-G14</f>
        <v>-745.923852219892</v>
      </c>
      <c r="J14" s="1" t="n">
        <v>-1222.08476995117</v>
      </c>
      <c r="K14" s="2" t="n">
        <v>-189.779997712312</v>
      </c>
      <c r="M14" s="1" t="n">
        <v>293.649205899773</v>
      </c>
      <c r="N14" s="1" t="n">
        <v>13.6638420058532</v>
      </c>
      <c r="O14" s="2" t="n">
        <f aca="false">A14</f>
        <v>24</v>
      </c>
      <c r="P14" s="1" t="n">
        <f aca="false">2*M14/(2*M14+N14)</f>
        <v>0.977263393966374</v>
      </c>
      <c r="Q14" s="1" t="n">
        <f aca="false">M14/(2*M14+N14)</f>
        <v>0.488631696983187</v>
      </c>
    </row>
    <row r="15" customFormat="false" ht="14.65" hidden="false" customHeight="false" outlineLevel="0" collapsed="false">
      <c r="A15" s="2" t="n">
        <f aca="false">A14+2</f>
        <v>26</v>
      </c>
      <c r="B15" s="1" t="n">
        <f aca="false">0-J15</f>
        <v>1259.34647509782</v>
      </c>
      <c r="C15" s="1" t="n">
        <f aca="false">0-K15</f>
        <v>188.301345402897</v>
      </c>
      <c r="D15" s="1" t="n">
        <f aca="false">F15/B15</f>
        <v>0.478378935332564</v>
      </c>
      <c r="E15" s="1" t="n">
        <v>14.8834429505077</v>
      </c>
      <c r="F15" s="1" t="n">
        <v>602.444825972113</v>
      </c>
      <c r="G15" s="1" t="n">
        <v>1511.82340390796</v>
      </c>
      <c r="H15" s="1" t="n">
        <f aca="false">F15/G15</f>
        <v>0.398488887270056</v>
      </c>
      <c r="I15" s="1" t="n">
        <f aca="false">F15-G15</f>
        <v>-909.378577935851</v>
      </c>
      <c r="J15" s="1" t="n">
        <v>-1259.34647509782</v>
      </c>
      <c r="K15" s="2" t="n">
        <v>-188.301345402897</v>
      </c>
      <c r="M15" s="1" t="n">
        <v>295.863661696315</v>
      </c>
      <c r="N15" s="1" t="n">
        <v>10.7175025794826</v>
      </c>
      <c r="O15" s="2" t="n">
        <f aca="false">A15</f>
        <v>26</v>
      </c>
      <c r="P15" s="1" t="n">
        <f aca="false">2*M15/(2*M15+N15)</f>
        <v>0.982209984852656</v>
      </c>
      <c r="Q15" s="1" t="n">
        <f aca="false">M15/(2*M15+N15)</f>
        <v>0.491104992426328</v>
      </c>
    </row>
    <row r="16" customFormat="false" ht="14.65" hidden="false" customHeight="false" outlineLevel="0" collapsed="false">
      <c r="A16" s="2" t="n">
        <f aca="false">A15+2</f>
        <v>28</v>
      </c>
      <c r="B16" s="1" t="n">
        <f aca="false">0-J16</f>
        <v>1291.89395824515</v>
      </c>
      <c r="C16" s="1" t="n">
        <f aca="false">0-K16</f>
        <v>187.162203969265</v>
      </c>
      <c r="D16" s="1" t="n">
        <f aca="false">F16/B16</f>
        <v>0.466819662374335</v>
      </c>
      <c r="E16" s="1" t="n">
        <v>15.1686161992499</v>
      </c>
      <c r="F16" s="1" t="n">
        <v>603.081501411445</v>
      </c>
      <c r="G16" s="1" t="n">
        <v>1683.59719251218</v>
      </c>
      <c r="H16" s="1" t="n">
        <f aca="false">F16/G16</f>
        <v>0.358210089737412</v>
      </c>
      <c r="I16" s="1" t="n">
        <f aca="false">F16-G16</f>
        <v>-1080.51569110074</v>
      </c>
      <c r="J16" s="1" t="n">
        <v>-1291.89395824515</v>
      </c>
      <c r="K16" s="2" t="n">
        <v>-187.162203969265</v>
      </c>
      <c r="M16" s="1" t="n">
        <v>297.317202778901</v>
      </c>
      <c r="N16" s="1" t="n">
        <v>8.44709585364285</v>
      </c>
      <c r="O16" s="2" t="n">
        <f aca="false">A16</f>
        <v>28</v>
      </c>
      <c r="P16" s="1" t="n">
        <f aca="false">2*M16/(2*M16+N16)</f>
        <v>0.985993442289519</v>
      </c>
      <c r="Q16" s="1" t="n">
        <f aca="false">M16/(2*M16+N16)</f>
        <v>0.49299672114476</v>
      </c>
    </row>
    <row r="17" customFormat="false" ht="14.65" hidden="false" customHeight="false" outlineLevel="0" collapsed="false">
      <c r="A17" s="2" t="n">
        <f aca="false">A16+2</f>
        <v>30</v>
      </c>
      <c r="B17" s="1" t="n">
        <f aca="false">0-J17</f>
        <v>1320.21142381525</v>
      </c>
      <c r="C17" s="1" t="n">
        <f aca="false">0-K17</f>
        <v>186.288640073433</v>
      </c>
      <c r="D17" s="1" t="n">
        <f aca="false">F17/B17</f>
        <v>0.456835347629262</v>
      </c>
      <c r="E17" s="1" t="n">
        <v>15.4185232188585</v>
      </c>
      <c r="F17" s="1" t="n">
        <v>603.119244742762</v>
      </c>
      <c r="G17" s="1" t="n">
        <v>1861.50857774054</v>
      </c>
      <c r="H17" s="1" t="n">
        <f aca="false">F17/G17</f>
        <v>0.323994878108386</v>
      </c>
      <c r="I17" s="1" t="n">
        <f aca="false">F17-G17</f>
        <v>-1258.38933299778</v>
      </c>
      <c r="J17" s="1" t="n">
        <v>-1320.21142381525</v>
      </c>
      <c r="K17" s="2" t="n">
        <v>-186.288640073433</v>
      </c>
      <c r="M17" s="1" t="n">
        <v>298.216065622505</v>
      </c>
      <c r="N17" s="1" t="n">
        <v>6.68711349775149</v>
      </c>
      <c r="O17" s="2" t="n">
        <f aca="false">A17</f>
        <v>30</v>
      </c>
      <c r="P17" s="1" t="n">
        <f aca="false">2*M17/(2*M17+N17)</f>
        <v>0.988912452129423</v>
      </c>
      <c r="Q17" s="1" t="n">
        <f aca="false">M17/(2*M17+N17)</f>
        <v>0.494456226064712</v>
      </c>
    </row>
    <row r="18" customFormat="false" ht="14.65" hidden="false" customHeight="false" outlineLevel="0" collapsed="false">
      <c r="A18" s="2" t="n">
        <f aca="false">A17+2</f>
        <v>32</v>
      </c>
      <c r="B18" s="1" t="n">
        <f aca="false">0-J18</f>
        <v>1344.76098039823</v>
      </c>
      <c r="C18" s="1" t="n">
        <f aca="false">0-K18</f>
        <v>185.620837627945</v>
      </c>
      <c r="D18" s="1" t="n">
        <f aca="false">F18/B18</f>
        <v>0.448219188517393</v>
      </c>
      <c r="E18" s="1" t="n">
        <v>15.6369895481985</v>
      </c>
      <c r="F18" s="1" t="n">
        <v>602.747675383948</v>
      </c>
      <c r="G18" s="1" t="n">
        <v>2044.89088034949</v>
      </c>
      <c r="H18" s="1" t="n">
        <f aca="false">F18/G18</f>
        <v>0.294757867608531</v>
      </c>
      <c r="I18" s="1" t="n">
        <f aca="false">F18-G18</f>
        <v>-1442.14320496555</v>
      </c>
      <c r="J18" s="1" t="n">
        <v>-1344.76098039823</v>
      </c>
      <c r="K18" s="2" t="n">
        <v>-185.620837627945</v>
      </c>
      <c r="M18" s="1" t="n">
        <v>298.716269452946</v>
      </c>
      <c r="N18" s="1" t="n">
        <v>5.31513647805598</v>
      </c>
      <c r="O18" s="2" t="n">
        <f aca="false">A18</f>
        <v>32</v>
      </c>
      <c r="P18" s="1" t="n">
        <f aca="false">2*M18/(2*M18+N18)</f>
        <v>0.991181821689034</v>
      </c>
      <c r="Q18" s="1" t="n">
        <f aca="false">M18/(2*M18+N18)</f>
        <v>0.495590910844517</v>
      </c>
    </row>
    <row r="19" customFormat="false" ht="14.65" hidden="false" customHeight="false" outlineLevel="0" collapsed="false">
      <c r="A19" s="2" t="n">
        <f aca="false">A18+2</f>
        <v>34</v>
      </c>
      <c r="B19" s="1" t="n">
        <f aca="false">0-J19</f>
        <v>1365.97553501489</v>
      </c>
      <c r="C19" s="1" t="n">
        <f aca="false">0-K19</f>
        <v>185.112796584421</v>
      </c>
      <c r="D19" s="1" t="n">
        <f aca="false">F19/B19</f>
        <v>0.440791260509434</v>
      </c>
      <c r="E19" s="1" t="n">
        <v>15.8274996263527</v>
      </c>
      <c r="F19" s="1" t="n">
        <v>602.110077904261</v>
      </c>
      <c r="G19" s="1" t="n">
        <v>2233.1194638909</v>
      </c>
      <c r="H19" s="1" t="n">
        <f aca="false">F19/G19</f>
        <v>0.269627347591682</v>
      </c>
      <c r="I19" s="1" t="n">
        <f aca="false">F19-G19</f>
        <v>-1631.00938598664</v>
      </c>
      <c r="J19" s="1" t="n">
        <v>-1365.97553501489</v>
      </c>
      <c r="K19" s="2" t="n">
        <v>-185.112796584421</v>
      </c>
      <c r="M19" s="1" t="n">
        <v>298.935032418573</v>
      </c>
      <c r="N19" s="1" t="n">
        <v>4.24001306711631</v>
      </c>
      <c r="O19" s="2" t="n">
        <f aca="false">A19</f>
        <v>34</v>
      </c>
      <c r="P19" s="1" t="n">
        <f aca="false">2*M19/(2*M19+N19)</f>
        <v>0.99295807656654</v>
      </c>
      <c r="Q19" s="1" t="n">
        <f aca="false">M19/(2*M19+N19)</f>
        <v>0.49647903828327</v>
      </c>
    </row>
    <row r="20" customFormat="false" ht="14.65" hidden="false" customHeight="false" outlineLevel="0" collapsed="false">
      <c r="A20" s="2" t="n">
        <f aca="false">A19+2</f>
        <v>36</v>
      </c>
      <c r="B20" s="1" t="n">
        <f aca="false">0-J20</f>
        <v>1384.25468878968</v>
      </c>
      <c r="C20" s="1" t="n">
        <f aca="false">0-K20</f>
        <v>184.728253617965</v>
      </c>
      <c r="D20" s="1" t="n">
        <f aca="false">F20/B20</f>
        <v>0.434394714722018</v>
      </c>
      <c r="E20" s="1" t="n">
        <v>15.9932242003681</v>
      </c>
      <c r="F20" s="1" t="n">
        <v>601.312920639409</v>
      </c>
      <c r="G20" s="1" t="n">
        <v>2425.6174638204</v>
      </c>
      <c r="H20" s="1" t="n">
        <f aca="false">F20/G20</f>
        <v>0.247900969385473</v>
      </c>
      <c r="I20" s="1" t="n">
        <f aca="false">F20-G20</f>
        <v>-1824.30454318099</v>
      </c>
      <c r="J20" s="1" t="n">
        <v>-1384.25468878968</v>
      </c>
      <c r="K20" s="2" t="n">
        <v>-184.728253617965</v>
      </c>
      <c r="M20" s="1" t="n">
        <v>298.959751322226</v>
      </c>
      <c r="N20" s="1" t="n">
        <v>3.39341799495729</v>
      </c>
      <c r="O20" s="2" t="n">
        <f aca="false">A20</f>
        <v>36</v>
      </c>
      <c r="P20" s="1" t="n">
        <f aca="false">2*M20/(2*M20+N20)</f>
        <v>0.994356652121579</v>
      </c>
      <c r="Q20" s="1" t="n">
        <f aca="false">M20/(2*M20+N20)</f>
        <v>0.49717832606079</v>
      </c>
    </row>
    <row r="21" customFormat="false" ht="14.65" hidden="false" customHeight="false" outlineLevel="0" collapsed="false">
      <c r="A21" s="2" t="n">
        <f aca="false">A20+2</f>
        <v>38</v>
      </c>
      <c r="B21" s="1" t="n">
        <f aca="false">0-J21</f>
        <v>1399.96287313948</v>
      </c>
      <c r="C21" s="1" t="n">
        <f aca="false">0-K21</f>
        <v>184.438681745887</v>
      </c>
      <c r="D21" s="1" t="n">
        <f aca="false">F21/B21</f>
        <v>0.428892684904984</v>
      </c>
      <c r="E21" s="1" t="n">
        <v>16.1370418681239</v>
      </c>
      <c r="F21" s="1" t="n">
        <v>600.433835428087</v>
      </c>
      <c r="G21" s="1" t="n">
        <v>2621.85841235224</v>
      </c>
      <c r="H21" s="1" t="n">
        <f aca="false">F21/G21</f>
        <v>0.229010778232452</v>
      </c>
      <c r="I21" s="1" t="n">
        <f aca="false">F21-G21</f>
        <v>-2021.42457692415</v>
      </c>
      <c r="J21" s="1" t="n">
        <v>-1399.96287313948</v>
      </c>
      <c r="K21" s="2" t="n">
        <v>-184.438681745887</v>
      </c>
      <c r="M21" s="1" t="n">
        <v>298.855019899526</v>
      </c>
      <c r="N21" s="1" t="n">
        <v>2.72379562903549</v>
      </c>
      <c r="O21" s="2" t="n">
        <f aca="false">A21</f>
        <v>38</v>
      </c>
      <c r="P21" s="1" t="n">
        <f aca="false">2*M21/(2*M21+N21)</f>
        <v>0.995463620688375</v>
      </c>
      <c r="Q21" s="1" t="n">
        <f aca="false">M21/(2*M21+N21)</f>
        <v>0.497731810344188</v>
      </c>
    </row>
    <row r="22" customFormat="false" ht="14.65" hidden="false" customHeight="false" outlineLevel="0" collapsed="false">
      <c r="A22" s="2" t="n">
        <f aca="false">A21+2</f>
        <v>40</v>
      </c>
      <c r="B22" s="1" t="n">
        <f aca="false">0-J22</f>
        <v>1413.42911872856</v>
      </c>
      <c r="C22" s="1" t="n">
        <f aca="false">0-K22</f>
        <v>184.222549582913</v>
      </c>
      <c r="D22" s="1" t="n">
        <f aca="false">F22/B22</f>
        <v>0.42416570657065</v>
      </c>
      <c r="E22" s="1" t="n">
        <v>16.2615575289943</v>
      </c>
      <c r="F22" s="1" t="n">
        <v>599.528160833032</v>
      </c>
      <c r="G22" s="1" t="n">
        <v>2821.3665763474</v>
      </c>
      <c r="H22" s="1" t="n">
        <f aca="false">F22/G22</f>
        <v>0.212495662867459</v>
      </c>
      <c r="I22" s="1" t="n">
        <f aca="false">F22-G22</f>
        <v>-2221.83841551436</v>
      </c>
      <c r="J22" s="1" t="n">
        <v>-1413.42911872856</v>
      </c>
      <c r="K22" s="2" t="n">
        <v>-184.222549582913</v>
      </c>
      <c r="M22" s="1" t="n">
        <v>298.66808547982</v>
      </c>
      <c r="N22" s="1" t="n">
        <v>2.1919898733925</v>
      </c>
      <c r="O22" s="2" t="n">
        <f aca="false">A22</f>
        <v>40</v>
      </c>
      <c r="P22" s="1" t="n">
        <f aca="false">2*M22/(2*M22+N22)</f>
        <v>0.996343808320285</v>
      </c>
      <c r="Q22" s="1" t="n">
        <f aca="false">M22/(2*M22+N22)</f>
        <v>0.498171904160143</v>
      </c>
    </row>
    <row r="23" customFormat="false" ht="14.65" hidden="false" customHeight="false" outlineLevel="0" collapsed="false">
      <c r="A23" s="0" t="n">
        <v>42</v>
      </c>
      <c r="B23" s="1" t="n">
        <f aca="false">0-J23</f>
        <v>1424.94783736974</v>
      </c>
      <c r="C23" s="1" t="n">
        <f aca="false">0-K23</f>
        <v>184.062445790936</v>
      </c>
      <c r="D23" s="1" t="n">
        <f aca="false">F23/B23</f>
        <v>0.419966614545221</v>
      </c>
      <c r="E23" s="1" t="n">
        <v>16.3691194352025</v>
      </c>
      <c r="F23" s="1" t="n">
        <v>598.430519163705</v>
      </c>
      <c r="G23" s="1" t="n">
        <v>3023.35397875439</v>
      </c>
      <c r="H23" s="1" t="n">
        <f aca="false">F23/G23</f>
        <v>0.197935975532132</v>
      </c>
      <c r="I23" s="1" t="n">
        <f aca="false">F23-G23</f>
        <v>-2424.92345959069</v>
      </c>
      <c r="J23" s="1" t="n">
        <v>-1424.94783736974</v>
      </c>
      <c r="K23" s="2" t="n">
        <v>-184.062445790936</v>
      </c>
      <c r="M23" s="1" t="n">
        <v>298.433072137199</v>
      </c>
      <c r="N23" s="1" t="n">
        <v>1.76807269078818</v>
      </c>
      <c r="O23" s="2" t="n">
        <f aca="false">A23</f>
        <v>42</v>
      </c>
      <c r="P23" s="1" t="n">
        <f aca="false">2*M23/(2*M23+N23)</f>
        <v>0.997046489090197</v>
      </c>
      <c r="Q23" s="1" t="n">
        <f aca="false">M23/(2*M23+N23)</f>
        <v>0.498523244545098</v>
      </c>
    </row>
    <row r="24" customFormat="false" ht="14.65" hidden="false" customHeight="false" outlineLevel="0" collapsed="false">
      <c r="A24" s="0" t="n">
        <v>50</v>
      </c>
      <c r="B24" s="1" t="n">
        <f aca="false">0-J24</f>
        <v>1456.34078241555</v>
      </c>
      <c r="C24" s="1" t="n">
        <f aca="false">0-K24</f>
        <v>183.756642659208</v>
      </c>
      <c r="D24" s="1" t="n">
        <f aca="false">F24/B24</f>
        <v>0.408941018031316</v>
      </c>
      <c r="E24" s="1" t="n">
        <v>16.668739898627</v>
      </c>
      <c r="F24" s="1" t="n">
        <v>595.55748216154</v>
      </c>
      <c r="G24" s="1" t="n">
        <v>3854.57491400881</v>
      </c>
      <c r="H24" s="1" t="n">
        <f aca="false">F24/G24</f>
        <v>0.154506656492026</v>
      </c>
      <c r="I24" s="1" t="n">
        <f aca="false">F24-G24</f>
        <v>-3259.01743184727</v>
      </c>
      <c r="J24" s="1" t="n">
        <v>-1456.34078241555</v>
      </c>
      <c r="K24" s="2" t="n">
        <v>-183.756642659208</v>
      </c>
    </row>
    <row r="25" customFormat="false" ht="14.65" hidden="false" customHeight="false" outlineLevel="0" collapsed="false">
      <c r="A25" s="0" t="n">
        <v>60</v>
      </c>
      <c r="B25" s="1" t="n">
        <f aca="false">0-J25</f>
        <v>1475.2327701839</v>
      </c>
      <c r="C25" s="1" t="n">
        <f aca="false">0-K25</f>
        <v>183.690355709359</v>
      </c>
      <c r="D25" s="1" t="n">
        <f aca="false">F25/B25</f>
        <v>0.402055271604643</v>
      </c>
      <c r="E25" s="1" t="n">
        <v>16.8559333478865</v>
      </c>
      <c r="F25" s="1" t="n">
        <v>593.125112096359</v>
      </c>
      <c r="G25" s="1" t="n">
        <v>4922.99355505777</v>
      </c>
      <c r="H25" s="1" t="n">
        <f aca="false">F25/G25</f>
        <v>0.12048057862822</v>
      </c>
      <c r="I25" s="1" t="n">
        <f aca="false">F25-G25</f>
        <v>-4329.86844296141</v>
      </c>
      <c r="J25" s="1" t="n">
        <v>-1475.2327701839</v>
      </c>
      <c r="K25" s="2" t="n">
        <v>-183.690355709359</v>
      </c>
    </row>
    <row r="26" customFormat="false" ht="14.65" hidden="false" customHeight="false" outlineLevel="0" collapsed="false">
      <c r="A26" s="0" t="n">
        <v>70</v>
      </c>
      <c r="B26" s="1" t="n">
        <f aca="false">0-J26</f>
        <v>1483.30578982752</v>
      </c>
      <c r="C26" s="1" t="n">
        <f aca="false">0-K26</f>
        <v>183.705173884106</v>
      </c>
      <c r="D26" s="1" t="n">
        <f aca="false">F26/B26</f>
        <v>0.399025860142349</v>
      </c>
      <c r="E26" s="1" t="n">
        <v>16.9388048442106</v>
      </c>
      <c r="F26" s="1" t="n">
        <v>591.877368640052</v>
      </c>
      <c r="G26" s="1" t="n">
        <v>6007.35731415603</v>
      </c>
      <c r="H26" s="1" t="n">
        <f aca="false">F26/G26</f>
        <v>0.0985254143690309</v>
      </c>
      <c r="I26" s="1" t="n">
        <f aca="false">F26-G26</f>
        <v>-5415.47994551598</v>
      </c>
      <c r="J26" s="1" t="n">
        <v>-1483.30578982752</v>
      </c>
      <c r="K26" s="2" t="n">
        <v>-183.705173884106</v>
      </c>
    </row>
    <row r="27" customFormat="false" ht="14.65" hidden="false" customHeight="false" outlineLevel="0" collapsed="false">
      <c r="A27" s="0" t="n">
        <v>80</v>
      </c>
      <c r="B27" s="1" t="n">
        <f aca="false">0-J27</f>
        <v>1486.68413574678</v>
      </c>
      <c r="C27" s="1" t="n">
        <f aca="false">0-K27</f>
        <v>183.725228350067</v>
      </c>
      <c r="D27" s="1" t="n">
        <f aca="false">F27/B27</f>
        <v>0.397724091408416</v>
      </c>
      <c r="E27" s="1" t="n">
        <v>16.9744700505751</v>
      </c>
      <c r="F27" s="1" t="n">
        <v>591.290097101195</v>
      </c>
      <c r="G27" s="1" t="n">
        <v>7098.6742849445</v>
      </c>
      <c r="H27" s="1" t="n">
        <f aca="false">F27/G27</f>
        <v>0.0832958484030258</v>
      </c>
      <c r="I27" s="1" t="n">
        <f aca="false">F27-G27</f>
        <v>-6507.38418784331</v>
      </c>
      <c r="J27" s="1" t="n">
        <v>-1486.68413574678</v>
      </c>
      <c r="K27" s="2" t="n">
        <v>-183.725228350067</v>
      </c>
    </row>
    <row r="28" customFormat="false" ht="14.65" hidden="false" customHeight="false" outlineLevel="0" collapsed="false">
      <c r="A28" s="0" t="n">
        <v>90</v>
      </c>
      <c r="B28" s="1" t="n">
        <f aca="false">0-J28</f>
        <v>1488.07621887644</v>
      </c>
      <c r="C28" s="1" t="n">
        <f aca="false">0-K28</f>
        <v>183.737747154339</v>
      </c>
      <c r="D28" s="1" t="n">
        <f aca="false">F28/B28</f>
        <v>0.397175363154715</v>
      </c>
      <c r="E28" s="1" t="n">
        <v>16.9894991503708</v>
      </c>
      <c r="F28" s="1" t="n">
        <v>591.027212634147</v>
      </c>
      <c r="G28" s="1" t="n">
        <v>8192.94531160868</v>
      </c>
      <c r="H28" s="1" t="n">
        <f aca="false">F28/G28</f>
        <v>0.0721385521512897</v>
      </c>
      <c r="I28" s="1" t="n">
        <f aca="false">F28-G28</f>
        <v>-7601.91809897453</v>
      </c>
      <c r="J28" s="1" t="n">
        <v>-1488.07621887644</v>
      </c>
      <c r="K28" s="2" t="n">
        <v>-183.737747154339</v>
      </c>
    </row>
    <row r="29" customFormat="false" ht="14.65" hidden="false" customHeight="false" outlineLevel="0" collapsed="false">
      <c r="A29" s="0" t="n">
        <v>100</v>
      </c>
      <c r="B29" s="1" t="n">
        <f aca="false">0-J29</f>
        <v>1488.6430507606</v>
      </c>
      <c r="C29" s="1" t="n">
        <f aca="false">0-K29</f>
        <v>183.743623547414</v>
      </c>
      <c r="D29" s="1" t="n">
        <f aca="false">F29/B29</f>
        <v>0.396947690498312</v>
      </c>
      <c r="E29" s="1" t="n">
        <v>16.9957272903307</v>
      </c>
      <c r="F29" s="1" t="n">
        <v>590.913420975782</v>
      </c>
      <c r="G29" s="1" t="n">
        <v>9288.44811615063</v>
      </c>
      <c r="H29" s="1" t="n">
        <f aca="false">F29/G29</f>
        <v>0.0636180999868331</v>
      </c>
      <c r="I29" s="1" t="n">
        <f aca="false">F29-G29</f>
        <v>-8697.53469517485</v>
      </c>
      <c r="J29" s="1" t="n">
        <v>-1488.6430507606</v>
      </c>
      <c r="K29" s="2" t="n">
        <v>-183.743623547414</v>
      </c>
    </row>
    <row r="30" customFormat="false" ht="14.65" hidden="false" customHeight="false" outlineLevel="0" collapsed="false">
      <c r="A30" s="0" t="n">
        <v>1000</v>
      </c>
      <c r="B30" s="1" t="n">
        <f aca="false">0-J30</f>
        <v>1489.02319629982</v>
      </c>
      <c r="C30" s="1" t="n">
        <f aca="false">0-K30</f>
        <v>183.747678932661</v>
      </c>
      <c r="D30" s="1" t="n">
        <f aca="false">F30/B30</f>
        <v>0.39679072839856</v>
      </c>
      <c r="E30" s="1" t="n">
        <v>17.0000332562097</v>
      </c>
      <c r="F30" s="1" t="n">
        <v>590.830598662158</v>
      </c>
      <c r="G30" s="1" t="n">
        <v>107959.588038485</v>
      </c>
      <c r="H30" s="1" t="n">
        <f aca="false">F30/G30</f>
        <v>0.0054727014931878</v>
      </c>
      <c r="I30" s="1" t="n">
        <f aca="false">F30-G30</f>
        <v>-107368.757439823</v>
      </c>
      <c r="J30" s="1" t="n">
        <v>-1489.02319629982</v>
      </c>
      <c r="K30" s="2" t="n">
        <v>-183.747678932661</v>
      </c>
    </row>
    <row r="31" customFormat="false" ht="14.65" hidden="false" customHeight="false" outlineLevel="0" collapsed="false">
      <c r="A31" s="0" t="n">
        <v>10000</v>
      </c>
      <c r="B31" s="1" t="n">
        <f aca="false">0-J31</f>
        <v>1489.02302264364</v>
      </c>
      <c r="C31" s="1" t="n">
        <f aca="false">0-K31</f>
        <v>183.747638369678</v>
      </c>
      <c r="D31" s="1" t="n">
        <f aca="false">F31/B31</f>
        <v>0.396627898409003</v>
      </c>
      <c r="E31" s="1" t="n">
        <v>17.01</v>
      </c>
      <c r="F31" s="1" t="n">
        <v>590.588072153768</v>
      </c>
      <c r="G31" s="1" t="n">
        <v>1094676.30283216</v>
      </c>
      <c r="H31" s="1" t="n">
        <f aca="false">F31/G31</f>
        <v>0.000539509324012762</v>
      </c>
      <c r="I31" s="1" t="n">
        <f aca="false">F31-G31</f>
        <v>-1094085.71476001</v>
      </c>
      <c r="J31" s="1" t="n">
        <v>-1489.02302264364</v>
      </c>
      <c r="K31" s="2" t="n">
        <v>-183.747638369678</v>
      </c>
    </row>
    <row r="32" customFormat="false" ht="14.65" hidden="false" customHeight="false" outlineLevel="0" collapsed="false">
      <c r="K32" s="2"/>
    </row>
    <row r="33" customFormat="false" ht="14.65" hidden="false" customHeight="false" outlineLevel="0" collapsed="false">
      <c r="K33" s="2"/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L40"/>
  <sheetViews>
    <sheetView showFormulas="false" showGridLines="true" showRowColHeaders="true" showZeros="true" rightToLeft="false" tabSelected="false" showOutlineSymbols="true" defaultGridColor="true" view="normal" topLeftCell="A51" colorId="64" zoomScale="100" zoomScaleNormal="100" zoomScalePageLayoutView="100" workbookViewId="0">
      <selection pane="topLeft" activeCell="AK5" activeCellId="0" sqref="AK5 AK5"/>
    </sheetView>
  </sheetViews>
  <sheetFormatPr defaultColWidth="11.0546875" defaultRowHeight="14.65" customHeight="false" zeroHeight="false" outlineLevelRow="0" outlineLevelCol="0"/>
  <sheetData>
    <row r="2" customFormat="false" ht="15.65" hidden="false" customHeight="false" outlineLevel="0" collapsed="false">
      <c r="A2" s="0" t="s">
        <v>34</v>
      </c>
      <c r="B2" s="0" t="n">
        <v>1</v>
      </c>
      <c r="U2" s="0" t="s">
        <v>36</v>
      </c>
      <c r="AF2" s="0" t="s">
        <v>36</v>
      </c>
      <c r="AK2" s="0" t="s">
        <v>37</v>
      </c>
    </row>
    <row r="3" customFormat="false" ht="14.65" hidden="false" customHeight="false" outlineLevel="0" collapsed="false">
      <c r="A3" s="0" t="s">
        <v>9</v>
      </c>
      <c r="B3" s="0" t="s">
        <v>38</v>
      </c>
      <c r="C3" s="1" t="s">
        <v>53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O3" s="2" t="s">
        <v>21</v>
      </c>
      <c r="P3" s="0" t="s">
        <v>41</v>
      </c>
      <c r="Q3" s="0" t="s">
        <v>23</v>
      </c>
      <c r="R3" s="0" t="s">
        <v>24</v>
      </c>
      <c r="S3" s="0" t="s">
        <v>33</v>
      </c>
      <c r="U3" s="2" t="s">
        <v>11</v>
      </c>
      <c r="V3" s="2" t="s">
        <v>12</v>
      </c>
      <c r="W3" s="2" t="s">
        <v>13</v>
      </c>
      <c r="X3" s="2" t="s">
        <v>14</v>
      </c>
      <c r="Y3" s="2" t="s">
        <v>15</v>
      </c>
      <c r="Z3" s="2" t="s">
        <v>16</v>
      </c>
      <c r="AA3" s="2" t="s">
        <v>17</v>
      </c>
      <c r="AB3" s="2" t="s">
        <v>18</v>
      </c>
      <c r="AC3" s="2" t="s">
        <v>19</v>
      </c>
      <c r="AD3" s="2" t="s">
        <v>20</v>
      </c>
      <c r="AF3" s="2" t="s">
        <v>21</v>
      </c>
      <c r="AG3" s="0" t="s">
        <v>41</v>
      </c>
      <c r="AH3" s="0" t="s">
        <v>23</v>
      </c>
      <c r="AI3" s="0" t="s">
        <v>24</v>
      </c>
      <c r="AK3" s="0" t="s">
        <v>42</v>
      </c>
    </row>
    <row r="4" customFormat="false" ht="14.65" hidden="false" customHeight="false" outlineLevel="0" collapsed="false">
      <c r="A4" s="0" t="n">
        <v>0</v>
      </c>
      <c r="B4" s="1" t="n">
        <v>20.000008999995</v>
      </c>
      <c r="C4" s="1" t="n">
        <v>10</v>
      </c>
      <c r="D4" s="2" t="n">
        <f aca="false">beta*(1/(alpha*psi))*(1/alpha)*((-1/alpha*psi)*(EXP(alpha*(zeta+psi*Size))-EXP(alpha*zeta))+(Size*EXP(alpha*zeta)))</f>
        <v>0</v>
      </c>
      <c r="E4" s="2" t="n">
        <f aca="false">beta*(-1/(alpha*psi)^2)*(1/alpha)*(EXP(alpha*(Tau+zeta))-EXP(alpha*(Tau+zeta+psi*Size)))</f>
        <v>0</v>
      </c>
      <c r="F4" s="2" t="n">
        <f aca="false">Tau*beta*EXP(alpha*(Tau+zeta))*(0-(1/(alpha*psi)^2))*(-1+EXP(alpha*psi*Size))</f>
        <v>-0</v>
      </c>
      <c r="G4" s="2" t="n">
        <f aca="false">2*Tau*beta*EXP(alpha*(2*Tau+zeta))*(1/(alpha*psi)^2)*(EXP(alpha*psi*Size))</f>
        <v>257.469807175608</v>
      </c>
      <c r="H4" s="2" t="n">
        <f aca="false">gamma*Size</f>
        <v>0</v>
      </c>
      <c r="I4" s="2" t="n">
        <f aca="false">phi*beta*EXP(alpha*(zeta))*(0-1/(alpha*psi)^2)*((2/(alpha*psi))*(EXP(alpha*psi*Size)-1)-(Size*(EXP(alpha*psi*Size)+1)))</f>
        <v>0</v>
      </c>
      <c r="J4" s="2" t="n">
        <f aca="false">(phi*beta*EXP(alpha*(Tau+zeta)))*(0-1/(alpha*psi)^2)*((1/(alpha*psi))*(1-EXP(alpha*psi*Size))+Size*EXP(alpha*psi*Size))</f>
        <v>-0</v>
      </c>
      <c r="K4" s="2" t="n">
        <f aca="false">(phi*beta*EXP(alpha*(2*Tau+zeta)))*(1/(alpha*psi)^2)*(Size*EXP(alpha*psi*Size))</f>
        <v>0</v>
      </c>
      <c r="L4" s="2" t="n">
        <f aca="false">thetax*beta*(-1/(alpha*psi)^2)*EXP(alpha*(Tau+zeta))*(EXP(alpha*psi*Size)-1)</f>
        <v>-0</v>
      </c>
      <c r="M4" s="2" t="n">
        <f aca="false">thetax*beta*(1/(alpha*psi)^2)*EXP(alpha*(2*Tau+zeta+psi*Size))</f>
        <v>257.469923036957</v>
      </c>
      <c r="O4" s="2" t="n">
        <f aca="false">P4+Q4-R4</f>
        <v>-0.000115861348831459</v>
      </c>
      <c r="P4" s="2" t="n">
        <f aca="false">D4+E4</f>
        <v>0</v>
      </c>
      <c r="Q4" s="2" t="n">
        <f aca="false">2*F4+G4</f>
        <v>257.469807175608</v>
      </c>
      <c r="R4" s="2" t="n">
        <f aca="false">H4+I4+2*J4+K4+2*L4+M4</f>
        <v>257.469923036957</v>
      </c>
      <c r="S4" s="1" t="n">
        <f aca="false">C4</f>
        <v>10</v>
      </c>
      <c r="U4" s="2" t="n">
        <f aca="false">beta*(1/(alpha*psi))*(1/alpha)*((-1/alpha*psi)*(EXP(alpha*(zeta+psi*Size))-EXP(alpha*zeta))+(Size*EXP(alpha*zeta)))</f>
        <v>0</v>
      </c>
      <c r="V4" s="2" t="n">
        <f aca="false">beta*(-1/(alpha*psi)^2)*(1/alpha)*(EXP(alpha*(zeta))-EXP(alpha*(zeta+psi*Size)))</f>
        <v>0</v>
      </c>
      <c r="W4" s="2" t="n">
        <f aca="false">0</f>
        <v>0</v>
      </c>
      <c r="X4" s="2" t="n">
        <v>0</v>
      </c>
      <c r="Y4" s="2" t="n">
        <f aca="false">gamma*Size</f>
        <v>0</v>
      </c>
      <c r="Z4" s="2" t="n">
        <f aca="false">phi*beta*EXP(alpha*(zeta))*(0-1/(alpha*psi)^2)*((2/(alpha*psi))*(EXP(alpha*psi*Size)-1)-(Size*(EXP(alpha*psi*Size)+1)))</f>
        <v>0</v>
      </c>
      <c r="AA4" s="2" t="n">
        <f aca="false">(phi*beta*EXP(alpha*(zeta)))*(0-1/(alpha*psi)^2)*((1/(alpha*psi))*(1-EXP(alpha*psi*Size))+Size*EXP(alpha*psi*Size))</f>
        <v>-0</v>
      </c>
      <c r="AB4" s="2" t="n">
        <f aca="false">(phi*beta*EXP(alpha*(zeta)))*(1/(alpha*psi)^2)*(Size*EXP(alpha*psi*Size))</f>
        <v>0</v>
      </c>
      <c r="AC4" s="2" t="n">
        <f aca="false">0</f>
        <v>0</v>
      </c>
      <c r="AD4" s="2" t="n">
        <v>0</v>
      </c>
      <c r="AF4" s="2" t="n">
        <f aca="false">AG4+AH4-AI4</f>
        <v>0</v>
      </c>
      <c r="AG4" s="2" t="n">
        <f aca="false">U4+V4</f>
        <v>0</v>
      </c>
      <c r="AH4" s="2" t="n">
        <f aca="false">2*W4+X4</f>
        <v>0</v>
      </c>
      <c r="AI4" s="2" t="n">
        <f aca="false">Y4+Z4+2*AA4+AB4+2*AC4+AD4</f>
        <v>0</v>
      </c>
      <c r="AK4" s="2" t="n">
        <f aca="false">AF4-O4</f>
        <v>0.000115861348831459</v>
      </c>
    </row>
    <row r="5" customFormat="false" ht="14.65" hidden="false" customHeight="false" outlineLevel="0" collapsed="false">
      <c r="A5" s="0" t="n">
        <f aca="false">A4+2</f>
        <v>2</v>
      </c>
      <c r="B5" s="1" t="n">
        <v>17.221581698085</v>
      </c>
      <c r="C5" s="1" t="n">
        <v>10</v>
      </c>
      <c r="D5" s="2" t="n">
        <f aca="false">beta*(1/(alpha*psi))*(1/alpha)*((-1/alpha*psi)*(EXP(alpha*(zeta+psi*Size))-EXP(alpha*zeta))+(Size*EXP(alpha*zeta)))</f>
        <v>17.8172434708337</v>
      </c>
      <c r="E5" s="2" t="n">
        <f aca="false">beta*(-1/(alpha*psi)^2)*(1/alpha)*(EXP(alpha*(Tau+zeta))-EXP(alpha*(Tau+zeta+psi*Size)))</f>
        <v>63.4329522509652</v>
      </c>
      <c r="F5" s="2" t="n">
        <f aca="false">Tau*beta*EXP(alpha*(Tau+zeta))*(0-(1/(alpha*psi)^2))*(-1+EXP(alpha*psi*Size))</f>
        <v>63.4329522509653</v>
      </c>
      <c r="G5" s="2" t="n">
        <f aca="false">2*Tau*beta*EXP(alpha*(2*Tau+zeta))*(1/(alpha*psi)^2)*(EXP(alpha*psi*Size))</f>
        <v>210.798449123729</v>
      </c>
      <c r="H5" s="2" t="n">
        <f aca="false">gamma*Size</f>
        <v>10</v>
      </c>
      <c r="I5" s="2" t="n">
        <f aca="false">phi*beta*EXP(alpha*(zeta))*(0-1/(alpha*psi)^2)*((2/(alpha*psi))*(EXP(alpha*psi*Size)-1)-(Size*(EXP(alpha*psi*Size)+1)))</f>
        <v>0.114875865580539</v>
      </c>
      <c r="J5" s="2" t="n">
        <f aca="false">(phi*beta*EXP(alpha*(Tau+zeta)))*(0-1/(alpha*psi)^2)*((1/(alpha*psi))*(1-EXP(alpha*psi*Size))+Size*EXP(alpha*psi*Size))</f>
        <v>0.613199287892725</v>
      </c>
      <c r="K5" s="2" t="n">
        <f aca="false">(phi*beta*EXP(alpha*(2*Tau+zeta)))*(1/(alpha*psi)^2)*(Size*EXP(alpha*psi*Size))</f>
        <v>2.10798449123729</v>
      </c>
      <c r="L5" s="2" t="n">
        <f aca="false">thetax*beta*(-1/(alpha*psi)^2)*EXP(alpha*(Tau+zeta))*(EXP(alpha*psi*Size)-1)</f>
        <v>109.241576954073</v>
      </c>
      <c r="M5" s="2" t="n">
        <f aca="false">thetax*beta*(1/(alpha*psi)^2)*EXP(alpha*(2*Tau+zeta+psi*Size))</f>
        <v>181.514135670696</v>
      </c>
      <c r="O5" s="2" t="n">
        <f aca="false">P5+Q5-R5</f>
        <v>5.4680008360138</v>
      </c>
      <c r="P5" s="2" t="n">
        <f aca="false">D5+E5</f>
        <v>81.2501957217989</v>
      </c>
      <c r="Q5" s="2" t="n">
        <f aca="false">2*F5+G5</f>
        <v>337.664353625659</v>
      </c>
      <c r="R5" s="2" t="n">
        <f aca="false">H5+I5+2*J5+K5+2*L5+M5</f>
        <v>413.446548511444</v>
      </c>
      <c r="S5" s="1" t="n">
        <f aca="false">C5</f>
        <v>10</v>
      </c>
      <c r="U5" s="2" t="n">
        <f aca="false">beta*(1/(alpha*psi))*(1/alpha)*((-1/alpha*psi)*(EXP(alpha*(zeta+psi*Size))-EXP(alpha*zeta))+(Size*EXP(alpha*zeta)))</f>
        <v>17.8172434708337</v>
      </c>
      <c r="V5" s="2" t="n">
        <f aca="false">beta*(-1/(alpha*psi)^2)*(1/alpha)*(EXP(alpha*(zeta))-EXP(alpha*(zeta+psi*Size)))</f>
        <v>172.428641429309</v>
      </c>
      <c r="W5" s="2" t="n">
        <f aca="false">0</f>
        <v>0</v>
      </c>
      <c r="X5" s="2" t="n">
        <v>0</v>
      </c>
      <c r="Y5" s="2" t="n">
        <f aca="false">gamma*Size</f>
        <v>10</v>
      </c>
      <c r="Z5" s="2" t="n">
        <f aca="false">phi*beta*EXP(alpha*(zeta))*(0-1/(alpha*psi)^2)*((2/(alpha*psi))*(EXP(alpha*psi*Size)-1)-(Size*(EXP(alpha*psi*Size)+1)))</f>
        <v>0.114875865580539</v>
      </c>
      <c r="AA5" s="2" t="n">
        <f aca="false">(phi*beta*EXP(alpha*(zeta)))*(0-1/(alpha*psi)^2)*((1/(alpha*psi))*(1-EXP(alpha*psi*Size))+Size*EXP(alpha*psi*Size))</f>
        <v>1.66684848150282</v>
      </c>
      <c r="AB5" s="2" t="n">
        <f aca="false">(phi*beta*EXP(alpha*(zeta)))*(1/(alpha*psi)^2)*(Size*EXP(alpha*psi*Size))</f>
        <v>15.5760156614281</v>
      </c>
      <c r="AC5" s="2" t="n">
        <f aca="false">0</f>
        <v>0</v>
      </c>
      <c r="AD5" s="2" t="n">
        <v>0</v>
      </c>
      <c r="AF5" s="2" t="n">
        <f aca="false">AG5+AH5-AI5</f>
        <v>161.221296410129</v>
      </c>
      <c r="AG5" s="2" t="n">
        <f aca="false">U5+V5</f>
        <v>190.245884900143</v>
      </c>
      <c r="AH5" s="2" t="n">
        <f aca="false">2*W5+X5</f>
        <v>0</v>
      </c>
      <c r="AI5" s="2" t="n">
        <f aca="false">Y5+Z5+2*AA5+AB5+2*AC5+AD5</f>
        <v>29.0245884900143</v>
      </c>
      <c r="AK5" s="2" t="n">
        <f aca="false">AF5-O5</f>
        <v>155.753295574115</v>
      </c>
      <c r="AL5" s="0" t="s">
        <v>54</v>
      </c>
    </row>
    <row r="6" customFormat="false" ht="14.65" hidden="false" customHeight="false" outlineLevel="0" collapsed="false">
      <c r="A6" s="0" t="n">
        <f aca="false">A5+2</f>
        <v>4</v>
      </c>
      <c r="B6" s="1" t="n">
        <v>16.6893179563916</v>
      </c>
      <c r="C6" s="1" t="n">
        <v>10</v>
      </c>
      <c r="D6" s="2" t="n">
        <f aca="false">beta*(1/(alpha*psi))*(1/alpha)*((-1/alpha*psi)*(EXP(alpha*(zeta+psi*Size))-EXP(alpha*zeta))+(Size*EXP(alpha*zeta)))</f>
        <v>66.890496921345</v>
      </c>
      <c r="E6" s="2" t="n">
        <f aca="false">beta*(-1/(alpha*psi)^2)*(1/alpha)*(EXP(alpha*(Tau+zeta))-EXP(alpha*(Tau+zeta+psi*Size)))</f>
        <v>115.367461017358</v>
      </c>
      <c r="F6" s="2" t="n">
        <f aca="false">Tau*beta*EXP(alpha*(Tau+zeta))*(0-(1/(alpha*psi)^2))*(-1+EXP(alpha*psi*Size))</f>
        <v>115.367461017358</v>
      </c>
      <c r="G6" s="2" t="n">
        <f aca="false">2*Tau*beta*EXP(alpha*(2*Tau+zeta))*(1/(alpha*psi)^2)*(EXP(alpha*psi*Size))</f>
        <v>172.587172998741</v>
      </c>
      <c r="H6" s="2" t="n">
        <f aca="false">gamma*Size</f>
        <v>20</v>
      </c>
      <c r="I6" s="2" t="n">
        <f aca="false">phi*beta*EXP(alpha*(zeta))*(0-1/(alpha*psi)^2)*((2/(alpha*psi))*(EXP(alpha*psi*Size)-1)-(Size*(EXP(alpha*psi*Size)+1)))</f>
        <v>0.834048469111355</v>
      </c>
      <c r="J6" s="2" t="n">
        <f aca="false">(phi*beta*EXP(alpha*(Tau+zeta)))*(0-1/(alpha*psi)^2)*((1/(alpha*psi))*(1-EXP(alpha*psi*Size))+Size*EXP(alpha*psi*Size))</f>
        <v>2.15393457798386</v>
      </c>
      <c r="K6" s="2" t="n">
        <f aca="false">(phi*beta*EXP(alpha*(2*Tau+zeta)))*(1/(alpha*psi)^2)*(Size*EXP(alpha*psi*Size))</f>
        <v>3.45174345997482</v>
      </c>
      <c r="L6" s="2" t="n">
        <f aca="false">thetax*beta*(-1/(alpha*psi)^2)*EXP(alpha*(Tau+zeta))*(EXP(alpha*psi*Size)-1)</f>
        <v>192.540423874029</v>
      </c>
      <c r="M6" s="2" t="n">
        <f aca="false">thetax*beta*(1/(alpha*psi)^2)*EXP(alpha*(2*Tau+zeta+psi*Size))</f>
        <v>144.018110268537</v>
      </c>
      <c r="O6" s="2" t="n">
        <f aca="false">P6+Q6-R6</f>
        <v>27.8874338705093</v>
      </c>
      <c r="P6" s="2" t="n">
        <f aca="false">D6+E6</f>
        <v>182.257957938703</v>
      </c>
      <c r="Q6" s="2" t="n">
        <f aca="false">2*F6+G6</f>
        <v>403.322095033456</v>
      </c>
      <c r="R6" s="2" t="n">
        <f aca="false">H6+I6+2*J6+K6+2*L6+M6</f>
        <v>557.69261910165</v>
      </c>
      <c r="S6" s="1" t="n">
        <f aca="false">C6</f>
        <v>10</v>
      </c>
      <c r="U6" s="2" t="n">
        <f aca="false">beta*(1/(alpha*psi))*(1/alpha)*((-1/alpha*psi)*(EXP(alpha*(zeta+psi*Size))-EXP(alpha*zeta))+(Size*EXP(alpha*zeta)))</f>
        <v>66.890496921345</v>
      </c>
      <c r="V6" s="2" t="n">
        <f aca="false">beta*(-1/(alpha*psi)^2)*(1/alpha)*(EXP(alpha*(zeta))-EXP(alpha*(zeta+psi*Size)))</f>
        <v>313.601272878941</v>
      </c>
      <c r="W6" s="2" t="n">
        <f aca="false">0</f>
        <v>0</v>
      </c>
      <c r="X6" s="2" t="n">
        <v>0</v>
      </c>
      <c r="Y6" s="2" t="n">
        <f aca="false">gamma*Size</f>
        <v>20</v>
      </c>
      <c r="Z6" s="2" t="n">
        <f aca="false">phi*beta*EXP(alpha*(zeta))*(0-1/(alpha*psi)^2)*((2/(alpha*psi))*(EXP(alpha*psi*Size)-1)-(Size*(EXP(alpha*psi*Size)+1)))</f>
        <v>0.834048469111355</v>
      </c>
      <c r="AA6" s="2" t="n">
        <f aca="false">(phi*beta*EXP(alpha*(zeta)))*(0-1/(alpha*psi)^2)*((1/(alpha*psi))*(1-EXP(alpha*psi*Size))+Size*EXP(alpha*psi*Size))</f>
        <v>5.85500122302314</v>
      </c>
      <c r="AB6" s="2" t="n">
        <f aca="false">(phi*beta*EXP(alpha*(zeta)))*(1/(alpha*psi)^2)*(Size*EXP(alpha*psi*Size))</f>
        <v>25.5051260648709</v>
      </c>
      <c r="AC6" s="2" t="n">
        <f aca="false">0</f>
        <v>0</v>
      </c>
      <c r="AD6" s="2" t="n">
        <v>0</v>
      </c>
      <c r="AF6" s="2" t="n">
        <f aca="false">AG6+AH6-AI6</f>
        <v>322.442592820257</v>
      </c>
      <c r="AG6" s="2" t="n">
        <f aca="false">U6+V6</f>
        <v>380.491769800286</v>
      </c>
      <c r="AH6" s="2" t="n">
        <f aca="false">2*W6+X6</f>
        <v>0</v>
      </c>
      <c r="AI6" s="2" t="n">
        <f aca="false">Y6+Z6+2*AA6+AB6+2*AC6+AD6</f>
        <v>58.0491769800286</v>
      </c>
      <c r="AK6" s="2" t="n">
        <f aca="false">AF6-O6</f>
        <v>294.555158949748</v>
      </c>
    </row>
    <row r="7" customFormat="false" ht="14.65" hidden="false" customHeight="false" outlineLevel="0" collapsed="false">
      <c r="A7" s="0" t="n">
        <f aca="false">A6+2</f>
        <v>6</v>
      </c>
      <c r="B7" s="1" t="n">
        <v>16.6903223311693</v>
      </c>
      <c r="C7" s="1" t="n">
        <v>10</v>
      </c>
      <c r="D7" s="2" t="n">
        <f aca="false">beta*(1/(alpha*psi))*(1/alpha)*((-1/alpha*psi)*(EXP(alpha*(zeta+psi*Size))-EXP(alpha*zeta))+(Size*EXP(alpha*zeta)))</f>
        <v>141.55400696073</v>
      </c>
      <c r="E7" s="2" t="n">
        <f aca="false">beta*(-1/(alpha*psi)^2)*(1/alpha)*(EXP(alpha*(Tau+zeta))-EXP(alpha*(Tau+zeta+psi*Size)))</f>
        <v>157.887840490401</v>
      </c>
      <c r="F7" s="2" t="n">
        <f aca="false">Tau*beta*EXP(alpha*(Tau+zeta))*(0-(1/(alpha*psi)^2))*(-1+EXP(alpha*psi*Size))</f>
        <v>157.887840490401</v>
      </c>
      <c r="G7" s="2" t="n">
        <f aca="false">2*Tau*beta*EXP(alpha*(2*Tau+zeta))*(1/(alpha*psi)^2)*(EXP(alpha*psi*Size))</f>
        <v>141.302426120859</v>
      </c>
      <c r="H7" s="2" t="n">
        <f aca="false">gamma*Size</f>
        <v>30</v>
      </c>
      <c r="I7" s="2" t="n">
        <f aca="false">phi*beta*EXP(alpha*(zeta))*(0-1/(alpha*psi)^2)*((2/(alpha*psi))*(EXP(alpha*psi*Size)-1)-(Size*(EXP(alpha*psi*Size)+1)))</f>
        <v>2.55978252776422</v>
      </c>
      <c r="J7" s="2" t="n">
        <f aca="false">(phi*beta*EXP(alpha*(Tau+zeta)))*(0-1/(alpha*psi)^2)*((1/(alpha*psi))*(1-EXP(alpha*psi*Size))+Size*EXP(alpha*psi*Size))</f>
        <v>4.26578953179488</v>
      </c>
      <c r="K7" s="2" t="n">
        <f aca="false">(phi*beta*EXP(alpha*(2*Tau+zeta)))*(1/(alpha*psi)^2)*(Size*EXP(alpha*psi*Size))</f>
        <v>4.23907278362577</v>
      </c>
      <c r="L7" s="2" t="n">
        <f aca="false">thetax*beta*(-1/(alpha*psi)^2)*EXP(alpha*(Tau+zeta))*(EXP(alpha*psi*Size)-1)</f>
        <v>263.519894995703</v>
      </c>
      <c r="M7" s="2" t="n">
        <f aca="false">thetax*beta*(1/(alpha*psi)^2)*EXP(alpha*(2*Tau+zeta+psi*Size))</f>
        <v>117.919151906669</v>
      </c>
      <c r="O7" s="2" t="n">
        <f aca="false">P7+Q7-R7</f>
        <v>66.2305782797379</v>
      </c>
      <c r="P7" s="2" t="n">
        <f aca="false">D7+E7</f>
        <v>299.441847451132</v>
      </c>
      <c r="Q7" s="2" t="n">
        <f aca="false">2*F7+G7</f>
        <v>457.078107101662</v>
      </c>
      <c r="R7" s="2" t="n">
        <f aca="false">H7+I7+2*J7+K7+2*L7+M7</f>
        <v>690.289376273055</v>
      </c>
      <c r="S7" s="1" t="n">
        <f aca="false">C7</f>
        <v>10</v>
      </c>
      <c r="U7" s="2" t="n">
        <f aca="false">beta*(1/(alpha*psi))*(1/alpha)*((-1/alpha*psi)*(EXP(alpha*(zeta+psi*Size))-EXP(alpha*zeta))+(Size*EXP(alpha*zeta)))</f>
        <v>141.55400696073</v>
      </c>
      <c r="V7" s="2" t="n">
        <f aca="false">beta*(-1/(alpha*psi)^2)*(1/alpha)*(EXP(alpha*(zeta))-EXP(alpha*(zeta+psi*Size)))</f>
        <v>429.183647739698</v>
      </c>
      <c r="W7" s="2" t="n">
        <f aca="false">0</f>
        <v>0</v>
      </c>
      <c r="X7" s="2" t="n">
        <v>0</v>
      </c>
      <c r="Y7" s="2" t="n">
        <f aca="false">gamma*Size</f>
        <v>30</v>
      </c>
      <c r="Z7" s="2" t="n">
        <f aca="false">phi*beta*EXP(alpha*(zeta))*(0-1/(alpha*psi)^2)*((2/(alpha*psi))*(EXP(alpha*psi*Size)-1)-(Size*(EXP(alpha*psi*Size)+1)))</f>
        <v>2.55978252776422</v>
      </c>
      <c r="AA7" s="2" t="n">
        <f aca="false">(phi*beta*EXP(alpha*(zeta)))*(0-1/(alpha*psi)^2)*((1/(alpha*psi))*(1-EXP(alpha*psi*Size))+Size*EXP(alpha*psi*Size))</f>
        <v>11.5956181683088</v>
      </c>
      <c r="AB7" s="2" t="n">
        <f aca="false">(phi*beta*EXP(alpha*(zeta)))*(1/(alpha*psi)^2)*(Size*EXP(alpha*psi*Size))</f>
        <v>31.322746605661</v>
      </c>
      <c r="AC7" s="2" t="n">
        <f aca="false">0</f>
        <v>0</v>
      </c>
      <c r="AD7" s="2" t="n">
        <v>0</v>
      </c>
      <c r="AF7" s="2" t="n">
        <f aca="false">AG7+AH7-AI7</f>
        <v>483.663889230385</v>
      </c>
      <c r="AG7" s="2" t="n">
        <f aca="false">U7+V7</f>
        <v>570.737654700428</v>
      </c>
      <c r="AH7" s="2" t="n">
        <f aca="false">2*W7+X7</f>
        <v>0</v>
      </c>
      <c r="AI7" s="2" t="n">
        <f aca="false">Y7+Z7+2*AA7+AB7+2*AC7+AD7</f>
        <v>87.0737654700429</v>
      </c>
      <c r="AK7" s="2" t="n">
        <f aca="false">AF7-O7</f>
        <v>417.433310950648</v>
      </c>
    </row>
    <row r="8" customFormat="false" ht="14.65" hidden="false" customHeight="false" outlineLevel="0" collapsed="false">
      <c r="A8" s="0" t="n">
        <f aca="false">A7+2</f>
        <v>8</v>
      </c>
      <c r="B8" s="1" t="n">
        <v>16.8785874219648</v>
      </c>
      <c r="C8" s="1" t="n">
        <v>10</v>
      </c>
      <c r="D8" s="2" t="n">
        <f aca="false">beta*(1/(alpha*psi))*(1/alpha)*((-1/alpha*psi)*(EXP(alpha*(zeta+psi*Size))-EXP(alpha*zeta))+(Size*EXP(alpha*zeta)))</f>
        <v>237.169047048584</v>
      </c>
      <c r="E8" s="2" t="n">
        <f aca="false">beta*(-1/(alpha*psi)^2)*(1/alpha)*(EXP(alpha*(Tau+zeta))-EXP(alpha*(Tau+zeta+psi*Size)))</f>
        <v>192.700582797528</v>
      </c>
      <c r="F8" s="2" t="n">
        <f aca="false">Tau*beta*EXP(alpha*(Tau+zeta))*(0-(1/(alpha*psi)^2))*(-1+EXP(alpha*psi*Size))</f>
        <v>192.700582797528</v>
      </c>
      <c r="G8" s="2" t="n">
        <f aca="false">2*Tau*beta*EXP(alpha*(2*Tau+zeta))*(1/(alpha*psi)^2)*(EXP(alpha*psi*Size))</f>
        <v>115.688641749677</v>
      </c>
      <c r="H8" s="2" t="n">
        <f aca="false">gamma*Size</f>
        <v>40</v>
      </c>
      <c r="I8" s="2" t="n">
        <f aca="false">phi*beta*EXP(alpha*(zeta))*(0-1/(alpha*psi)^2)*((2/(alpha*psi))*(EXP(alpha*psi*Size)-1)-(Size*(EXP(alpha*psi*Size)+1)))</f>
        <v>5.52865000555778</v>
      </c>
      <c r="J8" s="2" t="n">
        <f aca="false">(phi*beta*EXP(alpha*(Tau+zeta)))*(0-1/(alpha*psi)^2)*((1/(alpha*psi))*(1-EXP(alpha*psi*Size))+Size*EXP(alpha*psi*Size))</f>
        <v>6.69108497466257</v>
      </c>
      <c r="K8" s="2" t="n">
        <f aca="false">(phi*beta*EXP(alpha*(2*Tau+zeta)))*(1/(alpha*psi)^2)*(Size*EXP(alpha*psi*Size))</f>
        <v>4.62754566998708</v>
      </c>
      <c r="L8" s="2" t="n">
        <f aca="false">thetax*beta*(-1/(alpha*psi)^2)*EXP(alpha*(Tau+zeta))*(EXP(alpha*psi*Size)-1)</f>
        <v>325.251363301163</v>
      </c>
      <c r="M8" s="2" t="n">
        <f aca="false">thetax*beta*(1/(alpha*psi)^2)*EXP(alpha*(2*Tau+zeta+psi*Size))</f>
        <v>97.6330426750143</v>
      </c>
      <c r="O8" s="2" t="n">
        <f aca="false">P8+Q8-R8</f>
        <v>119.285302288633</v>
      </c>
      <c r="P8" s="2" t="n">
        <f aca="false">D8+E8</f>
        <v>429.869629846112</v>
      </c>
      <c r="Q8" s="2" t="n">
        <f aca="false">2*F8+G8</f>
        <v>501.089807344732</v>
      </c>
      <c r="R8" s="2" t="n">
        <f aca="false">H8+I8+2*J8+K8+2*L8+M8</f>
        <v>811.674134902211</v>
      </c>
      <c r="S8" s="1" t="n">
        <f aca="false">C8</f>
        <v>10</v>
      </c>
      <c r="U8" s="2" t="n">
        <f aca="false">beta*(1/(alpha*psi))*(1/alpha)*((-1/alpha*psi)*(EXP(alpha*(zeta+psi*Size))-EXP(alpha*zeta))+(Size*EXP(alpha*zeta)))</f>
        <v>237.169047048584</v>
      </c>
      <c r="V8" s="2" t="n">
        <f aca="false">beta*(-1/(alpha*psi)^2)*(1/alpha)*(EXP(alpha*(zeta))-EXP(alpha*(zeta+psi*Size)))</f>
        <v>523.814492551987</v>
      </c>
      <c r="W8" s="2" t="n">
        <f aca="false">0</f>
        <v>0</v>
      </c>
      <c r="X8" s="2" t="n">
        <v>0</v>
      </c>
      <c r="Y8" s="2" t="n">
        <f aca="false">gamma*Size</f>
        <v>40</v>
      </c>
      <c r="Z8" s="2" t="n">
        <f aca="false">phi*beta*EXP(alpha*(zeta))*(0-1/(alpha*psi)^2)*((2/(alpha*psi))*(EXP(alpha*psi*Size)-1)-(Size*(EXP(alpha*psi*Size)+1)))</f>
        <v>5.52865000555778</v>
      </c>
      <c r="AA8" s="2" t="n">
        <f aca="false">(phi*beta*EXP(alpha*(zeta)))*(0-1/(alpha*psi)^2)*((1/(alpha*psi))*(1-EXP(alpha*psi*Size))+Size*EXP(alpha*psi*Size))</f>
        <v>18.1882546993006</v>
      </c>
      <c r="AB8" s="2" t="n">
        <f aca="false">(phi*beta*EXP(alpha*(zeta)))*(1/(alpha*psi)^2)*(Size*EXP(alpha*psi*Size))</f>
        <v>34.1931945558981</v>
      </c>
      <c r="AC8" s="2" t="n">
        <f aca="false">0</f>
        <v>0</v>
      </c>
      <c r="AD8" s="2" t="n">
        <v>0</v>
      </c>
      <c r="AF8" s="2" t="n">
        <f aca="false">AG8+AH8-AI8</f>
        <v>644.885185640514</v>
      </c>
      <c r="AG8" s="2" t="n">
        <f aca="false">U8+V8</f>
        <v>760.983539600571</v>
      </c>
      <c r="AH8" s="2" t="n">
        <f aca="false">2*W8+X8</f>
        <v>0</v>
      </c>
      <c r="AI8" s="2" t="n">
        <f aca="false">Y8+Z8+2*AA8+AB8+2*AC8+AD8</f>
        <v>116.098353960057</v>
      </c>
      <c r="AK8" s="2" t="n">
        <f aca="false">AF8-O8</f>
        <v>525.599883351881</v>
      </c>
    </row>
    <row r="9" customFormat="false" ht="14.65" hidden="false" customHeight="false" outlineLevel="0" collapsed="false">
      <c r="A9" s="0" t="n">
        <f aca="false">A8+2</f>
        <v>10</v>
      </c>
      <c r="B9" s="1" t="n">
        <v>17.1392817425727</v>
      </c>
      <c r="C9" s="1" t="n">
        <v>10</v>
      </c>
      <c r="D9" s="2" t="n">
        <f aca="false">beta*(1/(alpha*psi))*(1/alpha)*((-1/alpha*psi)*(EXP(alpha*(zeta+psi*Size))-EXP(alpha*zeta))+(Size*EXP(alpha*zeta)))</f>
        <v>349.937749111155</v>
      </c>
      <c r="E9" s="2" t="n">
        <f aca="false">beta*(-1/(alpha*psi)^2)*(1/alpha)*(EXP(alpha*(Tau+zeta))-EXP(alpha*(Tau+zeta+psi*Size)))</f>
        <v>221.202845523351</v>
      </c>
      <c r="F9" s="2" t="n">
        <f aca="false">Tau*beta*EXP(alpha*(Tau+zeta))*(0-(1/(alpha*psi)^2))*(-1+EXP(alpha*psi*Size))</f>
        <v>221.202845523351</v>
      </c>
      <c r="G9" s="2" t="n">
        <f aca="false">2*Tau*beta*EXP(alpha*(2*Tau+zeta))*(1/(alpha*psi)^2)*(EXP(alpha*psi*Size))</f>
        <v>94.7178487822818</v>
      </c>
      <c r="H9" s="2" t="n">
        <f aca="false">gamma*Size</f>
        <v>50</v>
      </c>
      <c r="I9" s="2" t="n">
        <f aca="false">phi*beta*EXP(alpha*(zeta))*(0-1/(alpha*psi)^2)*((2/(alpha*psi))*(EXP(alpha*psi*Size)-1)-(Size*(EXP(alpha*psi*Size)+1)))</f>
        <v>9.85838228327522</v>
      </c>
      <c r="J9" s="2" t="n">
        <f aca="false">(phi*beta*EXP(alpha*(Tau+zeta)))*(0-1/(alpha*psi)^2)*((1/(alpha*psi))*(1-EXP(alpha*psi*Size))+Size*EXP(alpha*psi*Size))</f>
        <v>9.24679419355469</v>
      </c>
      <c r="K9" s="2" t="n">
        <f aca="false">(phi*beta*EXP(alpha*(2*Tau+zeta)))*(1/(alpha*psi)^2)*(Size*EXP(alpha*psi*Size))</f>
        <v>4.73589243911409</v>
      </c>
      <c r="L9" s="2" t="n">
        <f aca="false">thetax*beta*(-1/(alpha*psi)^2)*EXP(alpha*(Tau+zeta))*(EXP(alpha*psi*Size)-1)</f>
        <v>379.125789168351</v>
      </c>
      <c r="M9" s="2" t="n">
        <f aca="false">thetax*beta*(1/(alpha*psi)^2)*EXP(alpha*(2*Tau+zeta+psi*Size))</f>
        <v>81.1697948164964</v>
      </c>
      <c r="O9" s="2" t="n">
        <f aca="false">P9+Q9-R9</f>
        <v>185.754898200794</v>
      </c>
      <c r="P9" s="2" t="n">
        <f aca="false">D9+E9</f>
        <v>571.140594634506</v>
      </c>
      <c r="Q9" s="2" t="n">
        <f aca="false">2*F9+G9</f>
        <v>537.123539828984</v>
      </c>
      <c r="R9" s="2" t="n">
        <f aca="false">H9+I9+2*J9+K9+2*L9+M9</f>
        <v>922.509236262696</v>
      </c>
      <c r="S9" s="1" t="n">
        <f aca="false">C9</f>
        <v>10</v>
      </c>
      <c r="U9" s="2" t="n">
        <f aca="false">beta*(1/(alpha*psi))*(1/alpha)*((-1/alpha*psi)*(EXP(alpha*(zeta+psi*Size))-EXP(alpha*zeta))+(Size*EXP(alpha*zeta)))</f>
        <v>349.937749111155</v>
      </c>
      <c r="V9" s="2" t="n">
        <f aca="false">beta*(-1/(alpha*psi)^2)*(1/alpha)*(EXP(alpha*(zeta))-EXP(alpha*(zeta+psi*Size)))</f>
        <v>601.291675389559</v>
      </c>
      <c r="W9" s="2" t="n">
        <f aca="false">0</f>
        <v>0</v>
      </c>
      <c r="X9" s="2" t="n">
        <v>0</v>
      </c>
      <c r="Y9" s="2" t="n">
        <f aca="false">gamma*Size</f>
        <v>50</v>
      </c>
      <c r="Z9" s="2" t="n">
        <f aca="false">phi*beta*EXP(alpha*(zeta))*(0-1/(alpha*psi)^2)*((2/(alpha*psi))*(EXP(alpha*psi*Size)-1)-(Size*(EXP(alpha*psi*Size)+1)))</f>
        <v>9.85838228327522</v>
      </c>
      <c r="AA9" s="2" t="n">
        <f aca="false">(phi*beta*EXP(alpha*(zeta)))*(0-1/(alpha*psi)^2)*((1/(alpha*psi))*(1-EXP(alpha*psi*Size))+Size*EXP(alpha*psi*Size))</f>
        <v>25.1353926278403</v>
      </c>
      <c r="AB9" s="2" t="n">
        <f aca="false">(phi*beta*EXP(alpha*(zeta)))*(1/(alpha*psi)^2)*(Size*EXP(alpha*psi*Size))</f>
        <v>34.9937749111155</v>
      </c>
      <c r="AC9" s="2" t="n">
        <f aca="false">0</f>
        <v>0</v>
      </c>
      <c r="AD9" s="2" t="n">
        <v>0</v>
      </c>
      <c r="AF9" s="2" t="n">
        <f aca="false">AG9+AH9-AI9</f>
        <v>806.106482050643</v>
      </c>
      <c r="AG9" s="2" t="n">
        <f aca="false">U9+V9</f>
        <v>951.229424500714</v>
      </c>
      <c r="AH9" s="2" t="n">
        <f aca="false">2*W9+X9</f>
        <v>0</v>
      </c>
      <c r="AI9" s="2" t="n">
        <f aca="false">Y9+Z9+2*AA9+AB9+2*AC9+AD9</f>
        <v>145.122942450071</v>
      </c>
      <c r="AK9" s="2" t="n">
        <f aca="false">AF9-O9</f>
        <v>620.351583849849</v>
      </c>
    </row>
    <row r="10" customFormat="false" ht="14.65" hidden="false" customHeight="false" outlineLevel="0" collapsed="false">
      <c r="A10" s="0" t="n">
        <f aca="false">A9+2</f>
        <v>12</v>
      </c>
      <c r="B10" s="1" t="n">
        <v>17.4241217207697</v>
      </c>
      <c r="C10" s="1" t="n">
        <v>10</v>
      </c>
      <c r="D10" s="2" t="n">
        <f aca="false">beta*(1/(alpha*psi))*(1/alpha)*((-1/alpha*psi)*(EXP(alpha*(zeta+psi*Size))-EXP(alpha*zeta))+(Size*EXP(alpha*zeta)))</f>
        <v>476.750681760333</v>
      </c>
      <c r="E10" s="2" t="n">
        <f aca="false">beta*(-1/(alpha*psi)^2)*(1/alpha)*(EXP(alpha*(Tau+zeta))-EXP(alpha*(Tau+zeta+psi*Size)))</f>
        <v>244.538524549291</v>
      </c>
      <c r="F10" s="2" t="n">
        <f aca="false">Tau*beta*EXP(alpha*(Tau+zeta))*(0-(1/(alpha*psi)^2))*(-1+EXP(alpha*psi*Size))</f>
        <v>244.538524549291</v>
      </c>
      <c r="G10" s="2" t="n">
        <f aca="false">2*Tau*beta*EXP(alpha*(2*Tau+zeta))*(1/(alpha*psi)^2)*(EXP(alpha*psi*Size))</f>
        <v>77.548415663444</v>
      </c>
      <c r="H10" s="2" t="n">
        <f aca="false">gamma*Size</f>
        <v>60</v>
      </c>
      <c r="I10" s="2" t="n">
        <f aca="false">phi*beta*EXP(alpha*(zeta))*(0-1/(alpha*psi)^2)*((2/(alpha*psi))*(EXP(alpha*psi*Size)-1)-(Size*(EXP(alpha*psi*Size)+1)))</f>
        <v>15.5831810352037</v>
      </c>
      <c r="J10" s="2" t="n">
        <f aca="false">(phi*beta*EXP(alpha*(Tau+zeta)))*(0-1/(alpha*psi)^2)*((1/(alpha*psi))*(1-EXP(alpha*psi*Size))+Size*EXP(alpha*psi*Size))</f>
        <v>11.8059455075054</v>
      </c>
      <c r="K10" s="2" t="n">
        <f aca="false">(phi*beta*EXP(alpha*(2*Tau+zeta)))*(1/(alpha*psi)^2)*(Size*EXP(alpha*psi*Size))</f>
        <v>4.65290493980664</v>
      </c>
      <c r="L10" s="2" t="n">
        <f aca="false">thetax*beta*(-1/(alpha*psi)^2)*EXP(alpha*(Tau+zeta))*(EXP(alpha*psi*Size)-1)</f>
        <v>426.086901716427</v>
      </c>
      <c r="M10" s="2" t="n">
        <f aca="false">thetax*beta*(1/(alpha*psi)^2)*EXP(alpha*(2*Tau+zeta+psi*Size))</f>
        <v>67.5606516886345</v>
      </c>
      <c r="O10" s="2" t="n">
        <f aca="false">P10+Q10-R10</f>
        <v>264.33223896014</v>
      </c>
      <c r="P10" s="2" t="n">
        <f aca="false">D10+E10</f>
        <v>721.289206309624</v>
      </c>
      <c r="Q10" s="2" t="n">
        <f aca="false">2*F10+G10</f>
        <v>566.625464762026</v>
      </c>
      <c r="R10" s="2" t="n">
        <f aca="false">H10+I10+2*J10+K10+2*L10+M10</f>
        <v>1023.58243211151</v>
      </c>
      <c r="S10" s="1" t="n">
        <f aca="false">C10</f>
        <v>10</v>
      </c>
      <c r="U10" s="2" t="n">
        <f aca="false">beta*(1/(alpha*psi))*(1/alpha)*((-1/alpha*psi)*(EXP(alpha*(zeta+psi*Size))-EXP(alpha*zeta))+(Size*EXP(alpha*zeta)))</f>
        <v>476.750681760333</v>
      </c>
      <c r="V10" s="2" t="n">
        <f aca="false">beta*(-1/(alpha*psi)^2)*(1/alpha)*(EXP(alpha*(zeta))-EXP(alpha*(zeta+psi*Size)))</f>
        <v>664.724627640524</v>
      </c>
      <c r="W10" s="2" t="n">
        <f aca="false">0</f>
        <v>0</v>
      </c>
      <c r="X10" s="2" t="n">
        <v>0</v>
      </c>
      <c r="Y10" s="2" t="n">
        <f aca="false">gamma*Size</f>
        <v>60</v>
      </c>
      <c r="Z10" s="2" t="n">
        <f aca="false">phi*beta*EXP(alpha*(zeta))*(0-1/(alpha*psi)^2)*((2/(alpha*psi))*(EXP(alpha*psi*Size)-1)-(Size*(EXP(alpha*psi*Size)+1)))</f>
        <v>15.5831810352037</v>
      </c>
      <c r="AA10" s="2" t="n">
        <f aca="false">(phi*beta*EXP(alpha*(zeta)))*(0-1/(alpha*psi)^2)*((1/(alpha*psi))*(1-EXP(alpha*psi*Size))+Size*EXP(alpha*psi*Size))</f>
        <v>32.0918871408296</v>
      </c>
      <c r="AB10" s="2" t="n">
        <f aca="false">(phi*beta*EXP(alpha*(zeta)))*(1/(alpha*psi)^2)*(Size*EXP(alpha*psi*Size))</f>
        <v>34.3805756232228</v>
      </c>
      <c r="AC10" s="2" t="n">
        <f aca="false">0</f>
        <v>0</v>
      </c>
      <c r="AD10" s="2" t="n">
        <v>0</v>
      </c>
      <c r="AF10" s="2" t="n">
        <f aca="false">AG10+AH10-AI10</f>
        <v>967.327778460771</v>
      </c>
      <c r="AG10" s="2" t="n">
        <f aca="false">U10+V10</f>
        <v>1141.47530940086</v>
      </c>
      <c r="AH10" s="2" t="n">
        <f aca="false">2*W10+X10</f>
        <v>0</v>
      </c>
      <c r="AI10" s="2" t="n">
        <f aca="false">Y10+Z10+2*AA10+AB10+2*AC10+AD10</f>
        <v>174.147530940086</v>
      </c>
      <c r="AK10" s="2" t="n">
        <f aca="false">AF10-O10</f>
        <v>702.99553950063</v>
      </c>
    </row>
    <row r="11" customFormat="false" ht="14.65" hidden="false" customHeight="false" outlineLevel="0" collapsed="false">
      <c r="A11" s="0" t="n">
        <f aca="false">A10+2</f>
        <v>14</v>
      </c>
      <c r="B11" s="1" t="n">
        <v>17.7101098907965</v>
      </c>
      <c r="C11" s="1" t="n">
        <v>10</v>
      </c>
      <c r="D11" s="2" t="n">
        <f aca="false">beta*(1/(alpha*psi))*(1/alpha)*((-1/alpha*psi)*(EXP(alpha*(zeta+psi*Size))-EXP(alpha*zeta))+(Size*EXP(alpha*zeta)))</f>
        <v>615.062057894083</v>
      </c>
      <c r="E11" s="2" t="n">
        <f aca="false">beta*(-1/(alpha*psi)^2)*(1/alpha)*(EXP(alpha*(Tau+zeta))-EXP(alpha*(Tau+zeta+psi*Size)))</f>
        <v>263.644162611785</v>
      </c>
      <c r="F11" s="2" t="n">
        <f aca="false">Tau*beta*EXP(alpha*(Tau+zeta))*(0-(1/(alpha*psi)^2))*(-1+EXP(alpha*psi*Size))</f>
        <v>263.644162611785</v>
      </c>
      <c r="G11" s="2" t="n">
        <f aca="false">2*Tau*beta*EXP(alpha*(2*Tau+zeta))*(1/(alpha*psi)^2)*(EXP(alpha*psi*Size))</f>
        <v>63.4912727561358</v>
      </c>
      <c r="H11" s="2" t="n">
        <f aca="false">gamma*Size</f>
        <v>70</v>
      </c>
      <c r="I11" s="2" t="n">
        <f aca="false">phi*beta*EXP(alpha*(zeta))*(0-1/(alpha*psi)^2)*((2/(alpha*psi))*(EXP(alpha*psi*Size)-1)-(Size*(EXP(alpha*psi*Size)+1)))</f>
        <v>22.6801324818483</v>
      </c>
      <c r="J11" s="2" t="n">
        <f aca="false">(phi*beta*EXP(alpha*(Tau+zeta)))*(0-1/(alpha*psi)^2)*((1/(alpha*psi))*(1-EXP(alpha*psi*Size))+Size*EXP(alpha*psi*Size))</f>
        <v>14.2833141512666</v>
      </c>
      <c r="K11" s="2" t="n">
        <f aca="false">(phi*beta*EXP(alpha*(2*Tau+zeta)))*(1/(alpha*psi)^2)*(Size*EXP(alpha*psi*Size))</f>
        <v>4.44438909292951</v>
      </c>
      <c r="L11" s="2" t="n">
        <f aca="false">thetax*beta*(-1/(alpha*psi)^2)*EXP(alpha*(Tau+zeta))*(EXP(alpha*psi*Size)-1)</f>
        <v>466.916709192172</v>
      </c>
      <c r="M11" s="2" t="n">
        <f aca="false">thetax*beta*(1/(alpha*psi)^2)*EXP(alpha*(2*Tau+zeta+psi*Size))</f>
        <v>56.2218708808849</v>
      </c>
      <c r="O11" s="2" t="n">
        <f aca="false">P11+Q11-R11</f>
        <v>353.739379343033</v>
      </c>
      <c r="P11" s="2" t="n">
        <f aca="false">D11+E11</f>
        <v>878.706220505868</v>
      </c>
      <c r="Q11" s="2" t="n">
        <f aca="false">2*F11+G11</f>
        <v>590.779597979705</v>
      </c>
      <c r="R11" s="2" t="n">
        <f aca="false">H11+I11+2*J11+K11+2*L11+M11</f>
        <v>1115.74643914254</v>
      </c>
      <c r="S11" s="1" t="n">
        <f aca="false">C11</f>
        <v>10</v>
      </c>
      <c r="U11" s="2" t="n">
        <f aca="false">beta*(1/(alpha*psi))*(1/alpha)*((-1/alpha*psi)*(EXP(alpha*(zeta+psi*Size))-EXP(alpha*zeta))+(Size*EXP(alpha*zeta)))</f>
        <v>615.062057894083</v>
      </c>
      <c r="V11" s="2" t="n">
        <f aca="false">beta*(-1/(alpha*psi)^2)*(1/alpha)*(EXP(alpha*(zeta))-EXP(alpha*(zeta+psi*Size)))</f>
        <v>716.659136406916</v>
      </c>
      <c r="W11" s="2" t="n">
        <f aca="false">0</f>
        <v>0</v>
      </c>
      <c r="X11" s="2" t="n">
        <v>0</v>
      </c>
      <c r="Y11" s="2" t="n">
        <f aca="false">gamma*Size</f>
        <v>70</v>
      </c>
      <c r="Z11" s="2" t="n">
        <f aca="false">phi*beta*EXP(alpha*(zeta))*(0-1/(alpha*psi)^2)*((2/(alpha*psi))*(EXP(alpha*psi*Size)-1)-(Size*(EXP(alpha*psi*Size)+1)))</f>
        <v>22.6801324818483</v>
      </c>
      <c r="AA11" s="2" t="n">
        <f aca="false">(phi*beta*EXP(alpha*(zeta)))*(0-1/(alpha*psi)^2)*((1/(alpha*psi))*(1-EXP(alpha*psi*Size))+Size*EXP(alpha*psi*Size))</f>
        <v>38.82607330756</v>
      </c>
      <c r="AB11" s="2" t="n">
        <f aca="false">(phi*beta*EXP(alpha*(zeta)))*(1/(alpha*psi)^2)*(Size*EXP(alpha*psi*Size))</f>
        <v>32.8398403331317</v>
      </c>
      <c r="AC11" s="2" t="n">
        <f aca="false">0</f>
        <v>0</v>
      </c>
      <c r="AD11" s="2" t="n">
        <v>0</v>
      </c>
      <c r="AF11" s="2" t="n">
        <f aca="false">AG11+AH11-AI11</f>
        <v>1128.5490748709</v>
      </c>
      <c r="AG11" s="2" t="n">
        <f aca="false">U11+V11</f>
        <v>1331.721194301</v>
      </c>
      <c r="AH11" s="2" t="n">
        <f aca="false">2*W11+X11</f>
        <v>0</v>
      </c>
      <c r="AI11" s="2" t="n">
        <f aca="false">Y11+Z11+2*AA11+AB11+2*AC11+AD11</f>
        <v>203.1721194301</v>
      </c>
      <c r="AK11" s="2" t="n">
        <f aca="false">AF11-O11</f>
        <v>774.809695527866</v>
      </c>
    </row>
    <row r="12" customFormat="false" ht="14.65" hidden="false" customHeight="false" outlineLevel="0" collapsed="false">
      <c r="A12" s="0" t="n">
        <f aca="false">A11+2</f>
        <v>16</v>
      </c>
      <c r="B12" s="1" t="n">
        <v>17.9854829977699</v>
      </c>
      <c r="C12" s="1" t="n">
        <v>10</v>
      </c>
      <c r="D12" s="2" t="n">
        <f aca="false">beta*(1/(alpha*psi))*(1/alpha)*((-1/alpha*psi)*(EXP(alpha*(zeta+psi*Size))-EXP(alpha*zeta))+(Size*EXP(alpha*zeta)))</f>
        <v>762.787563321183</v>
      </c>
      <c r="E12" s="2" t="n">
        <f aca="false">beta*(-1/(alpha*psi)^2)*(1/alpha)*(EXP(alpha*(Tau+zeta))-EXP(alpha*(Tau+zeta+psi*Size)))</f>
        <v>279.286536050726</v>
      </c>
      <c r="F12" s="2" t="n">
        <f aca="false">Tau*beta*EXP(alpha*(Tau+zeta))*(0-(1/(alpha*psi)^2))*(-1+EXP(alpha*psi*Size))</f>
        <v>279.286536050726</v>
      </c>
      <c r="G12" s="2" t="n">
        <f aca="false">2*Tau*beta*EXP(alpha*(2*Tau+zeta))*(1/(alpha*psi)^2)*(EXP(alpha*psi*Size))</f>
        <v>51.9822575575107</v>
      </c>
      <c r="H12" s="2" t="n">
        <f aca="false">gamma*Size</f>
        <v>80</v>
      </c>
      <c r="I12" s="2" t="n">
        <f aca="false">phi*beta*EXP(alpha*(zeta))*(0-1/(alpha*psi)^2)*((2/(alpha*psi))*(EXP(alpha*psi*Size)-1)-(Size*(EXP(alpha*psi*Size)+1)))</f>
        <v>31.0887901234429</v>
      </c>
      <c r="J12" s="2" t="n">
        <f aca="false">(phi*beta*EXP(alpha*(Tau+zeta)))*(0-1/(alpha*psi)^2)*((1/(alpha*psi))*(1-EXP(alpha*psi*Size))+Size*EXP(alpha*psi*Size))</f>
        <v>16.6244595154038</v>
      </c>
      <c r="K12" s="2" t="n">
        <f aca="false">(phi*beta*EXP(alpha*(2*Tau+zeta)))*(1/(alpha*psi)^2)*(Size*EXP(alpha*psi*Size))</f>
        <v>4.15858060460085</v>
      </c>
      <c r="L12" s="2" t="n">
        <f aca="false">thetax*beta*(-1/(alpha*psi)^2)*EXP(alpha*(Tau+zeta))*(EXP(alpha*psi*Size)-1)</f>
        <v>502.310324564637</v>
      </c>
      <c r="M12" s="2" t="n">
        <f aca="false">thetax*beta*(1/(alpha*psi)^2)*EXP(alpha*(2*Tau+zeta+psi*Size))</f>
        <v>46.7463004743151</v>
      </c>
      <c r="O12" s="2" t="n">
        <f aca="false">P12+Q12-R12</f>
        <v>452.76618966843</v>
      </c>
      <c r="P12" s="2" t="n">
        <f aca="false">D12+E12</f>
        <v>1042.07409937191</v>
      </c>
      <c r="Q12" s="2" t="n">
        <f aca="false">2*F12+G12</f>
        <v>610.555329658962</v>
      </c>
      <c r="R12" s="2" t="n">
        <f aca="false">H12+I12+2*J12+K12+2*L12+M12</f>
        <v>1199.86323936244</v>
      </c>
      <c r="S12" s="1" t="n">
        <f aca="false">C12</f>
        <v>10</v>
      </c>
      <c r="U12" s="2" t="n">
        <f aca="false">beta*(1/(alpha*psi))*(1/alpha)*((-1/alpha*psi)*(EXP(alpha*(zeta+psi*Size))-EXP(alpha*zeta))+(Size*EXP(alpha*zeta)))</f>
        <v>762.787563321183</v>
      </c>
      <c r="V12" s="2" t="n">
        <f aca="false">beta*(-1/(alpha*psi)^2)*(1/alpha)*(EXP(alpha*(zeta))-EXP(alpha*(zeta+psi*Size)))</f>
        <v>759.17951587996</v>
      </c>
      <c r="W12" s="2" t="n">
        <f aca="false">0</f>
        <v>0</v>
      </c>
      <c r="X12" s="2" t="n">
        <v>0</v>
      </c>
      <c r="Y12" s="2" t="n">
        <f aca="false">gamma*Size</f>
        <v>80</v>
      </c>
      <c r="Z12" s="2" t="n">
        <f aca="false">phi*beta*EXP(alpha*(zeta))*(0-1/(alpha*psi)^2)*((2/(alpha*psi))*(EXP(alpha*psi*Size)-1)-(Size*(EXP(alpha*psi*Size)+1)))</f>
        <v>31.0887901234429</v>
      </c>
      <c r="AA12" s="2" t="n">
        <f aca="false">(phi*beta*EXP(alpha*(zeta)))*(0-1/(alpha*psi)^2)*((1/(alpha*psi))*(1-EXP(alpha*psi*Size))+Size*EXP(alpha*psi*Size))</f>
        <v>45.1899662086754</v>
      </c>
      <c r="AB12" s="2" t="n">
        <f aca="false">(phi*beta*EXP(alpha*(zeta)))*(1/(alpha*psi)^2)*(Size*EXP(alpha*psi*Size))</f>
        <v>30.7279853793207</v>
      </c>
      <c r="AC12" s="2" t="n">
        <f aca="false">0</f>
        <v>0</v>
      </c>
      <c r="AD12" s="2" t="n">
        <v>0</v>
      </c>
      <c r="AF12" s="2" t="n">
        <f aca="false">AG12+AH12-AI12</f>
        <v>1289.77037128103</v>
      </c>
      <c r="AG12" s="2" t="n">
        <f aca="false">U12+V12</f>
        <v>1521.96707920114</v>
      </c>
      <c r="AH12" s="2" t="n">
        <f aca="false">2*W12+X12</f>
        <v>0</v>
      </c>
      <c r="AI12" s="2" t="n">
        <f aca="false">Y12+Z12+2*AA12+AB12+2*AC12+AD12</f>
        <v>232.196707920114</v>
      </c>
      <c r="AK12" s="2" t="n">
        <f aca="false">AF12-O12</f>
        <v>837.004181612598</v>
      </c>
    </row>
    <row r="13" customFormat="false" ht="14.65" hidden="false" customHeight="false" outlineLevel="0" collapsed="false">
      <c r="A13" s="0" t="n">
        <f aca="false">A12+2</f>
        <v>18</v>
      </c>
      <c r="B13" s="1" t="n">
        <v>18.2442107544382</v>
      </c>
      <c r="C13" s="1" t="n">
        <v>10</v>
      </c>
      <c r="D13" s="2" t="n">
        <f aca="false">beta*(1/(alpha*psi))*(1/alpha)*((-1/alpha*psi)*(EXP(alpha*(zeta+psi*Size))-EXP(alpha*zeta))+(Size*EXP(alpha*zeta)))</f>
        <v>918.220705914199</v>
      </c>
      <c r="E13" s="2" t="n">
        <f aca="false">beta*(-1/(alpha*psi)^2)*(1/alpha)*(EXP(alpha*(Tau+zeta))-EXP(alpha*(Tau+zeta+psi*Size)))</f>
        <v>292.093428236317</v>
      </c>
      <c r="F13" s="2" t="n">
        <f aca="false">Tau*beta*EXP(alpha*(Tau+zeta))*(0-(1/(alpha*psi)^2))*(-1+EXP(alpha*psi*Size))</f>
        <v>292.093428236317</v>
      </c>
      <c r="G13" s="2" t="n">
        <f aca="false">2*Tau*beta*EXP(alpha*(2*Tau+zeta))*(1/(alpha*psi)^2)*(EXP(alpha*psi*Size))</f>
        <v>42.5594728767543</v>
      </c>
      <c r="H13" s="2" t="n">
        <f aca="false">gamma*Size</f>
        <v>90</v>
      </c>
      <c r="I13" s="2" t="n">
        <f aca="false">phi*beta*EXP(alpha*(zeta))*(0-1/(alpha*psi)^2)*((2/(alpha*psi))*(EXP(alpha*psi*Size)-1)-(Size*(EXP(alpha*psi*Size)+1)))</f>
        <v>40.7255347091642</v>
      </c>
      <c r="J13" s="2" t="n">
        <f aca="false">(phi*beta*EXP(alpha*(Tau+zeta)))*(0-1/(alpha*psi)^2)*((1/(alpha*psi))*(1-EXP(alpha*psi*Size))+Size*EXP(alpha*psi*Size))</f>
        <v>18.7973650661608</v>
      </c>
      <c r="K13" s="2" t="n">
        <f aca="false">(phi*beta*EXP(alpha*(2*Tau+zeta)))*(1/(alpha*psi)^2)*(Size*EXP(alpha*psi*Size))</f>
        <v>3.83035255890789</v>
      </c>
      <c r="L13" s="2" t="n">
        <f aca="false">thetax*beta*(-1/(alpha*psi)^2)*EXP(alpha*(Tau+zeta))*(EXP(alpha*psi*Size)-1)</f>
        <v>532.901406472973</v>
      </c>
      <c r="M13" s="2" t="n">
        <f aca="false">thetax*beta*(1/(alpha*psi)^2)*EXP(alpha*(2*Tau+zeta+psi*Size))</f>
        <v>38.8231996380651</v>
      </c>
      <c r="O13" s="2" t="n">
        <f aca="false">P13+Q13-R13</f>
        <v>560.283833515499</v>
      </c>
      <c r="P13" s="2" t="n">
        <f aca="false">D13+E13</f>
        <v>1210.31413415052</v>
      </c>
      <c r="Q13" s="2" t="n">
        <f aca="false">2*F13+G13</f>
        <v>626.746329349388</v>
      </c>
      <c r="R13" s="2" t="n">
        <f aca="false">H13+I13+2*J13+K13+2*L13+M13</f>
        <v>1276.7766299844</v>
      </c>
      <c r="S13" s="1" t="n">
        <f aca="false">C13</f>
        <v>10</v>
      </c>
      <c r="U13" s="2" t="n">
        <f aca="false">beta*(1/(alpha*psi))*(1/alpha)*((-1/alpha*psi)*(EXP(alpha*(zeta+psi*Size))-EXP(alpha*zeta))+(Size*EXP(alpha*zeta)))</f>
        <v>918.220705914199</v>
      </c>
      <c r="V13" s="2" t="n">
        <f aca="false">beta*(-1/(alpha*psi)^2)*(1/alpha)*(EXP(alpha*(zeta))-EXP(alpha*(zeta+psi*Size)))</f>
        <v>793.992258187086</v>
      </c>
      <c r="W13" s="2" t="n">
        <f aca="false">0</f>
        <v>0</v>
      </c>
      <c r="X13" s="2" t="n">
        <v>0</v>
      </c>
      <c r="Y13" s="2" t="n">
        <f aca="false">gamma*Size</f>
        <v>90</v>
      </c>
      <c r="Z13" s="2" t="n">
        <f aca="false">phi*beta*EXP(alpha*(zeta))*(0-1/(alpha*psi)^2)*((2/(alpha*psi))*(EXP(alpha*psi*Size)-1)-(Size*(EXP(alpha*psi*Size)+1)))</f>
        <v>40.7255347091642</v>
      </c>
      <c r="AA13" s="2" t="n">
        <f aca="false">(phi*beta*EXP(alpha*(zeta)))*(0-1/(alpha*psi)^2)*((1/(alpha*psi))*(1-EXP(alpha*psi*Size))+Size*EXP(alpha*psi*Size))</f>
        <v>51.0965358822557</v>
      </c>
      <c r="AB13" s="2" t="n">
        <f aca="false">(phi*beta*EXP(alpha*(zeta)))*(1/(alpha*psi)^2)*(Size*EXP(alpha*psi*Size))</f>
        <v>28.302689936453</v>
      </c>
      <c r="AC13" s="2" t="n">
        <f aca="false">0</f>
        <v>0</v>
      </c>
      <c r="AD13" s="2" t="n">
        <v>0</v>
      </c>
      <c r="AF13" s="2" t="n">
        <f aca="false">AG13+AH13-AI13</f>
        <v>1450.99166769116</v>
      </c>
      <c r="AG13" s="2" t="n">
        <f aca="false">U13+V13</f>
        <v>1712.21296410129</v>
      </c>
      <c r="AH13" s="2" t="n">
        <f aca="false">2*W13+X13</f>
        <v>0</v>
      </c>
      <c r="AI13" s="2" t="n">
        <f aca="false">Y13+Z13+2*AA13+AB13+2*AC13+AD13</f>
        <v>261.221296410129</v>
      </c>
      <c r="AK13" s="2" t="n">
        <f aca="false">AF13-O13</f>
        <v>890.707834175658</v>
      </c>
    </row>
    <row r="14" customFormat="false" ht="14.65" hidden="false" customHeight="false" outlineLevel="0" collapsed="false">
      <c r="A14" s="0" t="n">
        <f aca="false">A13+2</f>
        <v>20</v>
      </c>
      <c r="B14" s="1" t="n">
        <v>18.4833360104878</v>
      </c>
      <c r="C14" s="1" t="n">
        <v>10</v>
      </c>
      <c r="D14" s="2" t="n">
        <f aca="false">beta*(1/(alpha*psi))*(1/alpha)*((-1/alpha*psi)*(EXP(alpha*(zeta+psi*Size))-EXP(alpha*zeta))+(Size*EXP(alpha*zeta)))</f>
        <v>1079.96432808852</v>
      </c>
      <c r="E14" s="2" t="n">
        <f aca="false">beta*(-1/(alpha*psi)^2)*(1/alpha)*(EXP(alpha*(Tau+zeta))-EXP(alpha*(Tau+zeta+psi*Size)))</f>
        <v>302.578824720014</v>
      </c>
      <c r="F14" s="2" t="n">
        <f aca="false">Tau*beta*EXP(alpha*(Tau+zeta))*(0-(1/(alpha*psi)^2))*(-1+EXP(alpha*psi*Size))</f>
        <v>302.578824720014</v>
      </c>
      <c r="G14" s="2" t="n">
        <f aca="false">2*Tau*beta*EXP(alpha*(2*Tau+zeta))*(1/(alpha*psi)^2)*(EXP(alpha*psi*Size))</f>
        <v>34.844749278987</v>
      </c>
      <c r="H14" s="2" t="n">
        <f aca="false">gamma*Size</f>
        <v>100</v>
      </c>
      <c r="I14" s="2" t="n">
        <f aca="false">phi*beta*EXP(alpha*(zeta))*(0-1/(alpha*psi)^2)*((2/(alpha*psi))*(EXP(alpha*psi*Size)-1)-(Size*(EXP(alpha*psi*Size)+1)))</f>
        <v>51.4939614351217</v>
      </c>
      <c r="J14" s="2" t="n">
        <f aca="false">(phi*beta*EXP(alpha*(Tau+zeta)))*(0-1/(alpha*psi)^2)*((1/(alpha*psi))*(1-EXP(alpha*psi*Size))+Size*EXP(alpha*psi*Size))</f>
        <v>20.7860975937733</v>
      </c>
      <c r="K14" s="2" t="n">
        <f aca="false">(phi*beta*EXP(alpha*(2*Tau+zeta)))*(1/(alpha*psi)^2)*(Size*EXP(alpha*psi*Size))</f>
        <v>3.4844749278987</v>
      </c>
      <c r="L14" s="2" t="n">
        <f aca="false">thetax*beta*(-1/(alpha*psi)^2)*EXP(alpha*(Tau+zeta))*(EXP(alpha*psi*Size)-1)</f>
        <v>559.266608695853</v>
      </c>
      <c r="M14" s="2" t="n">
        <f aca="false">thetax*beta*(1/(alpha*psi)^2)*EXP(alpha*(2*Tau+zeta+psi*Size))</f>
        <v>32.202360456236</v>
      </c>
      <c r="O14" s="2" t="n">
        <f aca="false">P14+Q14-R14</f>
        <v>675.25934212904</v>
      </c>
      <c r="P14" s="2" t="n">
        <f aca="false">D14+E14</f>
        <v>1382.54315280853</v>
      </c>
      <c r="Q14" s="2" t="n">
        <f aca="false">2*F14+G14</f>
        <v>640.002398719016</v>
      </c>
      <c r="R14" s="2" t="n">
        <f aca="false">H14+I14+2*J14+K14+2*L14+M14</f>
        <v>1347.28620939851</v>
      </c>
      <c r="S14" s="1" t="n">
        <f aca="false">C14</f>
        <v>10</v>
      </c>
      <c r="U14" s="2" t="n">
        <f aca="false">beta*(1/(alpha*psi))*(1/alpha)*((-1/alpha*psi)*(EXP(alpha*(zeta+psi*Size))-EXP(alpha*zeta))+(Size*EXP(alpha*zeta)))</f>
        <v>1079.96432808852</v>
      </c>
      <c r="V14" s="2" t="n">
        <f aca="false">beta*(-1/(alpha*psi)^2)*(1/alpha)*(EXP(alpha*(zeta))-EXP(alpha*(zeta+psi*Size)))</f>
        <v>822.49452091291</v>
      </c>
      <c r="W14" s="2" t="n">
        <f aca="false">0</f>
        <v>0</v>
      </c>
      <c r="X14" s="2" t="n">
        <v>0</v>
      </c>
      <c r="Y14" s="2" t="n">
        <f aca="false">gamma*Size</f>
        <v>100</v>
      </c>
      <c r="Z14" s="2" t="n">
        <f aca="false">phi*beta*EXP(alpha*(zeta))*(0-1/(alpha*psi)^2)*((2/(alpha*psi))*(EXP(alpha*psi*Size)-1)-(Size*(EXP(alpha*psi*Size)+1)))</f>
        <v>51.4939614351217</v>
      </c>
      <c r="AA14" s="2" t="n">
        <f aca="false">(phi*beta*EXP(alpha*(zeta)))*(0-1/(alpha*psi)^2)*((1/(alpha*psi))*(1-EXP(alpha*psi*Size))+Size*EXP(alpha*psi*Size))</f>
        <v>56.5024713737301</v>
      </c>
      <c r="AB14" s="2" t="n">
        <f aca="false">(phi*beta*EXP(alpha*(zeta)))*(1/(alpha*psi)^2)*(Size*EXP(alpha*psi*Size))</f>
        <v>25.7469807175609</v>
      </c>
      <c r="AC14" s="2" t="n">
        <f aca="false">0</f>
        <v>0</v>
      </c>
      <c r="AD14" s="2" t="n">
        <v>0</v>
      </c>
      <c r="AF14" s="2" t="n">
        <f aca="false">AG14+AH14-AI14</f>
        <v>1612.21296410129</v>
      </c>
      <c r="AG14" s="2" t="n">
        <f aca="false">U14+V14</f>
        <v>1902.45884900143</v>
      </c>
      <c r="AH14" s="2" t="n">
        <f aca="false">2*W14+X14</f>
        <v>0</v>
      </c>
      <c r="AI14" s="2" t="n">
        <f aca="false">Y14+Z14+2*AA14+AB14+2*AC14+AD14</f>
        <v>290.245884900143</v>
      </c>
      <c r="AK14" s="2" t="n">
        <f aca="false">AF14-O14</f>
        <v>936.953621972245</v>
      </c>
    </row>
    <row r="15" customFormat="false" ht="14.65" hidden="false" customHeight="false" outlineLevel="0" collapsed="false">
      <c r="A15" s="0" t="n">
        <f aca="false">A14+2</f>
        <v>22</v>
      </c>
      <c r="B15" s="1" t="n">
        <v>18.7017495585695</v>
      </c>
      <c r="C15" s="1" t="n">
        <v>10</v>
      </c>
      <c r="D15" s="2" t="n">
        <f aca="false">beta*(1/(alpha*psi))*(1/alpha)*((-1/alpha*psi)*(EXP(alpha*(zeta+psi*Size))-EXP(alpha*zeta))+(Size*EXP(alpha*zeta)))</f>
        <v>1246.87453396272</v>
      </c>
      <c r="E15" s="2" t="n">
        <f aca="false">beta*(-1/(alpha*psi)^2)*(1/alpha)*(EXP(alpha*(Tau+zeta))-EXP(alpha*(Tau+zeta+psi*Size)))</f>
        <v>311.163541279433</v>
      </c>
      <c r="F15" s="2" t="n">
        <f aca="false">Tau*beta*EXP(alpha*(Tau+zeta))*(0-(1/(alpha*psi)^2))*(-1+EXP(alpha*psi*Size))</f>
        <v>311.163541279433</v>
      </c>
      <c r="G15" s="2" t="n">
        <f aca="false">2*Tau*beta*EXP(alpha*(2*Tau+zeta))*(1/(alpha*psi)^2)*(EXP(alpha*psi*Size))</f>
        <v>28.5284678179985</v>
      </c>
      <c r="H15" s="2" t="n">
        <f aca="false">gamma*Size</f>
        <v>110</v>
      </c>
      <c r="I15" s="2" t="n">
        <f aca="false">phi*beta*EXP(alpha*(zeta))*(0-1/(alpha*psi)^2)*((2/(alpha*psi))*(EXP(alpha*psi*Size)-1)-(Size*(EXP(alpha*psi*Size)+1)))</f>
        <v>63.2922628059973</v>
      </c>
      <c r="J15" s="2" t="n">
        <f aca="false">(phi*beta*EXP(alpha*(Tau+zeta)))*(0-1/(alpha*psi)^2)*((1/(alpha*psi))*(1-EXP(alpha*psi*Size))+Size*EXP(alpha*psi*Size))</f>
        <v>22.5860284049645</v>
      </c>
      <c r="K15" s="2" t="n">
        <f aca="false">(phi*beta*EXP(alpha*(2*Tau+zeta)))*(1/(alpha*psi)^2)*(Size*EXP(alpha*psi*Size))</f>
        <v>3.13813145997983</v>
      </c>
      <c r="L15" s="2" t="n">
        <f aca="false">thetax*beta*(-1/(alpha*psi)^2)*EXP(alpha*(Tau+zeta))*(EXP(alpha*psi*Size)-1)</f>
        <v>581.930262076555</v>
      </c>
      <c r="M15" s="2" t="n">
        <f aca="false">thetax*beta*(1/(alpha*psi)^2)*EXP(alpha*(2*Tau+zeta+psi*Size))</f>
        <v>26.6766130210958</v>
      </c>
      <c r="O15" s="2" t="n">
        <f aca="false">P15+Q15-R15</f>
        <v>796.754037368908</v>
      </c>
      <c r="P15" s="2" t="n">
        <f aca="false">D15+E15</f>
        <v>1558.03807524215</v>
      </c>
      <c r="Q15" s="2" t="n">
        <f aca="false">2*F15+G15</f>
        <v>650.855550376865</v>
      </c>
      <c r="R15" s="2" t="n">
        <f aca="false">H15+I15+2*J15+K15+2*L15+M15</f>
        <v>1412.13958825011</v>
      </c>
      <c r="S15" s="1" t="n">
        <f aca="false">C15</f>
        <v>10</v>
      </c>
      <c r="U15" s="2" t="n">
        <f aca="false">beta*(1/(alpha*psi))*(1/alpha)*((-1/alpha*psi)*(EXP(alpha*(zeta+psi*Size))-EXP(alpha*zeta))+(Size*EXP(alpha*zeta)))</f>
        <v>1246.87453396272</v>
      </c>
      <c r="V15" s="2" t="n">
        <f aca="false">beta*(-1/(alpha*psi)^2)*(1/alpha)*(EXP(alpha*(zeta))-EXP(alpha*(zeta+psi*Size)))</f>
        <v>845.83019993885</v>
      </c>
      <c r="W15" s="2" t="n">
        <f aca="false">0</f>
        <v>0</v>
      </c>
      <c r="X15" s="2" t="n">
        <v>0</v>
      </c>
      <c r="Y15" s="2" t="n">
        <f aca="false">gamma*Size</f>
        <v>110</v>
      </c>
      <c r="Z15" s="2" t="n">
        <f aca="false">phi*beta*EXP(alpha*(zeta))*(0-1/(alpha*psi)^2)*((2/(alpha*psi))*(EXP(alpha*psi*Size)-1)-(Size*(EXP(alpha*psi*Size)+1)))</f>
        <v>63.2922628059973</v>
      </c>
      <c r="AA15" s="2" t="n">
        <f aca="false">(phi*beta*EXP(alpha*(zeta)))*(0-1/(alpha*psi)^2)*((1/(alpha*psi))*(1-EXP(alpha*psi*Size))+Size*EXP(alpha*psi*Size))</f>
        <v>61.3951905902748</v>
      </c>
      <c r="AB15" s="2" t="n">
        <f aca="false">(phi*beta*EXP(alpha*(zeta)))*(1/(alpha*psi)^2)*(Size*EXP(alpha*psi*Size))</f>
        <v>23.1878294036102</v>
      </c>
      <c r="AC15" s="2" t="n">
        <f aca="false">0</f>
        <v>0</v>
      </c>
      <c r="AD15" s="2" t="n">
        <v>0</v>
      </c>
      <c r="AF15" s="2" t="n">
        <f aca="false">AG15+AH15-AI15</f>
        <v>1773.43426051141</v>
      </c>
      <c r="AG15" s="2" t="n">
        <f aca="false">U15+V15</f>
        <v>2092.70473390157</v>
      </c>
      <c r="AH15" s="2" t="n">
        <f aca="false">2*W15+X15</f>
        <v>0</v>
      </c>
      <c r="AI15" s="2" t="n">
        <f aca="false">Y15+Z15+2*AA15+AB15+2*AC15+AD15</f>
        <v>319.270473390157</v>
      </c>
      <c r="AK15" s="2" t="n">
        <f aca="false">AF15-O15</f>
        <v>976.680223142506</v>
      </c>
    </row>
    <row r="16" customFormat="false" ht="14.65" hidden="false" customHeight="false" outlineLevel="0" collapsed="false">
      <c r="A16" s="0" t="n">
        <f aca="false">A15+2</f>
        <v>24</v>
      </c>
      <c r="B16" s="1" t="n">
        <v>18.8994696029367</v>
      </c>
      <c r="C16" s="1" t="n">
        <v>10</v>
      </c>
      <c r="D16" s="2" t="n">
        <f aca="false">beta*(1/(alpha*psi))*(1/alpha)*((-1/alpha*psi)*(EXP(alpha*(zeta+psi*Size))-EXP(alpha*zeta))+(Size*EXP(alpha*zeta)))</f>
        <v>1418.01478080037</v>
      </c>
      <c r="E16" s="2" t="n">
        <f aca="false">beta*(-1/(alpha*psi)^2)*(1/alpha)*(EXP(alpha*(Tau+zeta))-EXP(alpha*(Tau+zeta+psi*Size)))</f>
        <v>318.192112733087</v>
      </c>
      <c r="F16" s="2" t="n">
        <f aca="false">Tau*beta*EXP(alpha*(Tau+zeta))*(0-(1/(alpha*psi)^2))*(-1+EXP(alpha*psi*Size))</f>
        <v>318.192112733087</v>
      </c>
      <c r="G16" s="2" t="n">
        <f aca="false">2*Tau*beta*EXP(alpha*(2*Tau+zeta))*(1/(alpha*psi)^2)*(EXP(alpha*psi*Size))</f>
        <v>23.3571339407909</v>
      </c>
      <c r="H16" s="2" t="n">
        <f aca="false">gamma*Size</f>
        <v>120</v>
      </c>
      <c r="I16" s="2" t="n">
        <f aca="false">phi*beta*EXP(alpha*(zeta))*(0-1/(alpha*psi)^2)*((2/(alpha*psi))*(EXP(alpha*psi*Size)-1)-(Size*(EXP(alpha*psi*Size)+1)))</f>
        <v>76.0183550397516</v>
      </c>
      <c r="J16" s="2" t="n">
        <f aca="false">(phi*beta*EXP(alpha*(Tau+zeta)))*(0-1/(alpha*psi)^2)*((1/(alpha*psi))*(1-EXP(alpha*psi*Size))+Size*EXP(alpha*psi*Size))</f>
        <v>24.2002585425724</v>
      </c>
      <c r="K16" s="2" t="n">
        <f aca="false">(phi*beta*EXP(alpha*(2*Tau+zeta)))*(1/(alpha*psi)^2)*(Size*EXP(alpha*psi*Size))</f>
        <v>2.80285607289491</v>
      </c>
      <c r="L16" s="2" t="n">
        <f aca="false">thetax*beta*(-1/(alpha*psi)^2)*EXP(alpha*(Tau+zeta))*(EXP(alpha*psi*Size)-1)</f>
        <v>601.366216249319</v>
      </c>
      <c r="M16" s="2" t="n">
        <f aca="false">thetax*beta*(1/(alpha*psi)^2)*EXP(alpha*(2*Tau+zeta+psi*Size))</f>
        <v>22.0718721462849</v>
      </c>
      <c r="O16" s="2" t="n">
        <f aca="false">P16+Q16-R16</f>
        <v>923.922220097708</v>
      </c>
      <c r="P16" s="2" t="n">
        <f aca="false">D16+E16</f>
        <v>1736.20689353346</v>
      </c>
      <c r="Q16" s="2" t="n">
        <f aca="false">2*F16+G16</f>
        <v>659.741359406966</v>
      </c>
      <c r="R16" s="2" t="n">
        <f aca="false">H16+I16+2*J16+K16+2*L16+M16</f>
        <v>1472.02603284272</v>
      </c>
      <c r="S16" s="1" t="n">
        <f aca="false">C16</f>
        <v>10</v>
      </c>
      <c r="U16" s="2" t="n">
        <f aca="false">beta*(1/(alpha*psi))*(1/alpha)*((-1/alpha*psi)*(EXP(alpha*(zeta+psi*Size))-EXP(alpha*zeta))+(Size*EXP(alpha*zeta)))</f>
        <v>1418.01478080037</v>
      </c>
      <c r="V16" s="2" t="n">
        <f aca="false">beta*(-1/(alpha*psi)^2)*(1/alpha)*(EXP(alpha*(zeta))-EXP(alpha*(zeta+psi*Size)))</f>
        <v>864.935838001343</v>
      </c>
      <c r="W16" s="2" t="n">
        <f aca="false">0</f>
        <v>0</v>
      </c>
      <c r="X16" s="2" t="n">
        <v>0</v>
      </c>
      <c r="Y16" s="2" t="n">
        <f aca="false">gamma*Size</f>
        <v>120</v>
      </c>
      <c r="Z16" s="2" t="n">
        <f aca="false">phi*beta*EXP(alpha*(zeta))*(0-1/(alpha*psi)^2)*((2/(alpha*psi))*(EXP(alpha*psi*Size)-1)-(Size*(EXP(alpha*psi*Size)+1)))</f>
        <v>76.0183550397516</v>
      </c>
      <c r="AA16" s="2" t="n">
        <f aca="false">(phi*beta*EXP(alpha*(zeta)))*(0-1/(alpha*psi)^2)*((1/(alpha*psi))*(1-EXP(alpha*psi*Size))+Size*EXP(alpha*psi*Size))</f>
        <v>65.7831230402855</v>
      </c>
      <c r="AB16" s="2" t="n">
        <f aca="false">(phi*beta*EXP(alpha*(zeta)))*(1/(alpha*psi)^2)*(Size*EXP(alpha*psi*Size))</f>
        <v>20.7104607598489</v>
      </c>
      <c r="AC16" s="2" t="n">
        <f aca="false">0</f>
        <v>0</v>
      </c>
      <c r="AD16" s="2" t="n">
        <v>0</v>
      </c>
      <c r="AF16" s="2" t="n">
        <f aca="false">AG16+AH16-AI16</f>
        <v>1934.65555692154</v>
      </c>
      <c r="AG16" s="2" t="n">
        <f aca="false">U16+V16</f>
        <v>2282.95061880171</v>
      </c>
      <c r="AH16" s="2" t="n">
        <f aca="false">2*W16+X16</f>
        <v>0</v>
      </c>
      <c r="AI16" s="2" t="n">
        <f aca="false">Y16+Z16+2*AA16+AB16+2*AC16+AD16</f>
        <v>348.295061880171</v>
      </c>
      <c r="AK16" s="2" t="n">
        <f aca="false">AF16-O16</f>
        <v>1010.73333682383</v>
      </c>
    </row>
    <row r="17" customFormat="false" ht="14.65" hidden="false" customHeight="false" outlineLevel="0" collapsed="false">
      <c r="A17" s="0" t="n">
        <f aca="false">A16+2</f>
        <v>26</v>
      </c>
      <c r="B17" s="1" t="n">
        <v>19.0771271019078</v>
      </c>
      <c r="C17" s="1" t="n">
        <v>10</v>
      </c>
      <c r="D17" s="2" t="n">
        <f aca="false">beta*(1/(alpha*psi))*(1/alpha)*((-1/alpha*psi)*(EXP(alpha*(zeta+psi*Size))-EXP(alpha*zeta))+(Size*EXP(alpha*zeta)))</f>
        <v>1592.61829226157</v>
      </c>
      <c r="E17" s="2" t="n">
        <f aca="false">beta*(-1/(alpha*psi)^2)*(1/alpha)*(EXP(alpha*(Tau+zeta))-EXP(alpha*(Tau+zeta+psi*Size)))</f>
        <v>323.9466203324</v>
      </c>
      <c r="F17" s="2" t="n">
        <f aca="false">Tau*beta*EXP(alpha*(Tau+zeta))*(0-(1/(alpha*psi)^2))*(-1+EXP(alpha*psi*Size))</f>
        <v>323.9466203324</v>
      </c>
      <c r="G17" s="2" t="n">
        <f aca="false">2*Tau*beta*EXP(alpha*(2*Tau+zeta))*(1/(alpha*psi)^2)*(EXP(alpha*psi*Size))</f>
        <v>19.123203861087</v>
      </c>
      <c r="H17" s="2" t="n">
        <f aca="false">gamma*Size</f>
        <v>130</v>
      </c>
      <c r="I17" s="2" t="n">
        <f aca="false">phi*beta*EXP(alpha*(zeta))*(0-1/(alpha*psi)^2)*((2/(alpha*psi))*(EXP(alpha*psi*Size)-1)-(Size*(EXP(alpha*psi*Size)+1)))</f>
        <v>89.5733234778404</v>
      </c>
      <c r="J17" s="2" t="n">
        <f aca="false">(phi*beta*EXP(alpha*(Tau+zeta)))*(0-1/(alpha*psi)^2)*((1/(alpha*psi))*(1-EXP(alpha*psi*Size))+Size*EXP(alpha*psi*Size))</f>
        <v>25.6369685507636</v>
      </c>
      <c r="K17" s="2" t="n">
        <f aca="false">(phi*beta*EXP(alpha*(2*Tau+zeta)))*(1/(alpha*psi)^2)*(Size*EXP(alpha*psi*Size))</f>
        <v>2.48601650194131</v>
      </c>
      <c r="L17" s="2" t="n">
        <f aca="false">thetax*beta*(-1/(alpha*psi)^2)*EXP(alpha*(Tau+zeta))*(EXP(alpha*psi*Size)-1)</f>
        <v>617.997085031466</v>
      </c>
      <c r="M17" s="2" t="n">
        <f aca="false">thetax*beta*(1/(alpha*psi)^2)*EXP(alpha*(2*Tau+zeta+psi*Size))</f>
        <v>18.2407895326825</v>
      </c>
      <c r="O17" s="2" t="n">
        <f aca="false">P17+Q17-R17</f>
        <v>1056.01312044293</v>
      </c>
      <c r="P17" s="2" t="n">
        <f aca="false">D17+E17</f>
        <v>1916.56491259397</v>
      </c>
      <c r="Q17" s="2" t="n">
        <f aca="false">2*F17+G17</f>
        <v>667.016444525887</v>
      </c>
      <c r="R17" s="2" t="n">
        <f aca="false">H17+I17+2*J17+K17+2*L17+M17</f>
        <v>1527.56823667692</v>
      </c>
      <c r="S17" s="1" t="n">
        <f aca="false">C17</f>
        <v>10</v>
      </c>
      <c r="U17" s="2" t="n">
        <f aca="false">beta*(1/(alpha*psi))*(1/alpha)*((-1/alpha*psi)*(EXP(alpha*(zeta+psi*Size))-EXP(alpha*zeta))+(Size*EXP(alpha*zeta)))</f>
        <v>1592.61829226157</v>
      </c>
      <c r="V17" s="2" t="n">
        <f aca="false">beta*(-1/(alpha*psi)^2)*(1/alpha)*(EXP(alpha*(zeta))-EXP(alpha*(zeta+psi*Size)))</f>
        <v>880.578211440284</v>
      </c>
      <c r="W17" s="2" t="n">
        <f aca="false">0</f>
        <v>0</v>
      </c>
      <c r="X17" s="2" t="n">
        <v>0</v>
      </c>
      <c r="Y17" s="2" t="n">
        <f aca="false">gamma*Size</f>
        <v>130</v>
      </c>
      <c r="Z17" s="2" t="n">
        <f aca="false">phi*beta*EXP(alpha*(zeta))*(0-1/(alpha*psi)^2)*((2/(alpha*psi))*(EXP(alpha*psi*Size)-1)-(Size*(EXP(alpha*psi*Size)+1)))</f>
        <v>89.5733234778404</v>
      </c>
      <c r="AA17" s="2" t="n">
        <f aca="false">(phi*beta*EXP(alpha*(zeta)))*(0-1/(alpha*psi)^2)*((1/(alpha*psi))*(1-EXP(alpha*psi*Size))+Size*EXP(alpha*psi*Size))</f>
        <v>69.6885057483168</v>
      </c>
      <c r="AB17" s="2" t="n">
        <f aca="false">(phi*beta*EXP(alpha*(zeta)))*(1/(alpha*psi)^2)*(Size*EXP(alpha*psi*Size))</f>
        <v>18.3693153957117</v>
      </c>
      <c r="AC17" s="2" t="n">
        <f aca="false">0</f>
        <v>0</v>
      </c>
      <c r="AD17" s="2" t="n">
        <v>0</v>
      </c>
      <c r="AF17" s="2" t="n">
        <f aca="false">AG17+AH17-AI17</f>
        <v>2095.87685333167</v>
      </c>
      <c r="AG17" s="2" t="n">
        <f aca="false">U17+V17</f>
        <v>2473.19650370186</v>
      </c>
      <c r="AH17" s="2" t="n">
        <f aca="false">2*W17+X17</f>
        <v>0</v>
      </c>
      <c r="AI17" s="2" t="n">
        <f aca="false">Y17+Z17+2*AA17+AB17+2*AC17+AD17</f>
        <v>377.319650370186</v>
      </c>
      <c r="AK17" s="2" t="n">
        <f aca="false">AF17-O17</f>
        <v>1039.86373288874</v>
      </c>
    </row>
    <row r="18" customFormat="false" ht="14.65" hidden="false" customHeight="false" outlineLevel="0" collapsed="false">
      <c r="A18" s="0" t="n">
        <f aca="false">A17+2</f>
        <v>28</v>
      </c>
      <c r="B18" s="1" t="n">
        <v>19.2357894357343</v>
      </c>
      <c r="C18" s="1" t="n">
        <v>10</v>
      </c>
      <c r="D18" s="2" t="n">
        <f aca="false">beta*(1/(alpha*psi))*(1/alpha)*((-1/alpha*psi)*(EXP(alpha*(zeta+psi*Size))-EXP(alpha*zeta))+(Size*EXP(alpha*zeta)))</f>
        <v>1770.05728497612</v>
      </c>
      <c r="E18" s="2" t="n">
        <f aca="false">beta*(-1/(alpha*psi)^2)*(1/alpha)*(EXP(alpha*(Tau+zeta))-EXP(alpha*(Tau+zeta+psi*Size)))</f>
        <v>328.658012672778</v>
      </c>
      <c r="F18" s="2" t="n">
        <f aca="false">Tau*beta*EXP(alpha*(Tau+zeta))*(0-(1/(alpha*psi)^2))*(-1+EXP(alpha*psi*Size))</f>
        <v>328.658012672778</v>
      </c>
      <c r="G18" s="2" t="n">
        <f aca="false">2*Tau*beta*EXP(alpha*(2*Tau+zeta))*(1/(alpha*psi)^2)*(EXP(alpha*psi*Size))</f>
        <v>15.6567550984515</v>
      </c>
      <c r="H18" s="2" t="n">
        <f aca="false">gamma*Size</f>
        <v>140</v>
      </c>
      <c r="I18" s="2" t="n">
        <f aca="false">phi*beta*EXP(alpha*(zeta))*(0-1/(alpha*psi)^2)*((2/(alpha*psi))*(EXP(alpha*psi*Size)-1)-(Size*(EXP(alpha*psi*Size)+1)))</f>
        <v>103.86362797998</v>
      </c>
      <c r="J18" s="2" t="n">
        <f aca="false">(phi*beta*EXP(alpha*(Tau+zeta)))*(0-1/(alpha*psi)^2)*((1/(alpha*psi))*(1-EXP(alpha*psi*Size))+Size*EXP(alpha*psi*Size))</f>
        <v>26.9074750645322</v>
      </c>
      <c r="K18" s="2" t="n">
        <f aca="false">(phi*beta*EXP(alpha*(2*Tau+zeta)))*(1/(alpha*psi)^2)*(Size*EXP(alpha*psi*Size))</f>
        <v>2.19194571378322</v>
      </c>
      <c r="L18" s="2" t="n">
        <f aca="false">thetax*beta*(-1/(alpha*psi)^2)*EXP(alpha*(Tau+zeta))*(EXP(alpha*psi*Size)-1)</f>
        <v>632.199632814046</v>
      </c>
      <c r="M18" s="2" t="n">
        <f aca="false">thetax*beta*(1/(alpha*psi)^2)*EXP(alpha*(2*Tau+zeta+psi*Size))</f>
        <v>15.0585022160337</v>
      </c>
      <c r="O18" s="2" t="n">
        <f aca="false">P18+Q18-R18</f>
        <v>1192.35978642596</v>
      </c>
      <c r="P18" s="2" t="n">
        <f aca="false">D18+E18</f>
        <v>2098.7152976489</v>
      </c>
      <c r="Q18" s="2" t="n">
        <f aca="false">2*F18+G18</f>
        <v>672.972780444008</v>
      </c>
      <c r="R18" s="2" t="n">
        <f aca="false">H18+I18+2*J18+K18+2*L18+M18</f>
        <v>1579.32829166695</v>
      </c>
      <c r="S18" s="1" t="n">
        <f aca="false">C18</f>
        <v>10</v>
      </c>
      <c r="U18" s="2" t="n">
        <f aca="false">beta*(1/(alpha*psi))*(1/alpha)*((-1/alpha*psi)*(EXP(alpha*(zeta+psi*Size))-EXP(alpha*zeta))+(Size*EXP(alpha*zeta)))</f>
        <v>1770.05728497612</v>
      </c>
      <c r="V18" s="2" t="n">
        <f aca="false">beta*(-1/(alpha*psi)^2)*(1/alpha)*(EXP(alpha*(zeta))-EXP(alpha*(zeta+psi*Size)))</f>
        <v>893.385103625875</v>
      </c>
      <c r="W18" s="2" t="n">
        <f aca="false">0</f>
        <v>0</v>
      </c>
      <c r="X18" s="2" t="n">
        <v>0</v>
      </c>
      <c r="Y18" s="2" t="n">
        <f aca="false">gamma*Size</f>
        <v>140</v>
      </c>
      <c r="Z18" s="2" t="n">
        <f aca="false">phi*beta*EXP(alpha*(zeta))*(0-1/(alpha*psi)^2)*((2/(alpha*psi))*(EXP(alpha*psi*Size)-1)-(Size*(EXP(alpha*psi*Size)+1)))</f>
        <v>103.86362797998</v>
      </c>
      <c r="AA18" s="2" t="n">
        <f aca="false">(phi*beta*EXP(alpha*(zeta)))*(0-1/(alpha*psi)^2)*((1/(alpha*psi))*(1-EXP(alpha*psi*Size))+Size*EXP(alpha*psi*Size))</f>
        <v>73.1421005176328</v>
      </c>
      <c r="AB18" s="2" t="n">
        <f aca="false">(phi*beta*EXP(alpha*(zeta)))*(1/(alpha*psi)^2)*(Size*EXP(alpha*psi*Size))</f>
        <v>16.1964098449548</v>
      </c>
      <c r="AC18" s="2" t="n">
        <f aca="false">0</f>
        <v>0</v>
      </c>
      <c r="AD18" s="2" t="n">
        <v>0</v>
      </c>
      <c r="AF18" s="2" t="n">
        <f aca="false">AG18+AH18-AI18</f>
        <v>2257.0981497418</v>
      </c>
      <c r="AG18" s="2" t="n">
        <f aca="false">U18+V18</f>
        <v>2663.442388602</v>
      </c>
      <c r="AH18" s="2" t="n">
        <f aca="false">2*W18+X18</f>
        <v>0</v>
      </c>
      <c r="AI18" s="2" t="n">
        <f aca="false">Y18+Z18+2*AA18+AB18+2*AC18+AD18</f>
        <v>406.3442388602</v>
      </c>
      <c r="AK18" s="2" t="n">
        <f aca="false">AF18-O18</f>
        <v>1064.73836331584</v>
      </c>
    </row>
    <row r="19" customFormat="false" ht="14.65" hidden="false" customHeight="false" outlineLevel="0" collapsed="false">
      <c r="A19" s="0" t="n">
        <f aca="false">A18+2</f>
        <v>30</v>
      </c>
      <c r="B19" s="1" t="n">
        <v>19.3766803990659</v>
      </c>
      <c r="C19" s="1" t="n">
        <v>10</v>
      </c>
      <c r="D19" s="2" t="n">
        <f aca="false">beta*(1/(alpha*psi))*(1/alpha)*((-1/alpha*psi)*(EXP(alpha*(zeta+psi*Size))-EXP(alpha*zeta))+(Size*EXP(alpha*zeta)))</f>
        <v>1949.81777339257</v>
      </c>
      <c r="E19" s="2" t="n">
        <f aca="false">beta*(-1/(alpha*psi)^2)*(1/alpha)*(EXP(alpha*(Tau+zeta))-EXP(alpha*(Tau+zeta+psi*Size)))</f>
        <v>332.515374471662</v>
      </c>
      <c r="F19" s="2" t="n">
        <f aca="false">Tau*beta*EXP(alpha*(Tau+zeta))*(0-(1/(alpha*psi)^2))*(-1+EXP(alpha*psi*Size))</f>
        <v>332.515374471662</v>
      </c>
      <c r="G19" s="2" t="n">
        <f aca="false">2*Tau*beta*EXP(alpha*(2*Tau+zeta))*(1/(alpha*psi)^2)*(EXP(alpha*psi*Size))</f>
        <v>12.8186668925128</v>
      </c>
      <c r="H19" s="2" t="n">
        <f aca="false">gamma*Size</f>
        <v>150</v>
      </c>
      <c r="I19" s="2" t="n">
        <f aca="false">phi*beta*EXP(alpha*(zeta))*(0-1/(alpha*psi)^2)*((2/(alpha*psi))*(EXP(alpha*psi*Size)-1)-(Size*(EXP(alpha*psi*Size)+1)))</f>
        <v>118.802404645642</v>
      </c>
      <c r="J19" s="2" t="n">
        <f aca="false">(phi*beta*EXP(alpha*(Tau+zeta)))*(0-1/(alpha*psi)^2)*((1/(alpha*psi))*(1-EXP(alpha*psi*Size))+Size*EXP(alpha*psi*Size))</f>
        <v>28.0248250553181</v>
      </c>
      <c r="K19" s="2" t="n">
        <f aca="false">(phi*beta*EXP(alpha*(2*Tau+zeta)))*(1/(alpha*psi)^2)*(Size*EXP(alpha*psi*Size))</f>
        <v>1.92280003387691</v>
      </c>
      <c r="L19" s="2" t="n">
        <f aca="false">thetax*beta*(-1/(alpha*psi)^2)*EXP(alpha*(Tau+zeta))*(EXP(alpha*psi*Size)-1)</f>
        <v>644.304413891311</v>
      </c>
      <c r="M19" s="2" t="n">
        <f aca="false">thetax*beta*(1/(alpha*psi)^2)*EXP(alpha*(2*Tau+zeta+psi*Size))</f>
        <v>12.4191605759153</v>
      </c>
      <c r="O19" s="2" t="n">
        <f aca="false">P19+Q19-R19</f>
        <v>1332.37972055138</v>
      </c>
      <c r="P19" s="2" t="n">
        <f aca="false">D19+E19</f>
        <v>2282.33314786423</v>
      </c>
      <c r="Q19" s="2" t="n">
        <f aca="false">2*F19+G19</f>
        <v>677.849415835836</v>
      </c>
      <c r="R19" s="2" t="n">
        <f aca="false">H19+I19+2*J19+K19+2*L19+M19</f>
        <v>1627.80284314869</v>
      </c>
      <c r="S19" s="1" t="n">
        <f aca="false">C19</f>
        <v>10</v>
      </c>
      <c r="U19" s="2" t="n">
        <f aca="false">beta*(1/(alpha*psi))*(1/alpha)*((-1/alpha*psi)*(EXP(alpha*(zeta+psi*Size))-EXP(alpha*zeta))+(Size*EXP(alpha*zeta)))</f>
        <v>1949.81777339257</v>
      </c>
      <c r="V19" s="2" t="n">
        <f aca="false">beta*(-1/(alpha*psi)^2)*(1/alpha)*(EXP(alpha*(zeta))-EXP(alpha*(zeta+psi*Size)))</f>
        <v>903.870500109573</v>
      </c>
      <c r="W19" s="2" t="n">
        <f aca="false">0</f>
        <v>0</v>
      </c>
      <c r="X19" s="2" t="n">
        <v>0</v>
      </c>
      <c r="Y19" s="2" t="n">
        <f aca="false">gamma*Size</f>
        <v>150</v>
      </c>
      <c r="Z19" s="2" t="n">
        <f aca="false">phi*beta*EXP(alpha*(zeta))*(0-1/(alpha*psi)^2)*((2/(alpha*psi))*(EXP(alpha*psi*Size)-1)-(Size*(EXP(alpha*psi*Size)+1)))</f>
        <v>118.802404645642</v>
      </c>
      <c r="AA19" s="2" t="n">
        <f aca="false">(phi*beta*EXP(alpha*(zeta)))*(0-1/(alpha*psi)^2)*((1/(alpha*psi))*(1-EXP(alpha*psi*Size))+Size*EXP(alpha*psi*Size))</f>
        <v>76.179372693615</v>
      </c>
      <c r="AB19" s="2" t="n">
        <f aca="false">(phi*beta*EXP(alpha*(zeta)))*(1/(alpha*psi)^2)*(Size*EXP(alpha*psi*Size))</f>
        <v>14.2076773173423</v>
      </c>
      <c r="AC19" s="2" t="n">
        <f aca="false">0</f>
        <v>0</v>
      </c>
      <c r="AD19" s="2" t="n">
        <v>0</v>
      </c>
      <c r="AF19" s="2" t="n">
        <f aca="false">AG19+AH19-AI19</f>
        <v>2418.31944615193</v>
      </c>
      <c r="AG19" s="2" t="n">
        <f aca="false">U19+V19</f>
        <v>2853.68827350214</v>
      </c>
      <c r="AH19" s="2" t="n">
        <f aca="false">2*W19+X19</f>
        <v>0</v>
      </c>
      <c r="AI19" s="2" t="n">
        <f aca="false">Y19+Z19+2*AA19+AB19+2*AC19+AD19</f>
        <v>435.368827350214</v>
      </c>
      <c r="AK19" s="2" t="n">
        <f aca="false">AF19-O19</f>
        <v>1085.93972560055</v>
      </c>
    </row>
    <row r="20" customFormat="false" ht="14.65" hidden="false" customHeight="false" outlineLevel="0" collapsed="false">
      <c r="A20" s="0" t="n">
        <f aca="false">A19+2</f>
        <v>32</v>
      </c>
      <c r="B20" s="1" t="n">
        <v>19.5012484461003</v>
      </c>
      <c r="C20" s="1" t="n">
        <v>10</v>
      </c>
      <c r="D20" s="2" t="n">
        <f aca="false">beta*(1/(alpha*psi))*(1/alpha)*((-1/alpha*psi)*(EXP(alpha*(zeta+psi*Size))-EXP(alpha*zeta))+(Size*EXP(alpha*zeta)))</f>
        <v>2131.47894173329</v>
      </c>
      <c r="E20" s="2" t="n">
        <f aca="false">beta*(-1/(alpha*psi)^2)*(1/alpha)*(EXP(alpha*(Tau+zeta))-EXP(alpha*(Tau+zeta+psi*Size)))</f>
        <v>335.673515202156</v>
      </c>
      <c r="F20" s="2" t="n">
        <f aca="false">Tau*beta*EXP(alpha*(Tau+zeta))*(0-(1/(alpha*psi)^2))*(-1+EXP(alpha*psi*Size))</f>
        <v>335.673515202156</v>
      </c>
      <c r="G20" s="2" t="n">
        <f aca="false">2*Tau*beta*EXP(alpha*(2*Tau+zeta))*(1/(alpha*psi)^2)*(EXP(alpha*psi*Size))</f>
        <v>10.4950367983628</v>
      </c>
      <c r="H20" s="2" t="n">
        <f aca="false">gamma*Size</f>
        <v>160</v>
      </c>
      <c r="I20" s="2" t="n">
        <f aca="false">phi*beta*EXP(alpha*(zeta))*(0-1/(alpha*psi)^2)*((2/(alpha*psi))*(EXP(alpha*psi*Size)-1)-(Size*(EXP(alpha*psi*Size)+1)))</f>
        <v>134.310119012581</v>
      </c>
      <c r="J20" s="2" t="n">
        <f aca="false">(phi*beta*EXP(alpha*(Tau+zeta)))*(0-1/(alpha*psi)^2)*((1/(alpha*psi))*(1-EXP(alpha*psi*Size))+Size*EXP(alpha*psi*Size))</f>
        <v>29.0027966693359</v>
      </c>
      <c r="K20" s="2" t="n">
        <f aca="false">(phi*beta*EXP(alpha*(2*Tau+zeta)))*(1/(alpha*psi)^2)*(Size*EXP(alpha*psi*Size))</f>
        <v>1.67920588773804</v>
      </c>
      <c r="L20" s="2" t="n">
        <f aca="false">thetax*beta*(-1/(alpha*psi)^2)*EXP(alpha*(Tau+zeta))*(EXP(alpha*psi*Size)-1)</f>
        <v>654.605261673308</v>
      </c>
      <c r="M20" s="2" t="n">
        <f aca="false">thetax*beta*(1/(alpha*psi)^2)*EXP(alpha*(2*Tau+zeta+psi*Size))</f>
        <v>10.2333160027919</v>
      </c>
      <c r="O20" s="2" t="n">
        <f aca="false">P20+Q20-R20</f>
        <v>1475.55576654973</v>
      </c>
      <c r="P20" s="2" t="n">
        <f aca="false">D20+E20</f>
        <v>2467.15245693545</v>
      </c>
      <c r="Q20" s="2" t="n">
        <f aca="false">2*F20+G20</f>
        <v>681.842067202675</v>
      </c>
      <c r="R20" s="2" t="n">
        <f aca="false">H20+I20+2*J20+K20+2*L20+M20</f>
        <v>1673.4387575884</v>
      </c>
      <c r="S20" s="1" t="n">
        <f aca="false">C20</f>
        <v>10</v>
      </c>
      <c r="U20" s="2" t="n">
        <f aca="false">beta*(1/(alpha*psi))*(1/alpha)*((-1/alpha*psi)*(EXP(alpha*(zeta+psi*Size))-EXP(alpha*zeta))+(Size*EXP(alpha*zeta)))</f>
        <v>2131.47894173329</v>
      </c>
      <c r="V20" s="2" t="n">
        <f aca="false">beta*(-1/(alpha*psi)^2)*(1/alpha)*(EXP(alpha*(zeta))-EXP(alpha*(zeta+psi*Size)))</f>
        <v>912.455216668992</v>
      </c>
      <c r="W20" s="2" t="n">
        <f aca="false">0</f>
        <v>0</v>
      </c>
      <c r="X20" s="2" t="n">
        <v>0</v>
      </c>
      <c r="Y20" s="2" t="n">
        <f aca="false">gamma*Size</f>
        <v>160</v>
      </c>
      <c r="Z20" s="2" t="n">
        <f aca="false">phi*beta*EXP(alpha*(zeta))*(0-1/(alpha*psi)^2)*((2/(alpha*psi))*(EXP(alpha*psi*Size)-1)-(Size*(EXP(alpha*psi*Size)+1)))</f>
        <v>134.310119012581</v>
      </c>
      <c r="AA20" s="2" t="n">
        <f aca="false">(phi*beta*EXP(alpha*(zeta)))*(0-1/(alpha*psi)^2)*((1/(alpha*psi))*(1-EXP(alpha*psi*Size))+Size*EXP(alpha*psi*Size))</f>
        <v>78.8377751607482</v>
      </c>
      <c r="AB20" s="2" t="n">
        <f aca="false">(phi*beta*EXP(alpha*(zeta)))*(1/(alpha*psi)^2)*(Size*EXP(alpha*psi*Size))</f>
        <v>12.407746506151</v>
      </c>
      <c r="AC20" s="2" t="n">
        <f aca="false">0</f>
        <v>0</v>
      </c>
      <c r="AD20" s="2" t="n">
        <v>0</v>
      </c>
      <c r="AF20" s="2" t="n">
        <f aca="false">AG20+AH20-AI20</f>
        <v>2579.54074256206</v>
      </c>
      <c r="AG20" s="2" t="n">
        <f aca="false">U20+V20</f>
        <v>3043.93415840228</v>
      </c>
      <c r="AH20" s="2" t="n">
        <f aca="false">2*W20+X20</f>
        <v>0</v>
      </c>
      <c r="AI20" s="2" t="n">
        <f aca="false">Y20+Z20+2*AA20+AB20+2*AC20+AD20</f>
        <v>464.393415840229</v>
      </c>
      <c r="AK20" s="2" t="n">
        <f aca="false">AF20-O20</f>
        <v>1103.98497601233</v>
      </c>
    </row>
    <row r="21" customFormat="false" ht="14.65" hidden="false" customHeight="false" outlineLevel="0" collapsed="false">
      <c r="A21" s="0" t="n">
        <f aca="false">A20+2</f>
        <v>34</v>
      </c>
      <c r="B21" s="1" t="n">
        <v>19.6109070945541</v>
      </c>
      <c r="C21" s="1" t="n">
        <v>10</v>
      </c>
      <c r="D21" s="2" t="n">
        <f aca="false">beta*(1/(alpha*psi))*(1/alpha)*((-1/alpha*psi)*(EXP(alpha*(zeta+psi*Size))-EXP(alpha*zeta))+(Size*EXP(alpha*zeta)))</f>
        <v>2314.69625517978</v>
      </c>
      <c r="E21" s="2" t="n">
        <f aca="false">beta*(-1/(alpha*psi)^2)*(1/alpha)*(EXP(alpha*(Tau+zeta))-EXP(alpha*(Tau+zeta+psi*Size)))</f>
        <v>338.25918214076</v>
      </c>
      <c r="F21" s="2" t="n">
        <f aca="false">Tau*beta*EXP(alpha*(Tau+zeta))*(0-(1/(alpha*psi)^2))*(-1+EXP(alpha*psi*Size))</f>
        <v>338.25918214076</v>
      </c>
      <c r="G21" s="2" t="n">
        <f aca="false">2*Tau*beta*EXP(alpha*(2*Tau+zeta))*(1/(alpha*psi)^2)*(EXP(alpha*psi*Size))</f>
        <v>8.59260938150467</v>
      </c>
      <c r="H21" s="2" t="n">
        <f aca="false">gamma*Size</f>
        <v>170</v>
      </c>
      <c r="I21" s="2" t="n">
        <f aca="false">phi*beta*EXP(alpha*(zeta))*(0-1/(alpha*psi)^2)*((2/(alpha*psi))*(EXP(alpha*psi*Size)-1)-(Size*(EXP(alpha*psi*Size)+1)))</f>
        <v>150.314763074257</v>
      </c>
      <c r="J21" s="2" t="n">
        <f aca="false">(phi*beta*EXP(alpha*(Tau+zeta)))*(0-1/(alpha*psi)^2)*((1/(alpha*psi))*(1-EXP(alpha*psi*Size))+Size*EXP(alpha*psi*Size))</f>
        <v>29.8552054441415</v>
      </c>
      <c r="K21" s="2" t="n">
        <f aca="false">(phi*beta*EXP(alpha*(2*Tau+zeta)))*(1/(alpha*psi)^2)*(Size*EXP(alpha*psi*Size))</f>
        <v>1.46074359485579</v>
      </c>
      <c r="L21" s="2" t="n">
        <f aca="false">thetax*beta*(-1/(alpha*psi)^2)*EXP(alpha*(Tau+zeta))*(EXP(alpha*psi*Size)-1)</f>
        <v>663.356939484228</v>
      </c>
      <c r="M21" s="2" t="n">
        <f aca="false">thetax*beta*(1/(alpha*psi)^2)*EXP(alpha*(2*Tau+zeta+psi*Size))</f>
        <v>8.42544321402409</v>
      </c>
      <c r="O21" s="2" t="n">
        <f aca="false">P21+Q21-R21</f>
        <v>1621.44117124369</v>
      </c>
      <c r="P21" s="2" t="n">
        <f aca="false">D21+E21</f>
        <v>2652.95543732054</v>
      </c>
      <c r="Q21" s="2" t="n">
        <f aca="false">2*F21+G21</f>
        <v>685.110973663024</v>
      </c>
      <c r="R21" s="2" t="n">
        <f aca="false">H21+I21+2*J21+K21+2*L21+M21</f>
        <v>1716.62523973988</v>
      </c>
      <c r="S21" s="1" t="n">
        <f aca="false">C21</f>
        <v>10</v>
      </c>
      <c r="U21" s="2" t="n">
        <f aca="false">beta*(1/(alpha*psi))*(1/alpha)*((-1/alpha*psi)*(EXP(alpha*(zeta+psi*Size))-EXP(alpha*zeta))+(Size*EXP(alpha*zeta)))</f>
        <v>2314.69625517978</v>
      </c>
      <c r="V21" s="2" t="n">
        <f aca="false">beta*(-1/(alpha*psi)^2)*(1/alpha)*(EXP(alpha*(zeta))-EXP(alpha*(zeta+psi*Size)))</f>
        <v>919.483788122646</v>
      </c>
      <c r="W21" s="2" t="n">
        <f aca="false">0</f>
        <v>0</v>
      </c>
      <c r="X21" s="2" t="n">
        <v>0</v>
      </c>
      <c r="Y21" s="2" t="n">
        <f aca="false">gamma*Size</f>
        <v>170</v>
      </c>
      <c r="Z21" s="2" t="n">
        <f aca="false">phi*beta*EXP(alpha*(zeta))*(0-1/(alpha*psi)^2)*((2/(alpha*psi))*(EXP(alpha*psi*Size)-1)-(Size*(EXP(alpha*psi*Size)+1)))</f>
        <v>150.314763074257</v>
      </c>
      <c r="AA21" s="2" t="n">
        <f aca="false">(phi*beta*EXP(alpha*(zeta)))*(0-1/(alpha*psi)^2)*((1/(alpha*psi))*(1-EXP(alpha*psi*Size))+Size*EXP(alpha*psi*Size))</f>
        <v>81.1548624437215</v>
      </c>
      <c r="AB21" s="2" t="n">
        <f aca="false">(phi*beta*EXP(alpha*(zeta)))*(1/(alpha*psi)^2)*(Size*EXP(alpha*psi*Size))</f>
        <v>10.7935163685431</v>
      </c>
      <c r="AC21" s="2" t="n">
        <f aca="false">0</f>
        <v>0</v>
      </c>
      <c r="AD21" s="2" t="n">
        <v>0</v>
      </c>
      <c r="AF21" s="2" t="n">
        <f aca="false">AG21+AH21-AI21</f>
        <v>2740.76203897218</v>
      </c>
      <c r="AG21" s="2" t="n">
        <f aca="false">U21+V21</f>
        <v>3234.18004330243</v>
      </c>
      <c r="AH21" s="2" t="n">
        <f aca="false">2*W21+X21</f>
        <v>0</v>
      </c>
      <c r="AI21" s="2" t="n">
        <f aca="false">Y21+Z21+2*AA21+AB21+2*AC21+AD21</f>
        <v>493.418004330243</v>
      </c>
      <c r="AK21" s="2" t="n">
        <f aca="false">AF21-O21</f>
        <v>1119.32086772849</v>
      </c>
    </row>
    <row r="22" customFormat="false" ht="14.65" hidden="false" customHeight="false" outlineLevel="0" collapsed="false">
      <c r="A22" s="0" t="n">
        <f aca="false">A21+2</f>
        <v>36</v>
      </c>
      <c r="B22" s="1" t="n">
        <v>19.7070923659138</v>
      </c>
      <c r="C22" s="1" t="n">
        <v>10</v>
      </c>
      <c r="D22" s="2" t="n">
        <f aca="false">beta*(1/(alpha*psi))*(1/alpha)*((-1/alpha*psi)*(EXP(alpha*(zeta+psi*Size))-EXP(alpha*zeta))+(Size*EXP(alpha*zeta)))</f>
        <v>2499.18763248061</v>
      </c>
      <c r="E22" s="2" t="n">
        <f aca="false">beta*(-1/(alpha*psi)^2)*(1/alpha)*(EXP(alpha*(Tau+zeta))-EXP(alpha*(Tau+zeta+psi*Size)))</f>
        <v>340.376147180612</v>
      </c>
      <c r="F22" s="2" t="n">
        <f aca="false">Tau*beta*EXP(alpha*(Tau+zeta))*(0-(1/(alpha*psi)^2))*(-1+EXP(alpha*psi*Size))</f>
        <v>340.376147180612</v>
      </c>
      <c r="G22" s="2" t="n">
        <f aca="false">2*Tau*beta*EXP(alpha*(2*Tau+zeta))*(1/(alpha*psi)^2)*(EXP(alpha*psi*Size))</f>
        <v>7.03503354982426</v>
      </c>
      <c r="H22" s="2" t="n">
        <f aca="false">gamma*Size</f>
        <v>180</v>
      </c>
      <c r="I22" s="2" t="n">
        <f aca="false">phi*beta*EXP(alpha*(zeta))*(0-1/(alpha*psi)^2)*((2/(alpha*psi))*(EXP(alpha*psi*Size)-1)-(Size*(EXP(alpha*psi*Size)+1)))</f>
        <v>166.751740036217</v>
      </c>
      <c r="J22" s="2" t="n">
        <f aca="false">(phi*beta*EXP(alpha*(Tau+zeta)))*(0-1/(alpha*psi)^2)*((1/(alpha*psi))*(1-EXP(alpha*psi*Size))+Size*EXP(alpha*psi*Size))</f>
        <v>30.5954380230655</v>
      </c>
      <c r="K22" s="2" t="n">
        <f aca="false">(phi*beta*EXP(alpha*(2*Tau+zeta)))*(1/(alpha*psi)^2)*(Size*EXP(alpha*psi*Size))</f>
        <v>1.26630603896837</v>
      </c>
      <c r="L22" s="2" t="n">
        <f aca="false">thetax*beta*(-1/(alpha*psi)^2)*EXP(alpha*(Tau+zeta))*(EXP(alpha*psi*Size)-1)</f>
        <v>670.782417164219</v>
      </c>
      <c r="M22" s="2" t="n">
        <f aca="false">thetax*beta*(1/(alpha*psi)^2)*EXP(alpha*(2*Tau+zeta+psi*Size))</f>
        <v>6.93200279818445</v>
      </c>
      <c r="O22" s="2" t="n">
        <f aca="false">P22+Q22-R22</f>
        <v>1769.64534832433</v>
      </c>
      <c r="P22" s="2" t="n">
        <f aca="false">D22+E22</f>
        <v>2839.56377966122</v>
      </c>
      <c r="Q22" s="2" t="n">
        <f aca="false">2*F22+G22</f>
        <v>687.787327911048</v>
      </c>
      <c r="R22" s="2" t="n">
        <f aca="false">H22+I22+2*J22+K22+2*L22+M22</f>
        <v>1757.70575924794</v>
      </c>
      <c r="S22" s="1" t="n">
        <f aca="false">C22</f>
        <v>10</v>
      </c>
      <c r="U22" s="2" t="n">
        <f aca="false">beta*(1/(alpha*psi))*(1/alpha)*((-1/alpha*psi)*(EXP(alpha*(zeta+psi*Size))-EXP(alpha*zeta))+(Size*EXP(alpha*zeta)))</f>
        <v>2499.18763248061</v>
      </c>
      <c r="V22" s="2" t="n">
        <f aca="false">beta*(-1/(alpha*psi)^2)*(1/alpha)*(EXP(alpha*(zeta))-EXP(alpha*(zeta+psi*Size)))</f>
        <v>925.238295721959</v>
      </c>
      <c r="W22" s="2" t="n">
        <f aca="false">0</f>
        <v>0</v>
      </c>
      <c r="X22" s="2" t="n">
        <v>0</v>
      </c>
      <c r="Y22" s="2" t="n">
        <f aca="false">gamma*Size</f>
        <v>180</v>
      </c>
      <c r="Z22" s="2" t="n">
        <f aca="false">phi*beta*EXP(alpha*(zeta))*(0-1/(alpha*psi)^2)*((2/(alpha*psi))*(EXP(alpha*psi*Size)-1)-(Size*(EXP(alpha*psi*Size)+1)))</f>
        <v>166.751740036217</v>
      </c>
      <c r="AA22" s="2" t="n">
        <f aca="false">(phi*beta*EXP(alpha*(zeta)))*(0-1/(alpha*psi)^2)*((1/(alpha*psi))*(1-EXP(alpha*psi*Size))+Size*EXP(alpha*psi*Size))</f>
        <v>83.167023211844</v>
      </c>
      <c r="AB22" s="2" t="n">
        <f aca="false">(phi*beta*EXP(alpha*(zeta)))*(1/(alpha*psi)^2)*(Size*EXP(alpha*psi*Size))</f>
        <v>9.35680636035192</v>
      </c>
      <c r="AC22" s="2" t="n">
        <f aca="false">0</f>
        <v>0</v>
      </c>
      <c r="AD22" s="2" t="n">
        <v>0</v>
      </c>
      <c r="AF22" s="2" t="n">
        <f aca="false">AG22+AH22-AI22</f>
        <v>2901.98333538231</v>
      </c>
      <c r="AG22" s="2" t="n">
        <f aca="false">U22+V22</f>
        <v>3424.42592820257</v>
      </c>
      <c r="AH22" s="2" t="n">
        <f aca="false">2*W22+X22</f>
        <v>0</v>
      </c>
      <c r="AI22" s="2" t="n">
        <f aca="false">Y22+Z22+2*AA22+AB22+2*AC22+AD22</f>
        <v>522.442592820257</v>
      </c>
      <c r="AK22" s="2" t="n">
        <f aca="false">AF22-O22</f>
        <v>1132.33798705798</v>
      </c>
    </row>
    <row r="23" customFormat="false" ht="14.65" hidden="false" customHeight="false" outlineLevel="0" collapsed="false">
      <c r="A23" s="0" t="n">
        <f aca="false">A22+2</f>
        <v>38</v>
      </c>
      <c r="B23" s="1" t="n">
        <v>19.7911158177022</v>
      </c>
      <c r="C23" s="1" t="n">
        <v>10</v>
      </c>
      <c r="D23" s="2" t="n">
        <f aca="false">beta*(1/(alpha*psi))*(1/alpha)*((-1/alpha*psi)*(EXP(alpha*(zeta+psi*Size))-EXP(alpha*zeta))+(Size*EXP(alpha*zeta)))</f>
        <v>2684.72212504038</v>
      </c>
      <c r="E23" s="2" t="n">
        <f aca="false">beta*(-1/(alpha*psi)^2)*(1/alpha)*(EXP(alpha*(Tau+zeta))-EXP(alpha*(Tau+zeta+psi*Size)))</f>
        <v>342.10937156193</v>
      </c>
      <c r="F23" s="2" t="n">
        <f aca="false">Tau*beta*EXP(alpha*(Tau+zeta))*(0-(1/(alpha*psi)^2))*(-1+EXP(alpha*psi*Size))</f>
        <v>342.10937156193</v>
      </c>
      <c r="G23" s="2" t="n">
        <f aca="false">2*Tau*beta*EXP(alpha*(2*Tau+zeta))*(1/(alpha*psi)^2)*(EXP(alpha*psi*Size))</f>
        <v>5.75979831617648</v>
      </c>
      <c r="H23" s="2" t="n">
        <f aca="false">gamma*Size</f>
        <v>190</v>
      </c>
      <c r="I23" s="2" t="n">
        <f aca="false">phi*beta*EXP(alpha*(zeta))*(0-1/(alpha*psi)^2)*((2/(alpha*psi))*(EXP(alpha*psi*Size)-1)-(Size*(EXP(alpha*psi*Size)+1)))</f>
        <v>183.563543544387</v>
      </c>
      <c r="J23" s="2" t="n">
        <f aca="false">(phi*beta*EXP(alpha*(Tau+zeta)))*(0-1/(alpha*psi)^2)*((1/(alpha*psi))*(1-EXP(alpha*psi*Size))+Size*EXP(alpha*psi*Size))</f>
        <v>31.2361536874872</v>
      </c>
      <c r="K23" s="2" t="n">
        <f aca="false">(phi*beta*EXP(alpha*(2*Tau+zeta)))*(1/(alpha*psi)^2)*(Size*EXP(alpha*psi*Size))</f>
        <v>1.09436168007353</v>
      </c>
      <c r="L23" s="2" t="n">
        <f aca="false">thetax*beta*(-1/(alpha*psi)^2)*EXP(alpha*(Tau+zeta))*(EXP(alpha*psi*Size)-1)</f>
        <v>677.072619490345</v>
      </c>
      <c r="M23" s="2" t="n">
        <f aca="false">thetax*beta*(1/(alpha*psi)^2)*EXP(alpha*(2*Tau+zeta+psi*Size))</f>
        <v>5.69964177810273</v>
      </c>
      <c r="O23" s="2" t="n">
        <f aca="false">P23+Q23-R23</f>
        <v>1919.83494468411</v>
      </c>
      <c r="P23" s="2" t="n">
        <f aca="false">D23+E23</f>
        <v>3026.83149660231</v>
      </c>
      <c r="Q23" s="2" t="n">
        <f aca="false">2*F23+G23</f>
        <v>689.978541440035</v>
      </c>
      <c r="R23" s="2" t="n">
        <f aca="false">H23+I23+2*J23+K23+2*L23+M23</f>
        <v>1796.97509335823</v>
      </c>
      <c r="S23" s="1" t="n">
        <f aca="false">C23</f>
        <v>10</v>
      </c>
      <c r="U23" s="2" t="n">
        <f aca="false">beta*(1/(alpha*psi))*(1/alpha)*((-1/alpha*psi)*(EXP(alpha*(zeta+psi*Size))-EXP(alpha*zeta))+(Size*EXP(alpha*zeta)))</f>
        <v>2684.72212504038</v>
      </c>
      <c r="V23" s="2" t="n">
        <f aca="false">beta*(-1/(alpha*psi)^2)*(1/alpha)*(EXP(alpha*(zeta))-EXP(alpha*(zeta+psi*Size)))</f>
        <v>929.949688062337</v>
      </c>
      <c r="W23" s="2" t="n">
        <f aca="false">0</f>
        <v>0</v>
      </c>
      <c r="X23" s="2" t="n">
        <v>0</v>
      </c>
      <c r="Y23" s="2" t="n">
        <f aca="false">gamma*Size</f>
        <v>190</v>
      </c>
      <c r="Z23" s="2" t="n">
        <f aca="false">phi*beta*EXP(alpha*(zeta))*(0-1/(alpha*psi)^2)*((2/(alpha*psi))*(EXP(alpha*psi*Size)-1)-(Size*(EXP(alpha*psi*Size)+1)))</f>
        <v>183.563543544387</v>
      </c>
      <c r="AA23" s="2" t="n">
        <f aca="false">(phi*beta*EXP(alpha*(zeta)))*(0-1/(alpha*psi)^2)*((1/(alpha*psi))*(1-EXP(alpha*psi*Size))+Size*EXP(alpha*psi*Size))</f>
        <v>84.9086689596504</v>
      </c>
      <c r="AB23" s="2" t="n">
        <f aca="false">(phi*beta*EXP(alpha*(zeta)))*(1/(alpha*psi)^2)*(Size*EXP(alpha*psi*Size))</f>
        <v>8.08629984658332</v>
      </c>
      <c r="AC23" s="2" t="n">
        <f aca="false">0</f>
        <v>0</v>
      </c>
      <c r="AD23" s="2" t="n">
        <v>0</v>
      </c>
      <c r="AF23" s="2" t="n">
        <f aca="false">AG23+AH23-AI23</f>
        <v>3063.20463179244</v>
      </c>
      <c r="AG23" s="2" t="n">
        <f aca="false">U23+V23</f>
        <v>3614.67181310271</v>
      </c>
      <c r="AH23" s="2" t="n">
        <f aca="false">2*W23+X23</f>
        <v>0</v>
      </c>
      <c r="AI23" s="2" t="n">
        <f aca="false">Y23+Z23+2*AA23+AB23+2*AC23+AD23</f>
        <v>551.467181310271</v>
      </c>
      <c r="AK23" s="2" t="n">
        <f aca="false">AF23-O23</f>
        <v>1143.36968710833</v>
      </c>
    </row>
    <row r="24" customFormat="false" ht="14.65" hidden="false" customHeight="false" outlineLevel="0" collapsed="false">
      <c r="A24" s="0" t="n">
        <f aca="false">A23+2</f>
        <v>40</v>
      </c>
      <c r="B24" s="1" t="n">
        <v>19.8643287226121</v>
      </c>
      <c r="C24" s="1" t="n">
        <v>10</v>
      </c>
      <c r="D24" s="2" t="n">
        <f aca="false">beta*(1/(alpha*psi))*(1/alpha)*((-1/alpha*psi)*(EXP(alpha*(zeta+psi*Size))-EXP(alpha*zeta))+(Size*EXP(alpha*zeta)))</f>
        <v>2871.11064814164</v>
      </c>
      <c r="E24" s="2" t="n">
        <f aca="false">beta*(-1/(alpha*psi)^2)*(1/alpha)*(EXP(alpha*(Tau+zeta))-EXP(alpha*(Tau+zeta+psi*Size)))</f>
        <v>343.528415664899</v>
      </c>
      <c r="F24" s="2" t="n">
        <f aca="false">Tau*beta*EXP(alpha*(Tau+zeta))*(0-(1/(alpha*psi)^2))*(-1+EXP(alpha*psi*Size))</f>
        <v>343.528415664899</v>
      </c>
      <c r="G24" s="2" t="n">
        <f aca="false">2*Tau*beta*EXP(alpha*(2*Tau+zeta))*(1/(alpha*psi)^2)*(EXP(alpha*psi*Size))</f>
        <v>4.71572401298046</v>
      </c>
      <c r="H24" s="2" t="n">
        <f aca="false">gamma*Size</f>
        <v>200</v>
      </c>
      <c r="I24" s="2" t="n">
        <f aca="false">phi*beta*EXP(alpha*(zeta))*(0-1/(alpha*psi)^2)*((2/(alpha*psi))*(EXP(alpha*psi*Size)-1)-(Size*(EXP(alpha*psi*Size)+1)))</f>
        <v>200.699309683839</v>
      </c>
      <c r="J24" s="2" t="n">
        <f aca="false">(phi*beta*EXP(alpha*(Tau+zeta)))*(0-1/(alpha*psi)^2)*((1/(alpha*psi))*(1-EXP(alpha*psi*Size))+Size*EXP(alpha*psi*Size))</f>
        <v>31.7891081879873</v>
      </c>
      <c r="K24" s="2" t="n">
        <f aca="false">(phi*beta*EXP(alpha*(2*Tau+zeta)))*(1/(alpha*psi)^2)*(Size*EXP(alpha*psi*Size))</f>
        <v>0.943144802596093</v>
      </c>
      <c r="L24" s="2" t="n">
        <f aca="false">thetax*beta*(-1/(alpha*psi)^2)*EXP(alpha*(Tau+zeta))*(EXP(alpha*psi*Size)-1)</f>
        <v>682.396137432569</v>
      </c>
      <c r="M24" s="2" t="n">
        <f aca="false">thetax*beta*(1/(alpha*psi)^2)*EXP(alpha*(2*Tau+zeta+psi*Size))</f>
        <v>4.68373459794798</v>
      </c>
      <c r="O24" s="2" t="n">
        <f aca="false">P24+Q24-R24</f>
        <v>2071.71493882382</v>
      </c>
      <c r="P24" s="2" t="n">
        <f aca="false">D24+E24</f>
        <v>3214.63906380654</v>
      </c>
      <c r="Q24" s="2" t="n">
        <f aca="false">2*F24+G24</f>
        <v>691.772555342778</v>
      </c>
      <c r="R24" s="2" t="n">
        <f aca="false">H24+I24+2*J24+K24+2*L24+M24</f>
        <v>1834.6966803255</v>
      </c>
      <c r="S24" s="1" t="n">
        <f aca="false">C24</f>
        <v>10</v>
      </c>
      <c r="U24" s="2" t="n">
        <f aca="false">beta*(1/(alpha*psi))*(1/alpha)*((-1/alpha*psi)*(EXP(alpha*(zeta+psi*Size))-EXP(alpha*zeta))+(Size*EXP(alpha*zeta)))</f>
        <v>2871.11064814164</v>
      </c>
      <c r="V24" s="2" t="n">
        <f aca="false">beta*(-1/(alpha*psi)^2)*(1/alpha)*(EXP(alpha*(zeta))-EXP(alpha*(zeta+psi*Size)))</f>
        <v>933.80704986122</v>
      </c>
      <c r="W24" s="2" t="n">
        <f aca="false">0</f>
        <v>0</v>
      </c>
      <c r="X24" s="2" t="n">
        <v>0</v>
      </c>
      <c r="Y24" s="2" t="n">
        <f aca="false">gamma*Size</f>
        <v>200</v>
      </c>
      <c r="Z24" s="2" t="n">
        <f aca="false">phi*beta*EXP(alpha*(zeta))*(0-1/(alpha*psi)^2)*((2/(alpha*psi))*(EXP(alpha*psi*Size)-1)-(Size*(EXP(alpha*psi*Size)+1)))</f>
        <v>200.699309683839</v>
      </c>
      <c r="AA24" s="2" t="n">
        <f aca="false">(phi*beta*EXP(alpha*(zeta)))*(0-1/(alpha*psi)^2)*((1/(alpha*psi))*(1-EXP(alpha*psi*Size))+Size*EXP(alpha*psi*Size))</f>
        <v>86.4117551303247</v>
      </c>
      <c r="AB24" s="2" t="n">
        <f aca="false">(phi*beta*EXP(alpha*(zeta)))*(1/(alpha*psi)^2)*(Size*EXP(alpha*psi*Size))</f>
        <v>6.9689498557974</v>
      </c>
      <c r="AC24" s="2" t="n">
        <f aca="false">0</f>
        <v>0</v>
      </c>
      <c r="AD24" s="2" t="n">
        <v>0</v>
      </c>
      <c r="AF24" s="2" t="n">
        <f aca="false">AG24+AH24-AI24</f>
        <v>3224.42592820257</v>
      </c>
      <c r="AG24" s="2" t="n">
        <f aca="false">U24+V24</f>
        <v>3804.91769800286</v>
      </c>
      <c r="AH24" s="2" t="n">
        <f aca="false">2*W24+X24</f>
        <v>0</v>
      </c>
      <c r="AI24" s="2" t="n">
        <f aca="false">Y24+Z24+2*AA24+AB24+2*AC24+AD24</f>
        <v>580.491769800286</v>
      </c>
      <c r="AK24" s="2" t="n">
        <f aca="false">AF24-O24</f>
        <v>1152.71098937875</v>
      </c>
    </row>
    <row r="25" customFormat="false" ht="14.65" hidden="false" customHeight="false" outlineLevel="0" collapsed="false">
      <c r="A25" s="0" t="n">
        <v>42</v>
      </c>
      <c r="B25" s="1" t="n">
        <v>19.9279210234263</v>
      </c>
      <c r="C25" s="1" t="n">
        <v>10</v>
      </c>
      <c r="D25" s="2" t="n">
        <f aca="false">beta*(1/(alpha*psi))*(1/alpha)*((-1/alpha*psi)*(EXP(alpha*(zeta+psi*Size))-EXP(alpha*zeta))+(Size*EXP(alpha*zeta)))</f>
        <v>3058.19839231128</v>
      </c>
      <c r="E25" s="2" t="n">
        <f aca="false">beta*(-1/(alpha*psi)^2)*(1/alpha)*(EXP(alpha*(Tau+zeta))-EXP(alpha*(Tau+zeta+psi*Size)))</f>
        <v>344.690230711974</v>
      </c>
      <c r="F25" s="2" t="n">
        <f aca="false">Tau*beta*EXP(alpha*(Tau+zeta))*(0-(1/(alpha*psi)^2))*(-1+EXP(alpha*psi*Size))</f>
        <v>344.690230711974</v>
      </c>
      <c r="G25" s="2" t="n">
        <f aca="false">2*Tau*beta*EXP(alpha*(2*Tau+zeta))*(1/(alpha*psi)^2)*(EXP(alpha*psi*Size))</f>
        <v>3.86090827245542</v>
      </c>
      <c r="H25" s="2" t="n">
        <f aca="false">gamma*Size</f>
        <v>210</v>
      </c>
      <c r="I25" s="2" t="n">
        <f aca="false">phi*beta*EXP(alpha*(zeta))*(0-1/(alpha*psi)^2)*((2/(alpha*psi))*(EXP(alpha*psi*Size)-1)-(Size*(EXP(alpha*psi*Size)+1)))</f>
        <v>218.114298413737</v>
      </c>
      <c r="J25" s="2" t="n">
        <f aca="false">(phi*beta*EXP(alpha*(Tau+zeta)))*(0-1/(alpha*psi)^2)*((1/(alpha*psi))*(1-EXP(alpha*psi*Size))+Size*EXP(alpha*psi*Size))</f>
        <v>32.2650653435412</v>
      </c>
      <c r="K25" s="2" t="n">
        <f aca="false">(phi*beta*EXP(alpha*(2*Tau+zeta)))*(1/(alpha*psi)^2)*(Size*EXP(alpha*psi*Size))</f>
        <v>0.810790737215637</v>
      </c>
      <c r="L25" s="2" t="n">
        <f aca="false">thetax*beta*(-1/(alpha*psi)^2)*EXP(alpha*(Tau+zeta))*(EXP(alpha*psi*Size)-1)</f>
        <v>686.895969517481</v>
      </c>
      <c r="M25" s="2" t="n">
        <f aca="false">thetax*beta*(1/(alpha*psi)^2)*EXP(alpha*(2*Tau+zeta+psi*Size))</f>
        <v>3.84699375660925</v>
      </c>
      <c r="O25" s="2" t="n">
        <f aca="false">P25+Q25-R25</f>
        <v>2225.03584009006</v>
      </c>
      <c r="P25" s="2" t="n">
        <f aca="false">D25+E25</f>
        <v>3402.88862302326</v>
      </c>
      <c r="Q25" s="2" t="n">
        <f aca="false">2*F25+G25</f>
        <v>693.241369696403</v>
      </c>
      <c r="R25" s="2" t="n">
        <f aca="false">H25+I25+2*J25+K25+2*L25+M25</f>
        <v>1871.09415262961</v>
      </c>
      <c r="S25" s="1" t="n">
        <f aca="false">C25</f>
        <v>10</v>
      </c>
      <c r="U25" s="2" t="n">
        <f aca="false">beta*(1/(alpha*psi))*(1/alpha)*((-1/alpha*psi)*(EXP(alpha*(zeta+psi*Size))-EXP(alpha*zeta))+(Size*EXP(alpha*zeta)))</f>
        <v>3058.19839231128</v>
      </c>
      <c r="V25" s="2" t="n">
        <f aca="false">beta*(-1/(alpha*psi)^2)*(1/alpha)*(EXP(alpha*(zeta))-EXP(alpha*(zeta+psi*Size)))</f>
        <v>936.965190591715</v>
      </c>
      <c r="W25" s="2" t="n">
        <f aca="false">0</f>
        <v>0</v>
      </c>
      <c r="X25" s="2" t="n">
        <v>0</v>
      </c>
      <c r="Y25" s="2" t="n">
        <f aca="false">gamma*Size</f>
        <v>210</v>
      </c>
      <c r="Z25" s="2" t="n">
        <f aca="false">phi*beta*EXP(alpha*(zeta))*(0-1/(alpha*psi)^2)*((2/(alpha*psi))*(EXP(alpha*psi*Size)-1)-(Size*(EXP(alpha*psi*Size)+1)))</f>
        <v>218.114298413737</v>
      </c>
      <c r="AA25" s="2" t="n">
        <f aca="false">(phi*beta*EXP(alpha*(zeta)))*(0-1/(alpha*psi)^2)*((1/(alpha*psi))*(1-EXP(alpha*psi*Size))+Size*EXP(alpha*psi*Size))</f>
        <v>87.7055408173918</v>
      </c>
      <c r="AB25" s="2" t="n">
        <f aca="false">(phi*beta*EXP(alpha*(zeta)))*(1/(alpha*psi)^2)*(Size*EXP(alpha*psi*Size))</f>
        <v>5.99097824177969</v>
      </c>
      <c r="AC25" s="2" t="n">
        <f aca="false">0</f>
        <v>0</v>
      </c>
      <c r="AD25" s="2" t="n">
        <v>0</v>
      </c>
      <c r="AF25" s="2" t="n">
        <f aca="false">AG25+AH25-AI25</f>
        <v>3385.6472246127</v>
      </c>
      <c r="AG25" s="2" t="n">
        <f aca="false">U25+V25</f>
        <v>3995.163582903</v>
      </c>
      <c r="AH25" s="2" t="n">
        <f aca="false">2*W25+X25</f>
        <v>0</v>
      </c>
      <c r="AI25" s="2" t="n">
        <f aca="false">Y25+Z25+2*AA25+AB25+2*AC25+AD25</f>
        <v>609.5163582903</v>
      </c>
      <c r="AK25" s="2" t="n">
        <f aca="false">AF25-O25</f>
        <v>1160.61138452264</v>
      </c>
    </row>
    <row r="26" customFormat="false" ht="14.65" hidden="false" customHeight="false" outlineLevel="0" collapsed="false">
      <c r="A26" s="0" t="n">
        <v>50</v>
      </c>
      <c r="B26" s="1" t="n">
        <v>20.1069527089856</v>
      </c>
      <c r="C26" s="1" t="n">
        <v>10</v>
      </c>
      <c r="D26" s="2" t="n">
        <f aca="false">beta*(1/(alpha*psi))*(1/alpha)*((-1/alpha*psi)*(EXP(alpha*(zeta+psi*Size))-EXP(alpha*zeta))+(Size*EXP(alpha*zeta)))</f>
        <v>3811.32703144911</v>
      </c>
      <c r="E26" s="2" t="n">
        <f aca="false">beta*(-1/(alpha*psi)^2)*(1/alpha)*(EXP(alpha*(Tau+zeta))-EXP(alpha*(Tau+zeta+psi*Size)))</f>
        <v>347.579887104665</v>
      </c>
      <c r="F26" s="2" t="n">
        <f aca="false">Tau*beta*EXP(alpha*(Tau+zeta))*(0-(1/(alpha*psi)^2))*(-1+EXP(alpha*psi*Size))</f>
        <v>347.579887104665</v>
      </c>
      <c r="G26" s="2" t="n">
        <f aca="false">2*Tau*beta*EXP(alpha*(2*Tau+zeta))*(1/(alpha*psi)^2)*(EXP(alpha*psi*Size))</f>
        <v>1.734817914614</v>
      </c>
      <c r="H26" s="2" t="n">
        <f aca="false">gamma*Size</f>
        <v>250</v>
      </c>
      <c r="I26" s="2" t="n">
        <f aca="false">phi*beta*EXP(alpha*(zeta))*(0-1/(alpha*psi)^2)*((2/(alpha*psi))*(EXP(alpha*psi*Size)-1)-(Size*(EXP(alpha*psi*Size)+1)))</f>
        <v>289.855360762594</v>
      </c>
      <c r="J26" s="2" t="n">
        <f aca="false">(phi*beta*EXP(alpha*(Tau+zeta)))*(0-1/(alpha*psi)^2)*((1/(alpha*psi))*(1-EXP(alpha*psi*Size))+Size*EXP(alpha*psi*Size))</f>
        <v>33.5790577072214</v>
      </c>
      <c r="K26" s="2" t="n">
        <f aca="false">(phi*beta*EXP(alpha*(2*Tau+zeta)))*(1/(alpha*psi)^2)*(Size*EXP(alpha*psi*Size))</f>
        <v>0.433704478653501</v>
      </c>
      <c r="L26" s="2" t="n">
        <f aca="false">thetax*beta*(-1/(alpha*psi)^2)*EXP(alpha*(Tau+zeta))*(EXP(alpha*psi*Size)-1)</f>
        <v>698.877235260807</v>
      </c>
      <c r="M26" s="2" t="n">
        <f aca="false">thetax*beta*(1/(alpha*psi)^2)*EXP(alpha*(2*Tau+zeta+psi*Size))</f>
        <v>1.74409508839224</v>
      </c>
      <c r="O26" s="2" t="n">
        <f aca="false">P26+Q26-R26</f>
        <v>2848.85576441203</v>
      </c>
      <c r="P26" s="2" t="n">
        <f aca="false">D26+E26</f>
        <v>4158.90691855378</v>
      </c>
      <c r="Q26" s="2" t="n">
        <f aca="false">2*F26+G26</f>
        <v>696.894592123944</v>
      </c>
      <c r="R26" s="2" t="n">
        <f aca="false">H26+I26+2*J26+K26+2*L26+M26</f>
        <v>2006.9457462657</v>
      </c>
      <c r="S26" s="1" t="n">
        <f aca="false">C26</f>
        <v>10</v>
      </c>
      <c r="U26" s="2" t="n">
        <f aca="false">beta*(1/(alpha*psi))*(1/alpha)*((-1/alpha*psi)*(EXP(alpha*(zeta+psi*Size))-EXP(alpha*zeta))+(Size*EXP(alpha*zeta)))</f>
        <v>3811.32703144911</v>
      </c>
      <c r="V26" s="2" t="n">
        <f aca="false">beta*(-1/(alpha*psi)^2)*(1/alpha)*(EXP(alpha*(zeta))-EXP(alpha*(zeta+psi*Size)))</f>
        <v>944.820091054458</v>
      </c>
      <c r="W26" s="2" t="n">
        <f aca="false">0</f>
        <v>0</v>
      </c>
      <c r="X26" s="2" t="n">
        <v>0</v>
      </c>
      <c r="Y26" s="2" t="n">
        <f aca="false">gamma*Size</f>
        <v>250</v>
      </c>
      <c r="Z26" s="2" t="n">
        <f aca="false">phi*beta*EXP(alpha*(zeta))*(0-1/(alpha*psi)^2)*((2/(alpha*psi))*(EXP(alpha*psi*Size)-1)-(Size*(EXP(alpha*psi*Size)+1)))</f>
        <v>289.855360762594</v>
      </c>
      <c r="AA26" s="2" t="n">
        <f aca="false">(phi*beta*EXP(alpha*(zeta)))*(0-1/(alpha*psi)^2)*((1/(alpha*psi))*(1-EXP(alpha*psi*Size))+Size*EXP(alpha*psi*Size))</f>
        <v>91.2773423823176</v>
      </c>
      <c r="AB26" s="2" t="n">
        <f aca="false">(phi*beta*EXP(alpha*(zeta)))*(1/(alpha*psi)^2)*(Size*EXP(alpha*psi*Size))</f>
        <v>3.20466672312819</v>
      </c>
      <c r="AC26" s="2" t="n">
        <f aca="false">0</f>
        <v>0</v>
      </c>
      <c r="AD26" s="2" t="n">
        <v>0</v>
      </c>
      <c r="AF26" s="2" t="n">
        <f aca="false">AG26+AH26-AI26</f>
        <v>4030.53241025321</v>
      </c>
      <c r="AG26" s="2" t="n">
        <f aca="false">U26+V26</f>
        <v>4756.14712250357</v>
      </c>
      <c r="AH26" s="2" t="n">
        <f aca="false">2*W26+X26</f>
        <v>0</v>
      </c>
      <c r="AI26" s="2" t="n">
        <f aca="false">Y26+Z26+2*AA26+AB26+2*AC26+AD26</f>
        <v>725.614712250357</v>
      </c>
      <c r="AK26" s="2" t="n">
        <f aca="false">AF26-O26</f>
        <v>1181.67664584119</v>
      </c>
    </row>
    <row r="27" customFormat="false" ht="14.65" hidden="false" customHeight="false" outlineLevel="0" collapsed="false">
      <c r="A27" s="0" t="n">
        <v>60</v>
      </c>
      <c r="B27" s="1" t="n">
        <v>20.2205226871732</v>
      </c>
      <c r="C27" s="1" t="n">
        <v>10</v>
      </c>
      <c r="D27" s="2" t="n">
        <f aca="false">beta*(1/(alpha*psi))*(1/alpha)*((-1/alpha*psi)*(EXP(alpha*(zeta+psi*Size))-EXP(alpha*zeta))+(Size*EXP(alpha*zeta)))</f>
        <v>4758.50498451006</v>
      </c>
      <c r="E27" s="2" t="n">
        <f aca="false">beta*(-1/(alpha*psi)^2)*(1/alpha)*(EXP(alpha*(Tau+zeta))-EXP(alpha*(Tau+zeta+psi*Size)))</f>
        <v>349.070340153848</v>
      </c>
      <c r="F27" s="2" t="n">
        <f aca="false">Tau*beta*EXP(alpha*(Tau+zeta))*(0-(1/(alpha*psi)^2))*(-1+EXP(alpha*psi*Size))</f>
        <v>349.070340153848</v>
      </c>
      <c r="G27" s="2" t="n">
        <f aca="false">2*Tau*beta*EXP(alpha*(2*Tau+zeta))*(1/(alpha*psi)^2)*(EXP(alpha*psi*Size))</f>
        <v>0.638203844962407</v>
      </c>
      <c r="H27" s="2" t="n">
        <f aca="false">gamma*Size</f>
        <v>300</v>
      </c>
      <c r="I27" s="2" t="n">
        <f aca="false">phi*beta*EXP(alpha*(zeta))*(0-1/(alpha*psi)^2)*((2/(alpha*psi))*(EXP(alpha*psi*Size)-1)-(Size*(EXP(alpha*psi*Size)+1)))</f>
        <v>382.378059405478</v>
      </c>
      <c r="J27" s="2" t="n">
        <f aca="false">(phi*beta*EXP(alpha*(Tau+zeta)))*(0-1/(alpha*psi)^2)*((1/(alpha*psi))*(1-EXP(alpha*psi*Size))+Size*EXP(alpha*psi*Size))</f>
        <v>34.3865886410006</v>
      </c>
      <c r="K27" s="2" t="n">
        <f aca="false">(phi*beta*EXP(alpha*(2*Tau+zeta)))*(1/(alpha*psi)^2)*(Size*EXP(alpha*psi*Size))</f>
        <v>0.191461153488722</v>
      </c>
      <c r="L27" s="2" t="n">
        <f aca="false">thetax*beta*(-1/(alpha*psi)^2)*EXP(alpha*(Tau+zeta))*(EXP(alpha*psi*Size)-1)</f>
        <v>705.838473250017</v>
      </c>
      <c r="M27" s="2" t="n">
        <f aca="false">thetax*beta*(1/(alpha*psi)^2)*EXP(alpha*(2*Tau+zeta+psi*Size))</f>
        <v>0.645240766305177</v>
      </c>
      <c r="O27" s="2" t="n">
        <f aca="false">P27+Q27-R27</f>
        <v>3642.68932370926</v>
      </c>
      <c r="P27" s="2" t="n">
        <f aca="false">D27+E27</f>
        <v>5107.57532466391</v>
      </c>
      <c r="Q27" s="2" t="n">
        <f aca="false">2*F27+G27</f>
        <v>698.778884152659</v>
      </c>
      <c r="R27" s="2" t="n">
        <f aca="false">H27+I27+2*J27+K27+2*L27+M27</f>
        <v>2163.66488510731</v>
      </c>
      <c r="S27" s="1" t="n">
        <f aca="false">C27</f>
        <v>10</v>
      </c>
      <c r="U27" s="2" t="n">
        <f aca="false">beta*(1/(alpha*psi))*(1/alpha)*((-1/alpha*psi)*(EXP(alpha*(zeta+psi*Size))-EXP(alpha*zeta))+(Size*EXP(alpha*zeta)))</f>
        <v>4758.50498451006</v>
      </c>
      <c r="V27" s="2" t="n">
        <f aca="false">beta*(-1/(alpha*psi)^2)*(1/alpha)*(EXP(alpha*(zeta))-EXP(alpha*(zeta+psi*Size)))</f>
        <v>948.871562494224</v>
      </c>
      <c r="W27" s="2" t="n">
        <f aca="false">0</f>
        <v>0</v>
      </c>
      <c r="X27" s="2" t="n">
        <v>0</v>
      </c>
      <c r="Y27" s="2" t="n">
        <f aca="false">gamma*Size</f>
        <v>300</v>
      </c>
      <c r="Z27" s="2" t="n">
        <f aca="false">phi*beta*EXP(alpha*(zeta))*(0-1/(alpha*psi)^2)*((2/(alpha*psi))*(EXP(alpha*psi*Size)-1)-(Size*(EXP(alpha*psi*Size)+1)))</f>
        <v>382.378059405478</v>
      </c>
      <c r="AA27" s="2" t="n">
        <f aca="false">(phi*beta*EXP(alpha*(zeta)))*(0-1/(alpha*psi)^2)*((1/(alpha*psi))*(1-EXP(alpha*psi*Size))+Size*EXP(alpha*psi*Size))</f>
        <v>93.4724390455283</v>
      </c>
      <c r="AB27" s="2" t="n">
        <f aca="false">(phi*beta*EXP(alpha*(zeta)))*(1/(alpha*psi)^2)*(Size*EXP(alpha*psi*Size))</f>
        <v>1.41471720389414</v>
      </c>
      <c r="AC27" s="2" t="n">
        <f aca="false">0</f>
        <v>0</v>
      </c>
      <c r="AD27" s="2" t="n">
        <v>0</v>
      </c>
      <c r="AF27" s="2" t="n">
        <f aca="false">AG27+AH27-AI27</f>
        <v>4836.63889230386</v>
      </c>
      <c r="AG27" s="2" t="n">
        <f aca="false">U27+V27</f>
        <v>5707.37654700428</v>
      </c>
      <c r="AH27" s="2" t="n">
        <f aca="false">2*W27+X27</f>
        <v>0</v>
      </c>
      <c r="AI27" s="2" t="n">
        <f aca="false">Y27+Z27+2*AA27+AB27+2*AC27+AD27</f>
        <v>870.737654700429</v>
      </c>
      <c r="AK27" s="2" t="n">
        <f aca="false">AF27-O27</f>
        <v>1193.94956859459</v>
      </c>
    </row>
    <row r="28" customFormat="false" ht="14.65" hidden="false" customHeight="false" outlineLevel="0" collapsed="false">
      <c r="A28" s="0" t="n">
        <v>70</v>
      </c>
      <c r="B28" s="1" t="n">
        <v>20.2714975026958</v>
      </c>
      <c r="C28" s="1" t="n">
        <v>10</v>
      </c>
      <c r="D28" s="2" t="n">
        <f aca="false">beta*(1/(alpha*psi))*(1/alpha)*((-1/alpha*psi)*(EXP(alpha*(zeta+psi*Size))-EXP(alpha*zeta))+(Size*EXP(alpha*zeta)))</f>
        <v>5708.24395596159</v>
      </c>
      <c r="E28" s="2" t="n">
        <f aca="false">beta*(-1/(alpha*psi)^2)*(1/alpha)*(EXP(alpha*(Tau+zeta))-EXP(alpha*(Tau+zeta+psi*Size)))</f>
        <v>349.618647188674</v>
      </c>
      <c r="F28" s="2" t="n">
        <f aca="false">Tau*beta*EXP(alpha*(Tau+zeta))*(0-(1/(alpha*psi)^2))*(-1+EXP(alpha*psi*Size))</f>
        <v>349.618647188674</v>
      </c>
      <c r="G28" s="2" t="n">
        <f aca="false">2*Tau*beta*EXP(alpha*(2*Tau+zeta))*(1/(alpha*psi)^2)*(EXP(alpha*psi*Size))</f>
        <v>0.234782073838236</v>
      </c>
      <c r="H28" s="2" t="n">
        <f aca="false">gamma*Size</f>
        <v>350</v>
      </c>
      <c r="I28" s="2" t="n">
        <f aca="false">phi*beta*EXP(alpha*(zeta))*(0-1/(alpha*psi)^2)*((2/(alpha*psi))*(EXP(alpha*psi*Size)-1)-(Size*(EXP(alpha*psi*Size)+1)))</f>
        <v>476.395380311933</v>
      </c>
      <c r="J28" s="2" t="n">
        <f aca="false">(phi*beta*EXP(alpha*(Tau+zeta)))*(0-1/(alpha*psi)^2)*((1/(alpha*psi))*(1-EXP(alpha*psi*Size))+Size*EXP(alpha*psi*Size))</f>
        <v>34.7384933731306</v>
      </c>
      <c r="K28" s="2" t="n">
        <f aca="false">(phi*beta*EXP(alpha*(2*Tau+zeta)))*(1/(alpha*psi)^2)*(Size*EXP(alpha*psi*Size))</f>
        <v>0.0821737258433826</v>
      </c>
      <c r="L28" s="2" t="n">
        <f aca="false">thetax*beta*(-1/(alpha*psi)^2)*EXP(alpha*(Tau+zeta))*(EXP(alpha*psi*Size)-1)</f>
        <v>708.72935333811</v>
      </c>
      <c r="M28" s="2" t="n">
        <f aca="false">thetax*beta*(1/(alpha*psi)^2)*EXP(alpha*(2*Tau+zeta+psi*Size))</f>
        <v>0.237969211174477</v>
      </c>
      <c r="O28" s="2" t="n">
        <f aca="false">P28+Q28-R28</f>
        <v>4443.68346293002</v>
      </c>
      <c r="P28" s="2" t="n">
        <f aca="false">D28+E28</f>
        <v>6057.86260315027</v>
      </c>
      <c r="Q28" s="2" t="n">
        <f aca="false">2*F28+G28</f>
        <v>699.472076451186</v>
      </c>
      <c r="R28" s="2" t="n">
        <f aca="false">H28+I28+2*J28+K28+2*L28+M28</f>
        <v>2313.65121667143</v>
      </c>
      <c r="S28" s="1" t="n">
        <f aca="false">C28</f>
        <v>10</v>
      </c>
      <c r="U28" s="2" t="n">
        <f aca="false">beta*(1/(alpha*psi))*(1/alpha)*((-1/alpha*psi)*(EXP(alpha*(zeta+psi*Size))-EXP(alpha*zeta))+(Size*EXP(alpha*zeta)))</f>
        <v>5708.24395596159</v>
      </c>
      <c r="V28" s="2" t="n">
        <f aca="false">beta*(-1/(alpha*psi)^2)*(1/alpha)*(EXP(alpha*(zeta))-EXP(alpha*(zeta+psi*Size)))</f>
        <v>950.362015543407</v>
      </c>
      <c r="W28" s="2" t="n">
        <f aca="false">0</f>
        <v>0</v>
      </c>
      <c r="X28" s="2" t="n">
        <v>0</v>
      </c>
      <c r="Y28" s="2" t="n">
        <f aca="false">gamma*Size</f>
        <v>350</v>
      </c>
      <c r="Z28" s="2" t="n">
        <f aca="false">phi*beta*EXP(alpha*(zeta))*(0-1/(alpha*psi)^2)*((2/(alpha*psi))*(EXP(alpha*psi*Size)-1)-(Size*(EXP(alpha*psi*Size)+1)))</f>
        <v>476.395380311933</v>
      </c>
      <c r="AA28" s="2" t="n">
        <f aca="false">(phi*beta*EXP(alpha*(zeta)))*(0-1/(alpha*psi)^2)*((1/(alpha*psi))*(1-EXP(alpha*psi*Size))+Size*EXP(alpha*psi*Size))</f>
        <v>94.4290152842258</v>
      </c>
      <c r="AB28" s="2" t="n">
        <f aca="false">(phi*beta*EXP(alpha*(zeta)))*(1/(alpha*psi)^2)*(Size*EXP(alpha*psi*Size))</f>
        <v>0.607186270114902</v>
      </c>
      <c r="AC28" s="2" t="n">
        <f aca="false">0</f>
        <v>0</v>
      </c>
      <c r="AD28" s="2" t="n">
        <v>0</v>
      </c>
      <c r="AF28" s="2" t="n">
        <f aca="false">AG28+AH28-AI28</f>
        <v>5642.7453743545</v>
      </c>
      <c r="AG28" s="2" t="n">
        <f aca="false">U28+V28</f>
        <v>6658.605971505</v>
      </c>
      <c r="AH28" s="2" t="n">
        <f aca="false">2*W28+X28</f>
        <v>0</v>
      </c>
      <c r="AI28" s="2" t="n">
        <f aca="false">Y28+Z28+2*AA28+AB28+2*AC28+AD28</f>
        <v>1015.8605971505</v>
      </c>
      <c r="AK28" s="2" t="n">
        <f aca="false">AF28-O28</f>
        <v>1199.06191142448</v>
      </c>
    </row>
    <row r="29" customFormat="false" ht="14.65" hidden="false" customHeight="false" outlineLevel="0" collapsed="false">
      <c r="A29" s="0" t="n">
        <v>80</v>
      </c>
      <c r="B29" s="1" t="n">
        <v>20.2936353393413</v>
      </c>
      <c r="C29" s="1" t="n">
        <v>10</v>
      </c>
      <c r="D29" s="2" t="n">
        <f aca="false">beta*(1/(alpha*psi))*(1/alpha)*((-1/alpha*psi)*(EXP(alpha*(zeta+psi*Size))-EXP(alpha*zeta))+(Size*EXP(alpha*zeta)))</f>
        <v>6658.92507342748</v>
      </c>
      <c r="E29" s="2" t="n">
        <f aca="false">beta*(-1/(alpha*psi)^2)*(1/alpha)*(EXP(alpha*(Tau+zeta))-EXP(alpha*(Tau+zeta+psi*Size)))</f>
        <v>349.820358074236</v>
      </c>
      <c r="F29" s="2" t="n">
        <f aca="false">Tau*beta*EXP(alpha*(Tau+zeta))*(0-(1/(alpha*psi)^2))*(-1+EXP(alpha*psi*Size))</f>
        <v>349.820358074236</v>
      </c>
      <c r="G29" s="2" t="n">
        <f aca="false">2*Tau*beta*EXP(alpha*(2*Tau+zeta))*(1/(alpha*psi)^2)*(EXP(alpha*psi*Size))</f>
        <v>0.0863714981206826</v>
      </c>
      <c r="H29" s="2" t="n">
        <f aca="false">gamma*Size</f>
        <v>400</v>
      </c>
      <c r="I29" s="2" t="n">
        <f aca="false">phi*beta*EXP(alpha*(zeta))*(0-1/(alpha*psi)^2)*((2/(alpha*psi))*(EXP(alpha*psi*Size)-1)-(Size*(EXP(alpha*psi*Size)+1)))</f>
        <v>571.05675662291</v>
      </c>
      <c r="J29" s="2" t="n">
        <f aca="false">(phi*beta*EXP(alpha*(Tau+zeta)))*(0-1/(alpha*psi)^2)*((1/(alpha*psi))*(1-EXP(alpha*psi*Size))+Size*EXP(alpha*psi*Size))</f>
        <v>34.8881229778883</v>
      </c>
      <c r="K29" s="2" t="n">
        <f aca="false">(phi*beta*EXP(alpha*(2*Tau+zeta)))*(1/(alpha*psi)^2)*(Size*EXP(alpha*psi*Size))</f>
        <v>0.034548599248273</v>
      </c>
      <c r="L29" s="2" t="n">
        <f aca="false">thetax*beta*(-1/(alpha*psi)^2)*EXP(alpha*(Tau+zeta))*(EXP(alpha*psi*Size)-1)</f>
        <v>709.912678103633</v>
      </c>
      <c r="M29" s="2" t="n">
        <f aca="false">thetax*beta*(1/(alpha*psi)^2)*EXP(alpha*(2*Tau+zeta+psi*Size))</f>
        <v>0.0876395843286865</v>
      </c>
      <c r="O29" s="2" t="n">
        <f aca="false">P29+Q29-R29</f>
        <v>5247.69197217878</v>
      </c>
      <c r="P29" s="2" t="n">
        <f aca="false">D29+E29</f>
        <v>7008.74543150172</v>
      </c>
      <c r="Q29" s="2" t="n">
        <f aca="false">2*F29+G29</f>
        <v>699.727087646593</v>
      </c>
      <c r="R29" s="2" t="n">
        <f aca="false">H29+I29+2*J29+K29+2*L29+M29</f>
        <v>2460.78054696953</v>
      </c>
      <c r="S29" s="1" t="n">
        <f aca="false">C29</f>
        <v>10</v>
      </c>
      <c r="U29" s="2" t="n">
        <f aca="false">beta*(1/(alpha*psi))*(1/alpha)*((-1/alpha*psi)*(EXP(alpha*(zeta+psi*Size))-EXP(alpha*zeta))+(Size*EXP(alpha*zeta)))</f>
        <v>6658.92507342748</v>
      </c>
      <c r="V29" s="2" t="n">
        <f aca="false">beta*(-1/(alpha*psi)^2)*(1/alpha)*(EXP(alpha*(zeta))-EXP(alpha*(zeta+psi*Size)))</f>
        <v>950.910322578233</v>
      </c>
      <c r="W29" s="2" t="n">
        <f aca="false">0</f>
        <v>0</v>
      </c>
      <c r="X29" s="2" t="n">
        <v>0</v>
      </c>
      <c r="Y29" s="2" t="n">
        <f aca="false">gamma*Size</f>
        <v>400</v>
      </c>
      <c r="Z29" s="2" t="n">
        <f aca="false">phi*beta*EXP(alpha*(zeta))*(0-1/(alpha*psi)^2)*((2/(alpha*psi))*(EXP(alpha*psi*Size)-1)-(Size*(EXP(alpha*psi*Size)+1)))</f>
        <v>571.05675662291</v>
      </c>
      <c r="AA29" s="2" t="n">
        <f aca="false">(phi*beta*EXP(alpha*(zeta)))*(0-1/(alpha*psi)^2)*((1/(alpha*psi))*(1-EXP(alpha*psi*Size))+Size*EXP(alpha*psi*Size))</f>
        <v>94.8357507198383</v>
      </c>
      <c r="AB29" s="2" t="n">
        <f aca="false">(phi*beta*EXP(alpha*(zeta)))*(1/(alpha*psi)^2)*(Size*EXP(alpha*psi*Size))</f>
        <v>0.255281537984963</v>
      </c>
      <c r="AC29" s="2" t="n">
        <f aca="false">0</f>
        <v>0</v>
      </c>
      <c r="AD29" s="2" t="n">
        <v>0</v>
      </c>
      <c r="AF29" s="2" t="n">
        <f aca="false">AG29+AH29-AI29</f>
        <v>6448.85185640514</v>
      </c>
      <c r="AG29" s="2" t="n">
        <f aca="false">U29+V29</f>
        <v>7609.83539600571</v>
      </c>
      <c r="AH29" s="2" t="n">
        <f aca="false">2*W29+X29</f>
        <v>0</v>
      </c>
      <c r="AI29" s="2" t="n">
        <f aca="false">Y29+Z29+2*AA29+AB29+2*AC29+AD29</f>
        <v>1160.98353960057</v>
      </c>
      <c r="AK29" s="2" t="n">
        <f aca="false">AF29-O29</f>
        <v>1201.15988422636</v>
      </c>
    </row>
    <row r="30" customFormat="false" ht="14.65" hidden="false" customHeight="false" outlineLevel="0" collapsed="false">
      <c r="A30" s="0" t="n">
        <v>90</v>
      </c>
      <c r="B30" s="1" t="n">
        <v>20.3030481457817</v>
      </c>
      <c r="C30" s="1" t="n">
        <v>10</v>
      </c>
      <c r="D30" s="2" t="n">
        <f aca="false">beta*(1/(alpha*psi))*(1/alpha)*((-1/alpha*psi)*(EXP(alpha*(zeta+psi*Size))-EXP(alpha*zeta))+(Size*EXP(alpha*zeta)))</f>
        <v>7609.95278704263</v>
      </c>
      <c r="E30" s="2" t="n">
        <f aca="false">beta*(-1/(alpha*psi)^2)*(1/alpha)*(EXP(alpha*(Tau+zeta))-EXP(alpha*(Tau+zeta+psi*Size)))</f>
        <v>349.894563362095</v>
      </c>
      <c r="F30" s="2" t="n">
        <f aca="false">Tau*beta*EXP(alpha*(Tau+zeta))*(0-(1/(alpha*psi)^2))*(-1+EXP(alpha*psi*Size))</f>
        <v>349.894563362095</v>
      </c>
      <c r="G30" s="2" t="n">
        <f aca="false">2*Tau*beta*EXP(alpha*(2*Tau+zeta))*(1/(alpha*psi)^2)*(EXP(alpha*psi*Size))</f>
        <v>0.031774298461777</v>
      </c>
      <c r="H30" s="2" t="n">
        <f aca="false">gamma*Size</f>
        <v>450</v>
      </c>
      <c r="I30" s="2" t="n">
        <f aca="false">phi*beta*EXP(alpha*(zeta))*(0-1/(alpha*psi)^2)*((2/(alpha*psi))*(EXP(alpha*psi*Size)-1)-(Size*(EXP(alpha*psi*Size)+1)))</f>
        <v>665.989727291111</v>
      </c>
      <c r="J30" s="2" t="n">
        <f aca="false">(phi*beta*EXP(alpha*(Tau+zeta)))*(0-1/(alpha*psi)^2)*((1/(alpha*psi))*(1-EXP(alpha*psi*Size))+Size*EXP(alpha*psi*Size))</f>
        <v>34.9505891620552</v>
      </c>
      <c r="K30" s="2" t="n">
        <f aca="false">(phi*beta*EXP(alpha*(2*Tau+zeta)))*(1/(alpha*psi)^2)*(Size*EXP(alpha*psi*Size))</f>
        <v>0.0142984343077996</v>
      </c>
      <c r="L30" s="2" t="n">
        <f aca="false">thetax*beta*(-1/(alpha*psi)^2)*EXP(alpha*(Tau+zeta))*(EXP(alpha*psi*Size)-1)</f>
        <v>710.392616588788</v>
      </c>
      <c r="M30" s="2" t="n">
        <f aca="false">thetax*beta*(1/(alpha*psi)^2)*EXP(alpha*(2*Tau+zeta+psi*Size))</f>
        <v>0.0322557555733948</v>
      </c>
      <c r="O30" s="2" t="n">
        <f aca="false">P30+Q30-R30</f>
        <v>6052.9455584447</v>
      </c>
      <c r="P30" s="2" t="n">
        <f aca="false">D30+E30</f>
        <v>7959.84735040473</v>
      </c>
      <c r="Q30" s="2" t="n">
        <f aca="false">2*F30+G30</f>
        <v>699.820901022652</v>
      </c>
      <c r="R30" s="2" t="n">
        <f aca="false">H30+I30+2*J30+K30+2*L30+M30</f>
        <v>2606.72269298268</v>
      </c>
      <c r="S30" s="1" t="n">
        <f aca="false">C30</f>
        <v>10</v>
      </c>
      <c r="U30" s="2" t="n">
        <f aca="false">beta*(1/(alpha*psi))*(1/alpha)*((-1/alpha*psi)*(EXP(alpha*(zeta+psi*Size))-EXP(alpha*zeta))+(Size*EXP(alpha*zeta)))</f>
        <v>7609.95278704263</v>
      </c>
      <c r="V30" s="2" t="n">
        <f aca="false">beta*(-1/(alpha*psi)^2)*(1/alpha)*(EXP(alpha*(zeta))-EXP(alpha*(zeta+psi*Size)))</f>
        <v>951.112033463795</v>
      </c>
      <c r="W30" s="2" t="n">
        <f aca="false">0</f>
        <v>0</v>
      </c>
      <c r="X30" s="2" t="n">
        <v>0</v>
      </c>
      <c r="Y30" s="2" t="n">
        <f aca="false">gamma*Size</f>
        <v>450</v>
      </c>
      <c r="Z30" s="2" t="n">
        <f aca="false">phi*beta*EXP(alpha*(zeta))*(0-1/(alpha*psi)^2)*((2/(alpha*psi))*(EXP(alpha*psi*Size)-1)-(Size*(EXP(alpha*psi*Size)+1)))</f>
        <v>665.989727291111</v>
      </c>
      <c r="AA30" s="2" t="n">
        <f aca="false">(phi*beta*EXP(alpha*(zeta)))*(0-1/(alpha*psi)^2)*((1/(alpha*psi))*(1-EXP(alpha*psi*Size))+Size*EXP(alpha*psi*Size))</f>
        <v>95.0055514131523</v>
      </c>
      <c r="AB30" s="2" t="n">
        <f aca="false">(phi*beta*EXP(alpha*(zeta)))*(1/(alpha*psi)^2)*(Size*EXP(alpha*psi*Size))</f>
        <v>0.105651933227206</v>
      </c>
      <c r="AC30" s="2" t="n">
        <f aca="false">0</f>
        <v>0</v>
      </c>
      <c r="AD30" s="2" t="n">
        <v>0</v>
      </c>
      <c r="AF30" s="2" t="n">
        <f aca="false">AG30+AH30-AI30</f>
        <v>7254.95833845578</v>
      </c>
      <c r="AG30" s="2" t="n">
        <f aca="false">U30+V30</f>
        <v>8561.06482050643</v>
      </c>
      <c r="AH30" s="2" t="n">
        <f aca="false">2*W30+X30</f>
        <v>0</v>
      </c>
      <c r="AI30" s="2" t="n">
        <f aca="false">Y30+Z30+2*AA30+AB30+2*AC30+AD30</f>
        <v>1306.10648205064</v>
      </c>
      <c r="AK30" s="2" t="n">
        <f aca="false">AF30-O30</f>
        <v>1202.01278001108</v>
      </c>
    </row>
    <row r="31" customFormat="false" ht="14.65" hidden="false" customHeight="false" outlineLevel="0" collapsed="false">
      <c r="A31" s="0" t="n">
        <v>100</v>
      </c>
      <c r="B31" s="1" t="n">
        <v>20.3069761434947</v>
      </c>
      <c r="C31" s="1" t="n">
        <v>10</v>
      </c>
      <c r="D31" s="2" t="n">
        <f aca="false">beta*(1/(alpha*psi))*(1/alpha)*((-1/alpha*psi)*(EXP(alpha*(zeta+psi*Size))-EXP(alpha*zeta))+(Size*EXP(alpha*zeta)))</f>
        <v>8561.10800625549</v>
      </c>
      <c r="E31" s="2" t="n">
        <f aca="false">beta*(-1/(alpha*psi)^2)*(1/alpha)*(EXP(alpha*(Tau+zeta))-EXP(alpha*(Tau+zeta+psi*Size)))</f>
        <v>349.921861961924</v>
      </c>
      <c r="F31" s="2" t="n">
        <f aca="false">Tau*beta*EXP(alpha*(Tau+zeta))*(0-(1/(alpha*psi)^2))*(-1+EXP(alpha*psi*Size))</f>
        <v>349.921861961924</v>
      </c>
      <c r="G31" s="2" t="n">
        <f aca="false">2*Tau*beta*EXP(alpha*(2*Tau+zeta))*(1/(alpha*psi)^2)*(EXP(alpha*psi*Size))</f>
        <v>0.0116891111617331</v>
      </c>
      <c r="H31" s="2" t="n">
        <f aca="false">gamma*Size</f>
        <v>500</v>
      </c>
      <c r="I31" s="2" t="n">
        <f aca="false">phi*beta*EXP(alpha*(zeta))*(0-1/(alpha*psi)^2)*((2/(alpha*psi))*(EXP(alpha*psi*Size)-1)-(Size*(EXP(alpha*psi*Size)+1)))</f>
        <v>761.035362499444</v>
      </c>
      <c r="J31" s="2" t="n">
        <f aca="false">(phi*beta*EXP(alpha*(Tau+zeta)))*(0-1/(alpha*psi)^2)*((1/(alpha*psi))*(1-EXP(alpha*psi*Size))+Size*EXP(alpha*psi*Size))</f>
        <v>34.9762990469616</v>
      </c>
      <c r="K31" s="2" t="n">
        <f aca="false">(phi*beta*EXP(alpha*(2*Tau+zeta)))*(1/(alpha*psi)^2)*(Size*EXP(alpha*psi*Size))</f>
        <v>0.00584455558086657</v>
      </c>
      <c r="L31" s="2" t="n">
        <f aca="false">thetax*beta*(-1/(alpha*psi)^2)*EXP(alpha*(Tau+zeta))*(EXP(alpha*psi*Size)-1)</f>
        <v>710.585490294803</v>
      </c>
      <c r="M31" s="2" t="n">
        <f aca="false">thetax*beta*(1/(alpha*psi)^2)*EXP(alpha*(2*Tau+zeta+psi*Size))</f>
        <v>0.0118685250749986</v>
      </c>
      <c r="O31" s="2" t="n">
        <f aca="false">P31+Q31-R31</f>
        <v>6858.70862698879</v>
      </c>
      <c r="P31" s="2" t="n">
        <f aca="false">D31+E31</f>
        <v>8911.02986821741</v>
      </c>
      <c r="Q31" s="2" t="n">
        <f aca="false">2*F31+G31</f>
        <v>699.855413035011</v>
      </c>
      <c r="R31" s="2" t="n">
        <f aca="false">H31+I31+2*J31+K31+2*L31+M31</f>
        <v>2752.17665426363</v>
      </c>
      <c r="S31" s="1" t="n">
        <f aca="false">C31</f>
        <v>10</v>
      </c>
      <c r="U31" s="2" t="n">
        <f aca="false">beta*(1/(alpha*psi))*(1/alpha)*((-1/alpha*psi)*(EXP(alpha*(zeta+psi*Size))-EXP(alpha*zeta))+(Size*EXP(alpha*zeta)))</f>
        <v>8561.10800625549</v>
      </c>
      <c r="V31" s="2" t="n">
        <f aca="false">beta*(-1/(alpha*psi)^2)*(1/alpha)*(EXP(alpha*(zeta))-EXP(alpha*(zeta+psi*Size)))</f>
        <v>951.186238751654</v>
      </c>
      <c r="W31" s="2" t="n">
        <f aca="false">0</f>
        <v>0</v>
      </c>
      <c r="X31" s="2" t="n">
        <v>0</v>
      </c>
      <c r="Y31" s="2" t="n">
        <f aca="false">gamma*Size</f>
        <v>500</v>
      </c>
      <c r="Z31" s="2" t="n">
        <f aca="false">phi*beta*EXP(alpha*(zeta))*(0-1/(alpha*psi)^2)*((2/(alpha*psi))*(EXP(alpha*psi*Size)-1)-(Size*(EXP(alpha*psi*Size)+1)))</f>
        <v>761.035362499444</v>
      </c>
      <c r="AA31" s="2" t="n">
        <f aca="false">(phi*beta*EXP(alpha*(zeta)))*(0-1/(alpha*psi)^2)*((1/(alpha*psi))*(1-EXP(alpha*psi*Size))+Size*EXP(alpha*psi*Size))</f>
        <v>95.075438126105</v>
      </c>
      <c r="AB31" s="2" t="n">
        <f aca="false">(phi*beta*EXP(alpha*(zeta)))*(1/(alpha*psi)^2)*(Size*EXP(alpha*psi*Size))</f>
        <v>0.0431857490603413</v>
      </c>
      <c r="AC31" s="2" t="n">
        <f aca="false">0</f>
        <v>0</v>
      </c>
      <c r="AD31" s="2" t="n">
        <v>0</v>
      </c>
      <c r="AF31" s="2" t="n">
        <f aca="false">AG31+AH31-AI31</f>
        <v>8061.06482050643</v>
      </c>
      <c r="AG31" s="2" t="n">
        <f aca="false">U31+V31</f>
        <v>9512.29424500714</v>
      </c>
      <c r="AH31" s="2" t="n">
        <f aca="false">2*W31+X31</f>
        <v>0</v>
      </c>
      <c r="AI31" s="2" t="n">
        <f aca="false">Y31+Z31+2*AA31+AB31+2*AC31+AD31</f>
        <v>1451.22942450071</v>
      </c>
      <c r="AK31" s="2" t="n">
        <f aca="false">AF31-O31</f>
        <v>1202.35619351763</v>
      </c>
    </row>
    <row r="32" customFormat="false" ht="14.65" hidden="false" customHeight="false" outlineLevel="0" collapsed="false">
      <c r="A32" s="0" t="n">
        <v>1000</v>
      </c>
      <c r="B32" s="1" t="n">
        <v>20.3097102804451</v>
      </c>
      <c r="C32" s="1" t="n">
        <v>10</v>
      </c>
      <c r="D32" s="2" t="n">
        <f aca="false">beta*(1/(alpha*psi))*(1/alpha)*((-1/alpha*psi)*(EXP(alpha*(zeta+psi*Size))-EXP(alpha*zeta))+(Size*EXP(alpha*zeta)))</f>
        <v>94171.7130255707</v>
      </c>
      <c r="E32" s="2" t="n">
        <f aca="false">beta*(-1/(alpha*psi)^2)*(1/alpha)*(EXP(alpha*(Tau+zeta))-EXP(alpha*(Tau+zeta+psi*Size)))</f>
        <v>349.937749111155</v>
      </c>
      <c r="F32" s="2" t="n">
        <f aca="false">Tau*beta*EXP(alpha*(Tau+zeta))*(0-(1/(alpha*psi)^2))*(-1+EXP(alpha*psi*Size))</f>
        <v>349.937749111155</v>
      </c>
      <c r="G32" s="2" t="n">
        <f aca="false">2*Tau*beta*EXP(alpha*(2*Tau+zeta))*(1/(alpha*psi)^2)*(EXP(alpha*psi*Size))</f>
        <v>9.57807244224698E-042</v>
      </c>
      <c r="H32" s="2" t="n">
        <f aca="false">gamma*Size</f>
        <v>5000</v>
      </c>
      <c r="I32" s="2" t="n">
        <f aca="false">phi*beta*EXP(alpha*(zeta))*(0-1/(alpha*psi)^2)*((2/(alpha*psi))*(EXP(alpha*psi*Size)-1)-(Size*(EXP(alpha*psi*Size)+1)))</f>
        <v>9322.048360107</v>
      </c>
      <c r="J32" s="2" t="n">
        <f aca="false">(phi*beta*EXP(alpha*(Tau+zeta)))*(0-1/(alpha*psi)^2)*((1/(alpha*psi))*(1-EXP(alpha*psi*Size))+Size*EXP(alpha*psi*Size))</f>
        <v>34.9937749111155</v>
      </c>
      <c r="K32" s="2" t="n">
        <f aca="false">(phi*beta*EXP(alpha*(2*Tau+zeta)))*(1/(alpha*psi)^2)*(Size*EXP(alpha*psi*Size))</f>
        <v>4.78903622112349E-041</v>
      </c>
      <c r="L32" s="2" t="n">
        <f aca="false">thetax*beta*(-1/(alpha*psi)^2)*EXP(alpha*(Tau+zeta))*(EXP(alpha*psi*Size)-1)</f>
        <v>710.713430063865</v>
      </c>
      <c r="M32" s="2" t="n">
        <f aca="false">thetax*beta*(1/(alpha*psi)^2)*EXP(alpha*(2*Tau+zeta+psi*Size))</f>
        <v>9.72639381735746E-042</v>
      </c>
      <c r="O32" s="2" t="n">
        <f aca="false">P32+Q32-R32</f>
        <v>79408.0635028472</v>
      </c>
      <c r="P32" s="2" t="n">
        <f aca="false">D32+E32</f>
        <v>94521.6507746818</v>
      </c>
      <c r="Q32" s="2" t="n">
        <f aca="false">2*F32+G32</f>
        <v>699.875498222311</v>
      </c>
      <c r="R32" s="2" t="n">
        <f aca="false">H32+I32+2*J32+K32+2*L32+M32</f>
        <v>15813.462770057</v>
      </c>
      <c r="S32" s="1" t="n">
        <f aca="false">C32</f>
        <v>10</v>
      </c>
      <c r="U32" s="2" t="n">
        <f aca="false">beta*(1/(alpha*psi))*(1/alpha)*((-1/alpha*psi)*(EXP(alpha*(zeta+psi*Size))-EXP(alpha*zeta))+(Size*EXP(alpha*zeta)))</f>
        <v>94171.7130255707</v>
      </c>
      <c r="V32" s="2" t="n">
        <f aca="false">beta*(-1/(alpha*psi)^2)*(1/alpha)*(EXP(alpha*(zeta))-EXP(alpha*(zeta+psi*Size)))</f>
        <v>951.229424500714</v>
      </c>
      <c r="W32" s="2" t="n">
        <f aca="false">0</f>
        <v>0</v>
      </c>
      <c r="X32" s="2" t="n">
        <v>0</v>
      </c>
      <c r="Y32" s="2" t="n">
        <f aca="false">gamma*Size</f>
        <v>5000</v>
      </c>
      <c r="Z32" s="2" t="n">
        <f aca="false">phi*beta*EXP(alpha*(zeta))*(0-1/(alpha*psi)^2)*((2/(alpha*psi))*(EXP(alpha*psi*Size)-1)-(Size*(EXP(alpha*psi*Size)+1)))</f>
        <v>9322.048360107</v>
      </c>
      <c r="AA32" s="2" t="n">
        <f aca="false">(phi*beta*EXP(alpha*(zeta)))*(0-1/(alpha*psi)^2)*((1/(alpha*psi))*(1-EXP(alpha*psi*Size))+Size*EXP(alpha*psi*Size))</f>
        <v>95.1229424500714</v>
      </c>
      <c r="AB32" s="2" t="n">
        <f aca="false">(phi*beta*EXP(alpha*(zeta)))*(1/(alpha*psi)^2)*(Size*EXP(alpha*psi*Size))</f>
        <v>3.53864572976923E-040</v>
      </c>
      <c r="AC32" s="2" t="n">
        <f aca="false">0</f>
        <v>0</v>
      </c>
      <c r="AD32" s="2" t="n">
        <v>0</v>
      </c>
      <c r="AF32" s="2" t="n">
        <f aca="false">AG32+AH32-AI32</f>
        <v>80610.6482050643</v>
      </c>
      <c r="AG32" s="2" t="n">
        <f aca="false">U32+V32</f>
        <v>95122.9424500714</v>
      </c>
      <c r="AH32" s="2" t="n">
        <f aca="false">2*W32+X32</f>
        <v>0</v>
      </c>
      <c r="AI32" s="2" t="n">
        <f aca="false">Y32+Z32+2*AA32+AB32+2*AC32+AD32</f>
        <v>14512.2942450071</v>
      </c>
      <c r="AK32" s="2" t="n">
        <f aca="false">AF32-O32</f>
        <v>1202.58470221706</v>
      </c>
    </row>
    <row r="33" customFormat="false" ht="14.65" hidden="false" customHeight="false" outlineLevel="0" collapsed="false">
      <c r="A33" s="0" t="n">
        <v>10000</v>
      </c>
      <c r="B33" s="1" t="n">
        <v>20.3096909707408</v>
      </c>
      <c r="C33" s="1" t="n">
        <v>10</v>
      </c>
      <c r="D33" s="2" t="n">
        <f aca="false">beta*(1/(alpha*psi))*(1/alpha)*((-1/alpha*psi)*(EXP(alpha*(zeta+psi*Size))-EXP(alpha*zeta))+(Size*EXP(alpha*zeta)))</f>
        <v>950278.195076213</v>
      </c>
      <c r="E33" s="2" t="n">
        <f aca="false">beta*(-1/(alpha*psi)^2)*(1/alpha)*(EXP(alpha*(Tau+zeta))-EXP(alpha*(Tau+zeta+psi*Size)))</f>
        <v>349.937749111155</v>
      </c>
      <c r="F33" s="2" t="n">
        <f aca="false">Tau*beta*EXP(alpha*(Tau+zeta))*(0-(1/(alpha*psi)^2))*(-1+EXP(alpha*psi*Size))</f>
        <v>349.937749111155</v>
      </c>
      <c r="G33" s="2" t="n">
        <f aca="false">2*Tau*beta*EXP(alpha*(2*Tau+zeta))*(1/(alpha*psi)^2)*(EXP(alpha*psi*Size))</f>
        <v>0</v>
      </c>
      <c r="H33" s="2" t="n">
        <f aca="false">gamma*Size</f>
        <v>50000</v>
      </c>
      <c r="I33" s="2" t="n">
        <f aca="false">phi*beta*EXP(alpha*(zeta))*(0-1/(alpha*psi)^2)*((2/(alpha*psi))*(EXP(alpha*psi*Size)-1)-(Size*(EXP(alpha*psi*Size)+1)))</f>
        <v>94932.6965651713</v>
      </c>
      <c r="J33" s="2" t="n">
        <f aca="false">(phi*beta*EXP(alpha*(Tau+zeta)))*(0-1/(alpha*psi)^2)*((1/(alpha*psi))*(1-EXP(alpha*psi*Size))+Size*EXP(alpha*psi*Size))</f>
        <v>34.9937749111155</v>
      </c>
      <c r="K33" s="2" t="n">
        <f aca="false">(phi*beta*EXP(alpha*(2*Tau+zeta)))*(1/(alpha*psi)^2)*(Size*EXP(alpha*psi*Size))</f>
        <v>0</v>
      </c>
      <c r="L33" s="2" t="n">
        <f aca="false">thetax*beta*(-1/(alpha*psi)^2)*EXP(alpha*(Tau+zeta))*(EXP(alpha*psi*Size)-1)</f>
        <v>710.712754344419</v>
      </c>
      <c r="M33" s="2" t="n">
        <f aca="false">thetax*beta*(1/(alpha*psi)^2)*EXP(alpha*(2*Tau+zeta+psi*Size))</f>
        <v>0</v>
      </c>
      <c r="O33" s="2" t="n">
        <f aca="false">P33+Q33-R33</f>
        <v>804903.898699865</v>
      </c>
      <c r="P33" s="2" t="n">
        <f aca="false">D33+E33</f>
        <v>950628.132825325</v>
      </c>
      <c r="Q33" s="2" t="n">
        <f aca="false">2*F33+G33</f>
        <v>699.875498222311</v>
      </c>
      <c r="R33" s="2" t="n">
        <f aca="false">H33+I33+2*J33+K33+2*L33+M33</f>
        <v>146424.109623682</v>
      </c>
      <c r="S33" s="1" t="n">
        <f aca="false">C33</f>
        <v>10</v>
      </c>
      <c r="U33" s="2" t="n">
        <f aca="false">beta*(1/(alpha*psi))*(1/alpha)*((-1/alpha*psi)*(EXP(alpha*(zeta+psi*Size))-EXP(alpha*zeta))+(Size*EXP(alpha*zeta)))</f>
        <v>950278.195076213</v>
      </c>
      <c r="V33" s="2" t="n">
        <f aca="false">beta*(-1/(alpha*psi)^2)*(1/alpha)*(EXP(alpha*(zeta))-EXP(alpha*(zeta+psi*Size)))</f>
        <v>951.229424500714</v>
      </c>
      <c r="W33" s="2" t="n">
        <f aca="false">0</f>
        <v>0</v>
      </c>
      <c r="X33" s="2" t="n">
        <v>0</v>
      </c>
      <c r="Y33" s="2" t="n">
        <f aca="false">gamma*Size</f>
        <v>50000</v>
      </c>
      <c r="Z33" s="2" t="n">
        <f aca="false">phi*beta*EXP(alpha*(zeta))*(0-1/(alpha*psi)^2)*((2/(alpha*psi))*(EXP(alpha*psi*Size)-1)-(Size*(EXP(alpha*psi*Size)+1)))</f>
        <v>94932.6965651713</v>
      </c>
      <c r="AA33" s="2" t="n">
        <f aca="false">(phi*beta*EXP(alpha*(zeta)))*(0-1/(alpha*psi)^2)*((1/(alpha*psi))*(1-EXP(alpha*psi*Size))+Size*EXP(alpha*psi*Size))</f>
        <v>95.1229424500714</v>
      </c>
      <c r="AB33" s="2" t="n">
        <f aca="false">(phi*beta*EXP(alpha*(zeta)))*(1/(alpha*psi)^2)*(Size*EXP(alpha*psi*Size))</f>
        <v>0</v>
      </c>
      <c r="AC33" s="2" t="n">
        <f aca="false">0</f>
        <v>0</v>
      </c>
      <c r="AD33" s="2" t="n">
        <v>0</v>
      </c>
      <c r="AF33" s="2" t="n">
        <f aca="false">AG33+AH33-AI33</f>
        <v>806106.482050643</v>
      </c>
      <c r="AG33" s="2" t="n">
        <f aca="false">U33+V33</f>
        <v>951229.424500714</v>
      </c>
      <c r="AH33" s="2" t="n">
        <f aca="false">2*W33+X33</f>
        <v>0</v>
      </c>
      <c r="AI33" s="2" t="n">
        <f aca="false">Y33+Z33+2*AA33+AB33+2*AC33+AD33</f>
        <v>145122.942450071</v>
      </c>
      <c r="AK33" s="2" t="n">
        <f aca="false">AF33-O33</f>
        <v>1202.58335077809</v>
      </c>
    </row>
    <row r="34" customFormat="false" ht="14.65" hidden="false" customHeight="false" outlineLevel="0" collapsed="false"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O34" s="2"/>
      <c r="P34" s="2"/>
      <c r="Q34" s="2"/>
      <c r="R34" s="2"/>
      <c r="S34" s="1"/>
      <c r="U34" s="2"/>
      <c r="V34" s="2"/>
      <c r="W34" s="2"/>
      <c r="X34" s="2"/>
      <c r="Y34" s="2"/>
      <c r="Z34" s="2"/>
      <c r="AA34" s="2"/>
      <c r="AB34" s="2"/>
      <c r="AC34" s="2"/>
      <c r="AD34" s="2"/>
      <c r="AF34" s="2"/>
      <c r="AG34" s="2"/>
      <c r="AH34" s="2"/>
      <c r="AI34" s="2"/>
      <c r="AK34" s="2"/>
    </row>
    <row r="35" customFormat="false" ht="14.65" hidden="false" customHeight="false" outlineLevel="0" collapsed="false"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O35" s="2"/>
      <c r="P35" s="2"/>
      <c r="Q35" s="2"/>
      <c r="R35" s="2"/>
      <c r="S35" s="1"/>
      <c r="U35" s="2"/>
      <c r="V35" s="2"/>
      <c r="W35" s="2"/>
      <c r="X35" s="2"/>
      <c r="Y35" s="2"/>
      <c r="Z35" s="2"/>
      <c r="AA35" s="2"/>
      <c r="AB35" s="2"/>
      <c r="AC35" s="2"/>
      <c r="AD35" s="2"/>
      <c r="AF35" s="2"/>
      <c r="AG35" s="2"/>
      <c r="AH35" s="2"/>
      <c r="AI35" s="2"/>
      <c r="AK35" s="2"/>
    </row>
    <row r="36" customFormat="false" ht="14.65" hidden="false" customHeight="false" outlineLevel="0" collapsed="false"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O36" s="2"/>
      <c r="P36" s="2"/>
      <c r="Q36" s="2"/>
      <c r="R36" s="2"/>
      <c r="S36" s="1"/>
      <c r="U36" s="2"/>
      <c r="V36" s="2"/>
      <c r="W36" s="2"/>
      <c r="X36" s="2"/>
      <c r="Y36" s="2"/>
      <c r="Z36" s="2"/>
      <c r="AA36" s="2"/>
      <c r="AB36" s="2"/>
      <c r="AC36" s="2"/>
      <c r="AD36" s="2"/>
      <c r="AF36" s="2"/>
      <c r="AG36" s="2"/>
      <c r="AH36" s="2"/>
      <c r="AI36" s="2"/>
      <c r="AK36" s="2"/>
    </row>
    <row r="37" customFormat="false" ht="14.65" hidden="false" customHeight="false" outlineLevel="0" collapsed="false"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O37" s="2"/>
      <c r="P37" s="2"/>
      <c r="Q37" s="2"/>
      <c r="R37" s="2"/>
      <c r="S37" s="1"/>
      <c r="U37" s="2"/>
      <c r="V37" s="2"/>
      <c r="W37" s="2"/>
      <c r="X37" s="2"/>
      <c r="Y37" s="2"/>
      <c r="Z37" s="2"/>
      <c r="AA37" s="2"/>
      <c r="AB37" s="2"/>
      <c r="AC37" s="2"/>
      <c r="AD37" s="2"/>
      <c r="AF37" s="2"/>
      <c r="AG37" s="2"/>
      <c r="AH37" s="2"/>
      <c r="AI37" s="2"/>
      <c r="AK37" s="2"/>
    </row>
    <row r="38" customFormat="false" ht="14.65" hidden="false" customHeight="false" outlineLevel="0" collapsed="false"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O38" s="2"/>
      <c r="P38" s="2"/>
      <c r="Q38" s="2"/>
      <c r="R38" s="2"/>
      <c r="S38" s="1"/>
      <c r="U38" s="2"/>
      <c r="V38" s="2"/>
      <c r="W38" s="2"/>
      <c r="X38" s="2"/>
      <c r="Y38" s="2"/>
      <c r="Z38" s="2"/>
      <c r="AA38" s="2"/>
      <c r="AB38" s="2"/>
      <c r="AC38" s="2"/>
      <c r="AD38" s="2"/>
      <c r="AF38" s="2"/>
      <c r="AG38" s="2"/>
      <c r="AH38" s="2"/>
      <c r="AI38" s="2"/>
      <c r="AK38" s="2"/>
    </row>
    <row r="39" customFormat="false" ht="14.65" hidden="false" customHeight="false" outlineLevel="0" collapsed="false"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O39" s="2"/>
      <c r="P39" s="2"/>
      <c r="Q39" s="2"/>
      <c r="R39" s="2"/>
      <c r="S39" s="1"/>
      <c r="U39" s="2"/>
      <c r="V39" s="2"/>
      <c r="W39" s="2"/>
      <c r="X39" s="2"/>
      <c r="Y39" s="2"/>
      <c r="Z39" s="2"/>
      <c r="AA39" s="2"/>
      <c r="AB39" s="2"/>
      <c r="AC39" s="2"/>
      <c r="AD39" s="2"/>
      <c r="AF39" s="2"/>
      <c r="AG39" s="2"/>
      <c r="AH39" s="2"/>
      <c r="AI39" s="2"/>
      <c r="AK39" s="2"/>
    </row>
    <row r="40" customFormat="false" ht="14.65" hidden="false" customHeight="false" outlineLevel="0" collapsed="false"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O40" s="2"/>
      <c r="P40" s="2"/>
      <c r="Q40" s="2"/>
      <c r="R40" s="2"/>
      <c r="S40" s="1"/>
      <c r="U40" s="2"/>
      <c r="V40" s="2"/>
      <c r="W40" s="2"/>
      <c r="X40" s="2"/>
      <c r="Y40" s="2"/>
      <c r="Z40" s="2"/>
      <c r="AA40" s="2"/>
      <c r="AB40" s="2"/>
      <c r="AC40" s="2"/>
      <c r="AD40" s="2"/>
      <c r="AF40" s="2"/>
      <c r="AG40" s="2"/>
      <c r="AH40" s="2"/>
      <c r="AI40" s="2"/>
      <c r="AK40" s="2"/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customHeight="false" zeroHeight="false" outlineLevelRow="0" outlineLevelCol="0"/>
  <sheetData>
    <row r="2" customFormat="false" ht="15.65" hidden="false" customHeight="false" outlineLevel="0" collapsed="false"/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customHeight="false" zeroHeight="false" outlineLevelRow="0" outlineLevelCol="0"/>
  <sheetData>
    <row r="2" customFormat="false" ht="15.65" hidden="false" customHeight="false" outlineLevel="0" collapsed="false"/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customHeight="false" zeroHeight="false" outlineLevelRow="0" outlineLevelCol="0"/>
  <sheetData>
    <row r="2" customFormat="false" ht="15.65" hidden="false" customHeight="false" outlineLevel="0" collapsed="false"/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customHeight="false" zeroHeight="false" outlineLevelRow="0" outlineLevelCol="0"/>
  <sheetData>
    <row r="2" customFormat="false" ht="15.65" hidden="false" customHeight="false" outlineLevel="0" collapsed="false"/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customHeight="false" zeroHeight="false" outlineLevelRow="0" outlineLevelCol="0"/>
  <sheetData>
    <row r="2" customFormat="false" ht="15.65" hidden="false" customHeight="false" outlineLevel="0" collapsed="false"/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customHeight="false" zeroHeight="false" outlineLevelRow="0" outlineLevelCol="0"/>
  <sheetData>
    <row r="2" customFormat="false" ht="15.65" hidden="false" customHeight="false" outlineLevel="0" collapsed="false"/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customHeight="false" zeroHeight="false" outlineLevelRow="0" outlineLevelCol="0"/>
  <sheetData>
    <row r="2" customFormat="false" ht="15.65" hidden="false" customHeight="false" outlineLevel="0" collapsed="false"/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customHeight="false" zeroHeight="false" outlineLevelRow="0" outlineLevelCol="0"/>
  <sheetData>
    <row r="2" customFormat="false" ht="15.65" hidden="false" customHeight="false" outlineLevel="0" collapsed="false"/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