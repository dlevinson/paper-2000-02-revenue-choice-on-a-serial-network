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drawings/drawing16.xml" ContentType="application/vnd.openxmlformats-officedocument.drawing+xml"/>
  <Override PartName="/xl/drawings/drawing11.xml" ContentType="application/vnd.openxmlformats-officedocument.drawingml.chartshapes+xml"/>
  <Override PartName="/xl/drawings/drawing3.xml" ContentType="application/vnd.openxmlformats-officedocument.drawingml.chartshapes+xml"/>
  <Override PartName="/xl/drawings/drawing17.xml" ContentType="application/vnd.openxmlformats-officedocument.drawingml.chartshapes+xml"/>
  <Override PartName="/xl/drawings/drawing5.xml" ContentType="application/vnd.openxmlformats-officedocument.drawingml.chartshapes+xml"/>
  <Override PartName="/xl/drawings/drawing4.xml" ContentType="application/vnd.openxmlformats-officedocument.drawing+xml"/>
  <Override PartName="/xl/drawings/drawing7.xml" ContentType="application/vnd.openxmlformats-officedocument.drawingml.chartshapes+xml"/>
  <Override PartName="/xl/drawings/drawing9.xml" ContentType="application/vnd.openxmlformats-officedocument.drawingml.chartshapes+xml"/>
  <Override PartName="/xl/drawings/drawing31.xml" ContentType="application/vnd.openxmlformats-officedocument.drawing+xml"/>
  <Override PartName="/xl/drawings/drawing13.xml" ContentType="application/vnd.openxmlformats-officedocument.drawingml.chartshapes+xml"/>
  <Override PartName="/xl/drawings/drawing20.xml" ContentType="application/vnd.openxmlformats-officedocument.drawingml.chartshapes+xml"/>
  <Override PartName="/xl/drawings/drawing15.xml" ContentType="application/vnd.openxmlformats-officedocument.drawingml.chartshapes+xml"/>
  <Override PartName="/xl/drawings/drawing38.xml" ContentType="application/vnd.openxmlformats-officedocument.drawingml.chartshapes+xml"/>
  <Override PartName="/xl/drawings/drawing22.xml" ContentType="application/vnd.openxmlformats-officedocument.drawingml.chartshapes+xml"/>
  <Override PartName="/xl/drawings/drawing19.xml" ContentType="application/vnd.openxmlformats-officedocument.drawingml.chartshapes+xml"/>
  <Override PartName="/xl/drawings/drawing24.xml" ContentType="application/vnd.openxmlformats-officedocument.drawing+xml"/>
  <Override PartName="/xl/drawings/drawing2.xml" ContentType="application/vnd.openxmlformats-officedocument.drawing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drawings/drawing21.xml" ContentType="application/vnd.openxmlformats-officedocument.drawing+xml"/>
  <Override PartName="/xl/drawings/drawing28.xml" ContentType="application/vnd.openxmlformats-officedocument.drawingml.chartshapes+xml"/>
  <Override PartName="/xl/drawings/drawing32.xml" ContentType="application/vnd.openxmlformats-officedocument.drawingml.chartshapes+xml"/>
  <Override PartName="/xl/drawings/drawing18.xml" ContentType="application/vnd.openxmlformats-officedocument.drawing+xml"/>
  <Override PartName="/xl/drawings/drawing30.xml" ContentType="application/vnd.openxmlformats-officedocument.drawingml.chartshapes+xml"/>
  <Override PartName="/xl/drawings/drawing1.xml" ContentType="application/vnd.openxmlformats-officedocument.drawing+xml"/>
  <Override PartName="/xl/drawings/drawing34.xml" ContentType="application/vnd.openxmlformats-officedocument.drawing+xml"/>
  <Override PartName="/xl/drawings/drawing29.xml" ContentType="application/vnd.openxmlformats-officedocument.drawing+xml"/>
  <Override PartName="/xl/drawings/drawing6.xml" ContentType="application/vnd.openxmlformats-officedocument.drawing+xml"/>
  <Override PartName="/xl/drawings/drawing23.xml" ContentType="application/vnd.openxmlformats-officedocument.drawingml.chartshapes+xml"/>
  <Override PartName="/xl/drawings/drawing39.xml" ContentType="application/vnd.openxmlformats-officedocument.drawingml.chartshapes+xml"/>
  <Override PartName="/xl/drawings/drawing35.xml" ContentType="application/vnd.openxmlformats-officedocument.drawing+xml"/>
  <Override PartName="/xl/drawings/drawing8.xml" ContentType="application/vnd.openxmlformats-officedocument.drawing+xml"/>
  <Override PartName="/xl/drawings/drawing14.xml" ContentType="application/vnd.openxmlformats-officedocument.drawing+xml"/>
  <Override PartName="/xl/drawings/drawing10.xml" ContentType="application/vnd.openxmlformats-officedocument.drawing+xml"/>
  <Override PartName="/xl/drawings/drawing33.xml" ContentType="application/vnd.openxmlformats-officedocument.drawing+xml"/>
  <Override PartName="/xl/drawings/drawing12.xml" ContentType="application/vnd.openxmlformats-officedocument.drawing+xml"/>
  <Override PartName="/xl/drawings/drawing37.xml" ContentType="application/vnd.openxmlformats-officedocument.drawingml.chartshapes+xml"/>
  <Override PartName="/xl/drawings/drawing36.xml" ContentType="application/vnd.openxmlformats-officedocument.drawingml.chartshapes+xml"/>
  <Override PartName="/xl/drawings/drawing25.xml" ContentType="application/vnd.openxmlformats-officedocument.drawingml.chartshapes+xml"/>
  <Override PartName="/xl/charts/style1.xml" ContentType="application/vnd.ms-office.chartstyle+xml"/>
  <Override PartName="/xl/charts/colors19.xml" ContentType="application/vnd.ms-office.chartcolorstyle+xml"/>
  <Override PartName="/xl/charts/style3.xml" ContentType="application/vnd.ms-office.chartstyle+xml"/>
  <Override PartName="/xl/charts/colors9.xml" ContentType="application/vnd.ms-office.chartcolorstyle+xml"/>
  <Override PartName="/xl/charts/style16.xml" ContentType="application/vnd.ms-office.chartstyle+xml"/>
  <Override PartName="/xl/charts/style5.xml" ContentType="application/vnd.ms-office.chartstyle+xml"/>
  <Override PartName="/xl/charts/colors16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chart17.xml" ContentType="application/vnd.openxmlformats-officedocument.drawingml.chart+xml"/>
  <Override PartName="/xl/charts/style7.xml" ContentType="application/vnd.ms-office.chartstyle+xml"/>
  <Override PartName="/xl/charts/colors18.xml" ContentType="application/vnd.ms-office.chartcolorstyle+xml"/>
  <Override PartName="/xl/charts/chart6.xml" ContentType="application/vnd.openxmlformats-officedocument.drawingml.chart+xml"/>
  <Override PartName="/xl/charts/chart18.xml" ContentType="application/vnd.openxmlformats-officedocument.drawingml.chart+xml"/>
  <Override PartName="/xl/charts/style8.xml" ContentType="application/vnd.ms-office.chartstyle+xml"/>
  <Override PartName="/xl/charts/style20.xml" ContentType="application/vnd.ms-office.chartstyle+xml"/>
  <Override PartName="/xl/charts/style4.xml" ContentType="application/vnd.ms-office.chartstyle+xml"/>
  <Override PartName="/xl/charts/chart9.xml" ContentType="application/vnd.openxmlformats-officedocument.drawingml.chart+xml"/>
  <Override PartName="/xl/charts/style9.xml" ContentType="application/vnd.ms-office.chartstyle+xml"/>
  <Override PartName="/xl/charts/style2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chart12.xml" ContentType="application/vnd.openxmlformats-officedocument.drawingml.chart+xml"/>
  <Override PartName="/xl/charts/style12.xml" ContentType="application/vnd.ms-office.chartstyle+xml"/>
  <Override PartName="/xl/charts/chart25.xml" ContentType="application/vnd.openxmlformats-officedocument.drawingml.chart+xml"/>
  <Override PartName="/xl/charts/chart23.xml" ContentType="application/vnd.openxmlformats-officedocument.drawingml.chart+xml"/>
  <Override PartName="/xl/charts/colors13.xml" ContentType="application/vnd.ms-office.chartcolorstyle+xml"/>
  <Override PartName="/xl/charts/colors4.xml" ContentType="application/vnd.ms-office.chartcolorstyle+xml"/>
  <Override PartName="/xl/charts/colors2.xml" ContentType="application/vnd.ms-office.chartcolorstyle+xml"/>
  <Override PartName="/xl/charts/style15.xml" ContentType="application/vnd.ms-office.chartstyle+xml"/>
  <Override PartName="/xl/charts/colors20.xml" ContentType="application/vnd.ms-office.chartcolor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colors8.xml" ContentType="application/vnd.ms-office.chartcolorstyle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style27.xml" ContentType="application/vnd.ms-office.chartstyle+xml"/>
  <Override PartName="/xl/charts/style19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22.xml" ContentType="application/vnd.openxmlformats-officedocument.drawingml.chart+xml"/>
  <Override PartName="/xl/charts/colors21.xml" ContentType="application/vnd.ms-office.chartcolorstyle+xml"/>
  <Override PartName="/xl/charts/chart7.xml" ContentType="application/vnd.openxmlformats-officedocument.drawingml.chart+xml"/>
  <Override PartName="/xl/charts/colors22.xml" ContentType="application/vnd.ms-office.chartcolorstyle+xml"/>
  <Override PartName="/xl/charts/chart13.xml" ContentType="application/vnd.openxmlformats-officedocument.drawingml.chart+xml"/>
  <Override PartName="/xl/charts/style2.xml" ContentType="application/vnd.ms-office.chartstyle+xml"/>
  <Override PartName="/xl/charts/chart21.xml" ContentType="application/vnd.openxmlformats-officedocument.drawingml.chart+xml"/>
  <Override PartName="/xl/charts/style26.xml" ContentType="application/vnd.ms-office.chartstyle+xml"/>
  <Override PartName="/xl/charts/colors11.xml" ContentType="application/vnd.ms-office.chartcolorstyle+xml"/>
  <Override PartName="/xl/charts/colors26.xml" ContentType="application/vnd.ms-office.chartcolorstyle+xml"/>
  <Override PartName="/xl/charts/style23.xml" ContentType="application/vnd.ms-office.chart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24.xml" ContentType="application/vnd.ms-office.chartcolorstyle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8.xml" ContentType="application/vnd.ms-office.chartcolorstyle+xml"/>
  <Override PartName="/xl/charts/style25.xml" ContentType="application/vnd.ms-office.chartstyle+xml"/>
  <Override PartName="/xl/charts/colors7.xml" ContentType="application/vnd.ms-office.chartcolorstyle+xml"/>
  <Override PartName="/xl/charts/colors25.xml" ContentType="application/vnd.ms-office.chartcolorstyle+xml"/>
  <Override PartName="/xl/charts/style17.xml" ContentType="application/vnd.ms-office.chartstyle+xml"/>
  <Override PartName="/xl/charts/style22.xml" ContentType="application/vnd.ms-office.chartstyle+xml"/>
  <Override PartName="/xl/charts/chart26.xml" ContentType="application/vnd.openxmlformats-officedocument.drawingml.chart+xml"/>
  <Override PartName="/xl/charts/colors17.xml" ContentType="application/vnd.ms-office.chartcolorstyle+xml"/>
  <Override PartName="/xl/charts/colors23.xml" ContentType="application/vnd.ms-office.chartcolorstyle+xml"/>
  <Override PartName="/xl/charts/chart27.xml" ContentType="application/vnd.openxmlformats-officedocument.drawingml.chart+xml"/>
  <Override PartName="/xl/charts/colors30.xml" ContentType="application/vnd.ms-office.chartcolor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24.xml" ContentType="application/vnd.openxmlformats-officedocument.drawingml.chart+xml"/>
  <Override PartName="/xl/charts/colors5.xml" ContentType="application/vnd.ms-office.chartcolorstyle+xml"/>
  <Override PartName="/xl/charts/chart11.xml" ContentType="application/vnd.openxmlformats-officedocument.drawingml.chart+xml"/>
  <Override PartName="/xl/charts/chart1.xml" ContentType="application/vnd.openxmlformats-officedocument.drawingml.chart+xml"/>
  <Override PartName="/xl/charts/style13.xml" ContentType="application/vnd.ms-office.chartstyle+xml"/>
  <Override PartName="/xl/charts/style14.xml" ContentType="application/vnd.ms-office.chartstyle+xml"/>
  <Override PartName="/xl/charts/style24.xml" ContentType="application/vnd.ms-office.chartstyle+xml"/>
  <Override PartName="/xl/charts/chart8.xml" ContentType="application/vnd.openxmlformats-officedocument.drawingml.chart+xml"/>
  <Override PartName="/xl/charts/chart28.xml" ContentType="application/vnd.openxmlformats-officedocument.drawingml.chart+xml"/>
  <Override PartName="/xl/charts/style29.xml" ContentType="application/vnd.ms-office.chartstyle+xml"/>
  <Override PartName="/xl/charts/style30.xml" ContentType="application/vnd.ms-office.chartstyle+xml"/>
  <Override PartName="/xl/charts/chart10.xml" ContentType="application/vnd.openxmlformats-officedocument.drawingml.chart+xml"/>
  <Override PartName="/xl/charts/chart30.xml" ContentType="application/vnd.openxmlformats-officedocument.drawingml.chart+xml"/>
  <Override PartName="/xl/charts/colors12.xml" ContentType="application/vnd.ms-office.chartcolorstyle+xml"/>
  <Override PartName="/xl/charts/colors10.xml" ContentType="application/vnd.ms-office.chartcolorstyle+xml"/>
  <Override PartName="/xl/charts/colors29.xml" ContentType="application/vnd.ms-office.chartcolorstyle+xml"/>
  <Override PartName="/xl/charts/style28.xml" ContentType="application/vnd.ms-office.chartstyle+xml"/>
  <Override PartName="/xl/charts/chart20.xml" ContentType="application/vnd.openxmlformats-officedocument.drawingml.chart+xml"/>
  <Override PartName="/xl/charts/colors2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aults" sheetId="1" state="visible" r:id="rId3"/>
    <sheet name="W-Tax(All-Tax)" sheetId="2" state="visible" r:id="rId4"/>
    <sheet name="W-Toll(All-Tax)" sheetId="3" state="visible" r:id="rId5"/>
    <sheet name="W-Toll(All-Tax) (theta)" sheetId="4" state="visible" r:id="rId6"/>
    <sheet name="W-Tax(All-Toll)-NONC" sheetId="5" state="visible" r:id="rId7"/>
    <sheet name="W-Tax(All-Toll)-Coop" sheetId="6" state="visible" r:id="rId8"/>
    <sheet name="W-Toll(All-Toll)-NONC" sheetId="7" state="visible" r:id="rId9"/>
    <sheet name="W-Theta-Compare-NONC" sheetId="8" state="visible" r:id="rId10"/>
    <sheet name="W-Toll(All-Toll)-NONC(theta)" sheetId="9" state="visible" r:id="rId11"/>
    <sheet name="W-Toll(All-Toll)-Coop" sheetId="10" state="visible" r:id="rId12"/>
    <sheet name="W-Compare-NONC" sheetId="11" state="visible" r:id="rId13"/>
    <sheet name="W-Compare-Coop" sheetId="12" state="visible" r:id="rId14"/>
    <sheet name="W-Compare-NONC (theta)" sheetId="13" state="visible" r:id="rId15"/>
    <sheet name="W-Compare-NONC (Ccv)" sheetId="14" state="visible" r:id="rId16"/>
    <sheet name="W-Compare-Coop (theta)" sheetId="15" state="visible" r:id="rId17"/>
    <sheet name="W-TollCompare" sheetId="16" state="visible" r:id="rId18"/>
    <sheet name="Toll-Model" sheetId="17" state="visible" r:id="rId19"/>
    <sheet name="Repeated" sheetId="18" state="visible" r:id="rId20"/>
    <sheet name="Repeated (2)" sheetId="19" state="visible" r:id="rId21"/>
    <sheet name="WG-OptSize-Coop" sheetId="20" state="visible" r:id="rId22"/>
    <sheet name="WG-OptSize-Nonc" sheetId="21" state="visible" r:id="rId23"/>
    <sheet name="Toll-Regress-Result" sheetId="22" state="visible" r:id="rId24"/>
    <sheet name="Toll-Regress-Data" sheetId="23" state="visible" r:id="rId25"/>
    <sheet name="WG-OptSize (3)" sheetId="24" state="visible" r:id="rId26"/>
    <sheet name="WG-OptSize-OLD" sheetId="25" state="visible" r:id="rId27"/>
    <sheet name="W-AlmostPerfect-Coop" sheetId="26" state="visible" r:id="rId28"/>
    <sheet name="Module1" sheetId="27" state="hidden" r:id="rId29"/>
    <sheet name="Module2" sheetId="28" state="hidden" r:id="rId30"/>
  </sheets>
  <definedNames>
    <definedName function="false" hidden="false" name="a" vbProcedure="false">#REF!</definedName>
    <definedName function="false" hidden="false" name="alpha" vbProcedure="false">Defaults!$B$9</definedName>
    <definedName function="false" hidden="false" name="b" vbProcedure="false">#REF!</definedName>
    <definedName function="false" hidden="false" name="BCCIJ" vbProcedure="false">#REF!</definedName>
    <definedName function="false" hidden="false" name="BCCJJ" vbProcedure="false">#REF!</definedName>
    <definedName function="false" hidden="false" name="BCk" vbProcedure="false">#REF!</definedName>
    <definedName function="false" hidden="false" name="BCPTII" vbProcedure="false">#REF!</definedName>
    <definedName function="false" hidden="false" name="BCPTIJ" vbProcedure="false">#REF!</definedName>
    <definedName function="false" hidden="false" name="BCPTJJ" vbProcedure="false">#REF!</definedName>
    <definedName function="false" hidden="false" name="BCS" vbProcedure="false">#REF!</definedName>
    <definedName function="false" hidden="false" name="Beta" vbProcedure="false">Defaults!$B$5</definedName>
    <definedName function="false" hidden="false" name="BRIJ" vbProcedure="false">#REF!</definedName>
    <definedName function="false" hidden="false" name="BRJJ" vbProcedure="false">#REF!</definedName>
    <definedName function="false" hidden="false" name="BUTII" vbProcedure="false">#REF!</definedName>
    <definedName function="false" hidden="false" name="BUTIJ" vbProcedure="false">#REF!</definedName>
    <definedName function="false" hidden="false" name="Capita" vbProcedure="false">'W-Tax(All-Tax)'!$AA$2:$AA$16384</definedName>
    <definedName function="false" hidden="false" name="Ccv" vbProcedure="false">'W-Toll(All-Tax) (theta)'!$B$2:$B$16384</definedName>
    <definedName function="false" hidden="false" name="Cost" vbProcedure="false">#REF!</definedName>
    <definedName function="false" hidden="false" name="Gamma" vbProcedure="false">Defaults!$B$7</definedName>
    <definedName function="false" hidden="false" name="ij" vbProcedure="false">#REF!</definedName>
    <definedName function="false" hidden="false" name="jj" vbProcedure="false">#REF!</definedName>
    <definedName function="false" hidden="false" name="kappa" vbProcedure="false">Defaults!$B$12</definedName>
    <definedName function="false" hidden="false" name="ln_Size" vbProcedure="false">'Toll-Model'!$D$2:$D$11</definedName>
    <definedName function="false" hidden="false" name="OldTau" vbProcedure="false">#REF!</definedName>
    <definedName function="false" hidden="false" name="Phi" vbProcedure="false">Defaults!$B$8</definedName>
    <definedName function="false" hidden="false" name="Profit" vbProcedure="false">#REF!</definedName>
    <definedName function="false" hidden="false" name="psi" vbProcedure="false">Defaults!$B$10</definedName>
    <definedName function="false" hidden="false" name="Revenue" vbProcedure="false">#REF!</definedName>
    <definedName function="false" hidden="false" name="Size" vbProcedure="false">'Toll-Model'!$C$2:$C$11</definedName>
    <definedName function="false" hidden="false" name="tau" vbProcedure="false">#REF!</definedName>
    <definedName function="false" hidden="false" name="TaxCost" vbProcedure="false">'WG-OptSize-Coop'!$AF$2:$AF$16384</definedName>
    <definedName function="false" hidden="false" name="Taxij" vbProcedure="false">'WG-OptSize-Coop'!$AD$2:$AD$16384</definedName>
    <definedName function="false" hidden="false" name="Taxjj" vbProcedure="false">'WG-OptSize-Coop'!$AE$2:$AE$16384</definedName>
    <definedName function="false" hidden="false" name="TaxUtility" vbProcedure="false">'WG-OptSize-Coop'!$AG$2:$AG$16384</definedName>
    <definedName function="false" hidden="false" name="TaxWelfare" vbProcedure="false">'WG-OptSize-Coop'!$AH$2:$AH$16384</definedName>
    <definedName function="false" hidden="false" name="Theta" vbProcedure="false">Defaults!$B$6</definedName>
    <definedName function="false" hidden="false" name="Theta_necessary" vbProcedure="false">'W-Toll(All-Tax) (theta)'!$C$2:$C$16384</definedName>
    <definedName function="false" hidden="false" name="Toll" vbProcedure="false">#REF!</definedName>
    <definedName function="false" hidden="false" name="Utility" vbProcedure="false">#REF!</definedName>
    <definedName function="false" hidden="false" name="U_Capita" vbProcedure="false">'W-Tax(All-Tax)'!$AB$2:$AB$16384</definedName>
    <definedName function="false" hidden="false" name="U_Size" vbProcedure="false">'W-AlmostPerfect-Coop'!$AD$2:$AD$16384</definedName>
    <definedName function="false" hidden="false" name="v" vbProcedure="false">Defaults!$B$2</definedName>
    <definedName function="false" hidden="false" name="w" vbProcedure="false">Repeated!$D$11</definedName>
    <definedName function="false" hidden="false" name="Welfare" vbProcedure="false">#REF!</definedName>
    <definedName function="false" hidden="false" name="W_Capita" vbProcedure="false">'W-Tax(All-Tax)'!$Z$2:$Z$16384</definedName>
    <definedName function="false" hidden="false" name="W_Size" vbProcedure="false">'W-AlmostPerfect-Coop'!$AA$2:$AA$16384</definedName>
    <definedName function="false" hidden="false" name="x" vbProcedure="false">Repeated!$C$10</definedName>
    <definedName function="false" hidden="false" name="y" vbProcedure="false">Repeated!$C$11</definedName>
    <definedName function="false" hidden="false" name="z" vbProcedure="false">Repeated!$D$10</definedName>
    <definedName function="false" hidden="false" name="zeta" vbProcedure="false">Defaults!$B$11</definedName>
    <definedName function="false" hidden="false" localSheetId="0" name="solver_adj" vbProcedure="false">#REF!</definedName>
    <definedName function="false" hidden="false" localSheetId="0" name="solver_lin" vbProcedure="false">0</definedName>
    <definedName function="false" hidden="false" localSheetId="0" name="solver_num" vbProcedure="false">0</definedName>
    <definedName function="false" hidden="false" localSheetId="0" name="solver_opt" vbProcedure="false">#REF!</definedName>
    <definedName function="false" hidden="false" localSheetId="0" name="solver_typ" vbProcedure="false">1</definedName>
    <definedName function="false" hidden="false" localSheetId="0" name="solver_val" vbProcedure="false">0</definedName>
    <definedName function="false" hidden="false" localSheetId="1" name="a" vbProcedure="false">'W-Tax(All-Tax)'!$D$2:$D$16384</definedName>
    <definedName function="false" hidden="false" localSheetId="1" name="b" vbProcedure="false">'W-Tax(All-Tax)'!$E$2:$E$16384</definedName>
    <definedName function="false" hidden="false" localSheetId="1" name="BCCIJ" vbProcedure="false">'W-Tax(All-Tax)'!$J$2:$J$16384</definedName>
    <definedName function="false" hidden="false" localSheetId="1" name="BCCJJ" vbProcedure="false">'W-Tax(All-Tax)'!$K$2:$K$16384</definedName>
    <definedName function="false" hidden="false" localSheetId="1" name="BCk" vbProcedure="false">'W-Tax(All-Tax)'!$L$2:$L$16384</definedName>
    <definedName function="false" hidden="false" localSheetId="1" name="BCPTII" vbProcedure="false">'W-Tax(All-Tax)'!$P$2:$P$16384</definedName>
    <definedName function="false" hidden="false" localSheetId="1" name="BCPTIJ" vbProcedure="false">'W-Tax(All-Tax)'!$O$2:$O$16384</definedName>
    <definedName function="false" hidden="false" localSheetId="1" name="BCPTJJ" vbProcedure="false">'W-Tax(All-Tax)'!$N$2:$N$16384</definedName>
    <definedName function="false" hidden="false" localSheetId="1" name="BCS" vbProcedure="false">'W-Tax(All-Tax)'!$M$2:$M$16384</definedName>
    <definedName function="false" hidden="false" localSheetId="1" name="BRIJ" vbProcedure="false">'W-Tax(All-Tax)'!$Q$2:$Q$16384</definedName>
    <definedName function="false" hidden="false" localSheetId="1" name="BRJJ" vbProcedure="false">'W-Tax(All-Tax)'!$R$2:$R$16384</definedName>
    <definedName function="false" hidden="false" localSheetId="1" name="BUTII" vbProcedure="false">'W-Tax(All-Tax)'!$I$2:$I$16384</definedName>
    <definedName function="false" hidden="false" localSheetId="1" name="BUTIJ" vbProcedure="false">'W-Tax(All-Tax)'!$H$2:$H$16384</definedName>
    <definedName function="false" hidden="false" localSheetId="1" name="Cost" vbProcedure="false">'W-Tax(All-Tax)'!$V$2:$V$16384</definedName>
    <definedName function="false" hidden="false" localSheetId="1" name="ea2t" vbProcedure="false">#REF!</definedName>
    <definedName function="false" hidden="false" localSheetId="1" name="eat" vbProcedure="false">#REF!</definedName>
    <definedName function="false" hidden="false" localSheetId="1" name="ii" vbProcedure="false">#REF!</definedName>
    <definedName function="false" hidden="false" localSheetId="1" name="ij" vbProcedure="false">'W-Tax(All-Tax)'!$F$2:$F$16384</definedName>
    <definedName function="false" hidden="false" localSheetId="1" name="jj" vbProcedure="false">'W-Tax(All-Tax)'!$G$2:$G$16384</definedName>
    <definedName function="false" hidden="false" localSheetId="1" name="OldTau" vbProcedure="false">'W-Tax(All-Tax)'!$B$2:$B$16384</definedName>
    <definedName function="false" hidden="false" localSheetId="1" name="Profit" vbProcedure="false">'W-Tax(All-Tax)'!$X$2:$X$16384</definedName>
    <definedName function="false" hidden="false" localSheetId="1" name="Revenue" vbProcedure="false">'W-Tax(All-Tax)'!$U$2:$U$16384</definedName>
    <definedName function="false" hidden="false" localSheetId="1" name="Size" vbProcedure="false">'W-Tax(All-Tax)'!$C$2:$C$16384</definedName>
    <definedName function="false" hidden="false" localSheetId="1" name="solver_adj" vbProcedure="false">'W-Tax(All-Tax)'!$A$11</definedName>
    <definedName function="false" hidden="false" localSheetId="1" name="solver_lin" vbProcedure="false">0</definedName>
    <definedName function="false" hidden="false" localSheetId="1" name="solver_num" vbProcedure="false">0</definedName>
    <definedName function="false" hidden="false" localSheetId="1" name="solver_opt" vbProcedure="false">'W-Tax(All-Tax)'!$T$11</definedName>
    <definedName function="false" hidden="false" localSheetId="1" name="solver_typ" vbProcedure="false">1</definedName>
    <definedName function="false" hidden="false" localSheetId="1" name="solver_val" vbProcedure="false">0</definedName>
    <definedName function="false" hidden="false" localSheetId="1" name="Tau" vbProcedure="false">'W-Tax(All-Tax)'!$A$2:$A$16384</definedName>
    <definedName function="false" hidden="false" localSheetId="1" name="Toll" vbProcedure="false">'W-Tax(All-Tax)'!$S$2:$S$16384</definedName>
    <definedName function="false" hidden="false" localSheetId="1" name="Utility" vbProcedure="false">'W-Tax(All-Tax)'!$W$2:$W$16384</definedName>
    <definedName function="false" hidden="false" localSheetId="1" name="Welfare" vbProcedure="false">'W-Tax(All-Tax)'!$T$2:$T$16384</definedName>
    <definedName function="false" hidden="false" localSheetId="2" name="a" vbProcedure="false">'W-Toll(All-Tax)'!$D$2:$D$16384</definedName>
    <definedName function="false" hidden="false" localSheetId="2" name="b" vbProcedure="false">'W-Toll(All-Tax)'!$E$2:$E$16384</definedName>
    <definedName function="false" hidden="false" localSheetId="2" name="BCCIJ" vbProcedure="false">'W-Toll(All-Tax)'!$J$2:$J$16384</definedName>
    <definedName function="false" hidden="false" localSheetId="2" name="BCCJJ" vbProcedure="false">'W-Toll(All-Tax)'!$K$2:$K$16384</definedName>
    <definedName function="false" hidden="false" localSheetId="2" name="BCk" vbProcedure="false">'W-Toll(All-Tax)'!$L$2:$L$16384</definedName>
    <definedName function="false" hidden="false" localSheetId="2" name="BCPTII" vbProcedure="false">'W-Toll(All-Tax)'!$P$2:$P$16384</definedName>
    <definedName function="false" hidden="false" localSheetId="2" name="BCPTIJ" vbProcedure="false">'W-Toll(All-Tax)'!$O$2:$O$16384</definedName>
    <definedName function="false" hidden="false" localSheetId="2" name="BCPTJJ" vbProcedure="false">'W-Toll(All-Tax)'!$N$2:$N$16384</definedName>
    <definedName function="false" hidden="false" localSheetId="2" name="BCS" vbProcedure="false">'W-Toll(All-Tax)'!$M$2:$M$16384</definedName>
    <definedName function="false" hidden="false" localSheetId="2" name="BRIJ" vbProcedure="false">'W-Toll(All-Tax)'!$Q$2:$Q$16384</definedName>
    <definedName function="false" hidden="false" localSheetId="2" name="BRJJ" vbProcedure="false">'W-Toll(All-Tax)'!$R$2:$R$16384</definedName>
    <definedName function="false" hidden="false" localSheetId="2" name="BUTII" vbProcedure="false">'W-Toll(All-Tax)'!$I$2:$I$16384</definedName>
    <definedName function="false" hidden="false" localSheetId="2" name="BUTIJ" vbProcedure="false">'W-Toll(All-Tax)'!$H$2:$H$16384</definedName>
    <definedName function="false" hidden="false" localSheetId="2" name="Capita" vbProcedure="false">'W-Toll(All-Tax)'!$AA$2:$AA$16384</definedName>
    <definedName function="false" hidden="false" localSheetId="2" name="Cost" vbProcedure="false">'W-Toll(All-Tax)'!$V$2:$V$16384</definedName>
    <definedName function="false" hidden="false" localSheetId="2" name="ea2t" vbProcedure="false">#REF!</definedName>
    <definedName function="false" hidden="false" localSheetId="2" name="eat" vbProcedure="false">#REF!</definedName>
    <definedName function="false" hidden="false" localSheetId="2" name="ii" vbProcedure="false">#REF!</definedName>
    <definedName function="false" hidden="false" localSheetId="2" name="ij" vbProcedure="false">'W-Toll(All-Tax)'!$F$2:$F$16384</definedName>
    <definedName function="false" hidden="false" localSheetId="2" name="jj" vbProcedure="false">'W-Toll(All-Tax)'!$G$2:$G$16384</definedName>
    <definedName function="false" hidden="false" localSheetId="2" name="OldTau" vbProcedure="false">'W-Toll(All-Tax)'!$B$2:$B$16384</definedName>
    <definedName function="false" hidden="false" localSheetId="2" name="Profit" vbProcedure="false">'W-Toll(All-Tax)'!$X$2:$X$16384</definedName>
    <definedName function="false" hidden="false" localSheetId="2" name="Revenue" vbProcedure="false">'W-Toll(All-Tax)'!$U$2:$U$16384</definedName>
    <definedName function="false" hidden="false" localSheetId="2" name="Size" vbProcedure="false">'W-Toll(All-Tax)'!$C$2:$C$16384</definedName>
    <definedName function="false" hidden="false" localSheetId="2" name="Size2" vbProcedure="false">'W-Toll(All-Tax)'!$Y$2:$Y$16384</definedName>
    <definedName function="false" hidden="false" localSheetId="2" name="solver_adj" vbProcedure="false">'W-Toll(All-Tax)'!$A$11</definedName>
    <definedName function="false" hidden="false" localSheetId="2" name="solver_lin" vbProcedure="false">0</definedName>
    <definedName function="false" hidden="false" localSheetId="2" name="solver_num" vbProcedure="false">0</definedName>
    <definedName function="false" hidden="false" localSheetId="2" name="solver_opt" vbProcedure="false">'W-Toll(All-Tax)'!$Z$11</definedName>
    <definedName function="false" hidden="false" localSheetId="2" name="solver_typ" vbProcedure="false">1</definedName>
    <definedName function="false" hidden="false" localSheetId="2" name="solver_val" vbProcedure="false">0</definedName>
    <definedName function="false" hidden="false" localSheetId="2" name="Tau" vbProcedure="false">'W-Toll(All-Tax)'!$A$2:$A$16384</definedName>
    <definedName function="false" hidden="false" localSheetId="2" name="Toll" vbProcedure="false">'W-Toll(All-Tax)'!$S$2:$S$16384</definedName>
    <definedName function="false" hidden="false" localSheetId="2" name="Utility" vbProcedure="false">'W-Toll(All-Tax)'!$W$2:$W$16384</definedName>
    <definedName function="false" hidden="false" localSheetId="2" name="U_Capita" vbProcedure="false">'W-Toll(All-Tax)'!$AB$2:$AB$16384</definedName>
    <definedName function="false" hidden="false" localSheetId="2" name="Welfare" vbProcedure="false">'W-Toll(All-Tax)'!$T$2:$T$16384</definedName>
    <definedName function="false" hidden="false" localSheetId="2" name="W_Capita" vbProcedure="false">'W-Toll(All-Tax)'!$Z$2:$Z$16384</definedName>
    <definedName function="false" hidden="false" localSheetId="3" name="a" vbProcedure="false">'W-Toll(All-Tax) (theta)'!$G$2:$G$16384</definedName>
    <definedName function="false" hidden="false" localSheetId="3" name="b" vbProcedure="false">'W-Toll(All-Tax) (theta)'!$H$2:$H$16384</definedName>
    <definedName function="false" hidden="false" localSheetId="3" name="BCCIJ" vbProcedure="false">'W-Toll(All-Tax) (theta)'!$M$2:$M$16384</definedName>
    <definedName function="false" hidden="false" localSheetId="3" name="BCCJJ" vbProcedure="false">'W-Toll(All-Tax) (theta)'!$N$2:$N$16384</definedName>
    <definedName function="false" hidden="false" localSheetId="3" name="BCk" vbProcedure="false">'W-Toll(All-Tax) (theta)'!$O$2:$O$16384</definedName>
    <definedName function="false" hidden="false" localSheetId="3" name="BCPTII" vbProcedure="false">'W-Toll(All-Tax) (theta)'!$S$2:$S$16384</definedName>
    <definedName function="false" hidden="false" localSheetId="3" name="BCPTIJ" vbProcedure="false">'W-Toll(All-Tax) (theta)'!$R$2:$R$16384</definedName>
    <definedName function="false" hidden="false" localSheetId="3" name="BCPTJJ" vbProcedure="false">'W-Toll(All-Tax) (theta)'!$Q$2:$Q$16384</definedName>
    <definedName function="false" hidden="false" localSheetId="3" name="BCS" vbProcedure="false">'W-Toll(All-Tax) (theta)'!$P$2:$P$16384</definedName>
    <definedName function="false" hidden="false" localSheetId="3" name="BRIJ" vbProcedure="false">'W-Toll(All-Tax) (theta)'!$T$2:$T$16384</definedName>
    <definedName function="false" hidden="false" localSheetId="3" name="BRJJ" vbProcedure="false">'W-Toll(All-Tax) (theta)'!$U$2:$U$16384</definedName>
    <definedName function="false" hidden="false" localSheetId="3" name="BUTII" vbProcedure="false">'W-Toll(All-Tax) (theta)'!$L$2:$L$16384</definedName>
    <definedName function="false" hidden="false" localSheetId="3" name="BUTIJ" vbProcedure="false">'W-Toll(All-Tax) (theta)'!$K$2:$K$16384</definedName>
    <definedName function="false" hidden="false" localSheetId="3" name="Capita" vbProcedure="false">'W-Toll(All-Tax) (theta)'!$AD$2:$AD$16384</definedName>
    <definedName function="false" hidden="false" localSheetId="3" name="Cost" vbProcedure="false">'W-Toll(All-Tax) (theta)'!$Y$2:$Y$16384</definedName>
    <definedName function="false" hidden="false" localSheetId="3" name="ea2t" vbProcedure="false">#REF!</definedName>
    <definedName function="false" hidden="false" localSheetId="3" name="eat" vbProcedure="false">#REF!</definedName>
    <definedName function="false" hidden="false" localSheetId="3" name="ii" vbProcedure="false">#REF!</definedName>
    <definedName function="false" hidden="false" localSheetId="3" name="ij" vbProcedure="false">'W-Toll(All-Tax) (theta)'!$I$2:$I$16384</definedName>
    <definedName function="false" hidden="false" localSheetId="3" name="jj" vbProcedure="false">'W-Toll(All-Tax) (theta)'!$J$2:$J$16384</definedName>
    <definedName function="false" hidden="false" localSheetId="3" name="OldTau" vbProcedure="false">'W-Toll(All-Tax) (theta)'!$E$2:$E$16384</definedName>
    <definedName function="false" hidden="false" localSheetId="3" name="Profit" vbProcedure="false">'W-Toll(All-Tax) (theta)'!$AA$2:$AA$16384</definedName>
    <definedName function="false" hidden="false" localSheetId="3" name="Revenue" vbProcedure="false">'W-Toll(All-Tax) (theta)'!$X$2:$X$16384</definedName>
    <definedName function="false" hidden="false" localSheetId="3" name="Size" vbProcedure="false">'W-Toll(All-Tax) (theta)'!$F$2:$F$16384</definedName>
    <definedName function="false" hidden="false" localSheetId="3" name="Size2" vbProcedure="false">'W-Toll(All-Tax) (theta)'!$AB$2:$AB$16384</definedName>
    <definedName function="false" hidden="false" localSheetId="3" name="solver_adj" vbProcedure="false">'W-Toll(All-Tax) (theta)'!$D$22</definedName>
    <definedName function="false" hidden="false" localSheetId="3" name="solver_lin" vbProcedure="false">0</definedName>
    <definedName function="false" hidden="false" localSheetId="3" name="solver_num" vbProcedure="false">0</definedName>
    <definedName function="false" hidden="false" localSheetId="3" name="solver_opt" vbProcedure="false">'W-Toll(All-Tax) (theta)'!$AC$22</definedName>
    <definedName function="false" hidden="false" localSheetId="3" name="solver_typ" vbProcedure="false">1</definedName>
    <definedName function="false" hidden="false" localSheetId="3" name="solver_val" vbProcedure="false">0</definedName>
    <definedName function="false" hidden="false" localSheetId="3" name="Tau" vbProcedure="false">'W-Toll(All-Tax) (theta)'!$D$2:$D$16384</definedName>
    <definedName function="false" hidden="false" localSheetId="3" name="Theta" vbProcedure="false">'W-Toll(All-Tax) (theta)'!$A$2:$A$16384</definedName>
    <definedName function="false" hidden="false" localSheetId="3" name="Toll" vbProcedure="false">'W-Toll(All-Tax) (theta)'!$V$2:$V$16384</definedName>
    <definedName function="false" hidden="false" localSheetId="3" name="Utility" vbProcedure="false">'W-Toll(All-Tax) (theta)'!$Z$2:$Z$16384</definedName>
    <definedName function="false" hidden="false" localSheetId="3" name="U_Capita" vbProcedure="false">'W-Toll(All-Tax) (theta)'!$AE$2:$AE$16384</definedName>
    <definedName function="false" hidden="false" localSheetId="3" name="Welfare" vbProcedure="false">'W-Toll(All-Tax) (theta)'!$W$2:$W$16384</definedName>
    <definedName function="false" hidden="false" localSheetId="3" name="W_Capita" vbProcedure="false">'W-Toll(All-Tax) (theta)'!$AC$2:$AC$16384</definedName>
    <definedName function="false" hidden="false" localSheetId="4" name="a" vbProcedure="false">'W-Tax(All-Toll)-NONC'!$D$2:$D$16384</definedName>
    <definedName function="false" hidden="false" localSheetId="4" name="b" vbProcedure="false">'W-Tax(All-Toll)-NONC'!$E$2:$E$16384</definedName>
    <definedName function="false" hidden="false" localSheetId="4" name="BCCIJ" vbProcedure="false">'W-Tax(All-Toll)-NONC'!$J$2:$J$16384</definedName>
    <definedName function="false" hidden="false" localSheetId="4" name="BCCJJ" vbProcedure="false">'W-Tax(All-Toll)-NONC'!$K$2:$K$16384</definedName>
    <definedName function="false" hidden="false" localSheetId="4" name="BCk" vbProcedure="false">'W-Tax(All-Toll)-NONC'!$L$2:$L$16384</definedName>
    <definedName function="false" hidden="false" localSheetId="4" name="BCPTII" vbProcedure="false">'W-Tax(All-Toll)-NONC'!$P$2:$P$16384</definedName>
    <definedName function="false" hidden="false" localSheetId="4" name="BCPTIJ" vbProcedure="false">'W-Tax(All-Toll)-NONC'!$O$2:$O$16384</definedName>
    <definedName function="false" hidden="false" localSheetId="4" name="BCPTJJ" vbProcedure="false">'W-Tax(All-Toll)-NONC'!$N$2:$N$16384</definedName>
    <definedName function="false" hidden="false" localSheetId="4" name="BCS" vbProcedure="false">'W-Tax(All-Toll)-NONC'!$M$2:$M$16384</definedName>
    <definedName function="false" hidden="false" localSheetId="4" name="BRIJ" vbProcedure="false">'W-Tax(All-Toll)-NONC'!$Q$2:$Q$16384</definedName>
    <definedName function="false" hidden="false" localSheetId="4" name="BRJJ" vbProcedure="false">'W-Tax(All-Toll)-NONC'!$R$2:$R$16384</definedName>
    <definedName function="false" hidden="false" localSheetId="4" name="BUTII" vbProcedure="false">'W-Tax(All-Toll)-NONC'!$I$2:$I$16384</definedName>
    <definedName function="false" hidden="false" localSheetId="4" name="BUTIJ" vbProcedure="false">'W-Tax(All-Toll)-NONC'!$H$2:$H$16384</definedName>
    <definedName function="false" hidden="false" localSheetId="4" name="Capita" vbProcedure="false">'W-Tax(All-Toll)-NONC'!$AA$2:$AA$16384</definedName>
    <definedName function="false" hidden="false" localSheetId="4" name="Cost" vbProcedure="false">'W-Tax(All-Toll)-NONC'!$V$2:$V$16384</definedName>
    <definedName function="false" hidden="false" localSheetId="4" name="ij" vbProcedure="false">'W-Tax(All-Toll)-NONC'!$F$2:$F$16384</definedName>
    <definedName function="false" hidden="false" localSheetId="4" name="jj" vbProcedure="false">'W-Tax(All-Toll)-NONC'!$G$2:$G$16384</definedName>
    <definedName function="false" hidden="false" localSheetId="4" name="OldTau" vbProcedure="false">'W-Tax(All-Toll)-NONC'!$B$2:$B$16384</definedName>
    <definedName function="false" hidden="false" localSheetId="4" name="Profit" vbProcedure="false">'W-Tax(All-Toll)-NONC'!$X$2:$X$16384</definedName>
    <definedName function="false" hidden="false" localSheetId="4" name="Revenue" vbProcedure="false">'W-Tax(All-Toll)-NONC'!$U$2:$U$16384</definedName>
    <definedName function="false" hidden="false" localSheetId="4" name="Size" vbProcedure="false">'W-Tax(All-Toll)-NONC'!$C$2:$C$16384</definedName>
    <definedName function="false" hidden="false" localSheetId="4" name="Size2" vbProcedure="false">'W-Tax(All-Toll)-NONC'!$Y$2:$Y$16384</definedName>
    <definedName function="false" hidden="false" localSheetId="4" name="solver_adj" vbProcedure="false">'W-Tax(All-Toll)-NONC'!$A$11</definedName>
    <definedName function="false" hidden="false" localSheetId="4" name="solver_lin" vbProcedure="false">0</definedName>
    <definedName function="false" hidden="false" localSheetId="4" name="solver_num" vbProcedure="false">0</definedName>
    <definedName function="false" hidden="false" localSheetId="4" name="solver_opt" vbProcedure="false">'W-Tax(All-Toll)-NONC'!$T$11</definedName>
    <definedName function="false" hidden="false" localSheetId="4" name="solver_typ" vbProcedure="false">1</definedName>
    <definedName function="false" hidden="false" localSheetId="4" name="solver_val" vbProcedure="false">0</definedName>
    <definedName function="false" hidden="false" localSheetId="4" name="Tau" vbProcedure="false">'W-Tax(All-Toll)-NONC'!$A$2:$A$16384</definedName>
    <definedName function="false" hidden="false" localSheetId="4" name="Toll" vbProcedure="false">'W-Tax(All-Toll)-NONC'!$S$2:$S$16384</definedName>
    <definedName function="false" hidden="false" localSheetId="4" name="Utility" vbProcedure="false">'W-Tax(All-Toll)-NONC'!$W$2:$W$16384</definedName>
    <definedName function="false" hidden="false" localSheetId="4" name="U_Capita" vbProcedure="false">'W-Tax(All-Toll)-NONC'!$AB$2:$AB$16384</definedName>
    <definedName function="false" hidden="false" localSheetId="4" name="Welfare" vbProcedure="false">'W-Tax(All-Toll)-NONC'!$T$2:$T$16384</definedName>
    <definedName function="false" hidden="false" localSheetId="4" name="W_Capita" vbProcedure="false">'W-Tax(All-Toll)-NONC'!$Z$2:$Z$16384</definedName>
    <definedName function="false" hidden="false" localSheetId="5" name="a" vbProcedure="false">'W-Tax(All-Toll)-Coop'!$D$2:$D$16384</definedName>
    <definedName function="false" hidden="false" localSheetId="5" name="b" vbProcedure="false">'W-Tax(All-Toll)-Coop'!$E$2:$E$16384</definedName>
    <definedName function="false" hidden="false" localSheetId="5" name="BCCIJ" vbProcedure="false">'W-Tax(All-Toll)-Coop'!$J$2:$J$16384</definedName>
    <definedName function="false" hidden="false" localSheetId="5" name="BCCJJ" vbProcedure="false">'W-Tax(All-Toll)-Coop'!$K$2:$K$16384</definedName>
    <definedName function="false" hidden="false" localSheetId="5" name="BCk" vbProcedure="false">'W-Tax(All-Toll)-Coop'!$L$2:$L$16384</definedName>
    <definedName function="false" hidden="false" localSheetId="5" name="BCPTII" vbProcedure="false">'W-Tax(All-Toll)-Coop'!$P$2:$P$16384</definedName>
    <definedName function="false" hidden="false" localSheetId="5" name="BCPTIJ" vbProcedure="false">'W-Tax(All-Toll)-Coop'!$O$2:$O$16384</definedName>
    <definedName function="false" hidden="false" localSheetId="5" name="BCPTJJ" vbProcedure="false">'W-Tax(All-Toll)-Coop'!$N$2:$N$16384</definedName>
    <definedName function="false" hidden="false" localSheetId="5" name="BCS" vbProcedure="false">'W-Tax(All-Toll)-Coop'!$M$2:$M$16384</definedName>
    <definedName function="false" hidden="false" localSheetId="5" name="BRIJ" vbProcedure="false">'W-Tax(All-Toll)-Coop'!$Q$2:$Q$16384</definedName>
    <definedName function="false" hidden="false" localSheetId="5" name="BRJJ" vbProcedure="false">'W-Tax(All-Toll)-Coop'!$R$2:$R$16384</definedName>
    <definedName function="false" hidden="false" localSheetId="5" name="BUTII" vbProcedure="false">'W-Tax(All-Toll)-Coop'!$I$2:$I$16384</definedName>
    <definedName function="false" hidden="false" localSheetId="5" name="BUTIJ" vbProcedure="false">'W-Tax(All-Toll)-Coop'!$H$2:$H$16384</definedName>
    <definedName function="false" hidden="false" localSheetId="5" name="Capita" vbProcedure="false">'W-Tax(All-Toll)-Coop'!$AA$2:$AA$16384</definedName>
    <definedName function="false" hidden="false" localSheetId="5" name="Cost" vbProcedure="false">'W-Tax(All-Toll)-Coop'!$V$2:$V$16384</definedName>
    <definedName function="false" hidden="false" localSheetId="5" name="ij" vbProcedure="false">'W-Tax(All-Toll)-Coop'!$F$2:$F$16384</definedName>
    <definedName function="false" hidden="false" localSheetId="5" name="jj" vbProcedure="false">'W-Tax(All-Toll)-Coop'!$G$2:$G$16384</definedName>
    <definedName function="false" hidden="false" localSheetId="5" name="OldTau" vbProcedure="false">'W-Tax(All-Toll)-Coop'!$B$2:$B$16384</definedName>
    <definedName function="false" hidden="false" localSheetId="5" name="Profit" vbProcedure="false">'W-Tax(All-Toll)-Coop'!$X$2:$X$16384</definedName>
    <definedName function="false" hidden="false" localSheetId="5" name="Revenue" vbProcedure="false">'W-Tax(All-Toll)-Coop'!$U$2:$U$16384</definedName>
    <definedName function="false" hidden="false" localSheetId="5" name="Size" vbProcedure="false">'W-Tax(All-Toll)-Coop'!$C$2:$C$16384</definedName>
    <definedName function="false" hidden="false" localSheetId="5" name="Size2" vbProcedure="false">'W-Tax(All-Toll)-Coop'!$Y$2:$Y$16384</definedName>
    <definedName function="false" hidden="false" localSheetId="5" name="solver_adj" vbProcedure="false">'W-Tax(All-Toll)-Coop'!$A$11</definedName>
    <definedName function="false" hidden="false" localSheetId="5" name="solver_lin" vbProcedure="false">0</definedName>
    <definedName function="false" hidden="false" localSheetId="5" name="solver_num" vbProcedure="false">0</definedName>
    <definedName function="false" hidden="false" localSheetId="5" name="solver_opt" vbProcedure="false">'W-Tax(All-Toll)-Coop'!$T$11</definedName>
    <definedName function="false" hidden="false" localSheetId="5" name="solver_typ" vbProcedure="false">1</definedName>
    <definedName function="false" hidden="false" localSheetId="5" name="solver_val" vbProcedure="false">0</definedName>
    <definedName function="false" hidden="false" localSheetId="5" name="Tau" vbProcedure="false">'W-Tax(All-Toll)-Coop'!$A$2:$A$16384</definedName>
    <definedName function="false" hidden="false" localSheetId="5" name="Toll" vbProcedure="false">'W-Tax(All-Toll)-Coop'!$S$2:$S$16384</definedName>
    <definedName function="false" hidden="false" localSheetId="5" name="Utility" vbProcedure="false">'W-Tax(All-Toll)-Coop'!$W$2:$W$16384</definedName>
    <definedName function="false" hidden="false" localSheetId="5" name="U_Capita" vbProcedure="false">'W-Tax(All-Toll)-Coop'!$AB$2:$AB$16384</definedName>
    <definedName function="false" hidden="false" localSheetId="5" name="Welfare" vbProcedure="false">'W-Tax(All-Toll)-Coop'!$T$2:$T$16384</definedName>
    <definedName function="false" hidden="false" localSheetId="5" name="W_Capita" vbProcedure="false">'W-Tax(All-Toll)-Coop'!$Z$2:$Z$16384</definedName>
    <definedName function="false" hidden="false" localSheetId="6" name="a" vbProcedure="false">'W-Toll(All-Toll)-NONC'!$D$2:$D$16384</definedName>
    <definedName function="false" hidden="false" localSheetId="6" name="b" vbProcedure="false">'W-Toll(All-Toll)-NONC'!$E$2:$E$16384</definedName>
    <definedName function="false" hidden="false" localSheetId="6" name="BCCIJ" vbProcedure="false">'W-Toll(All-Toll)-NONC'!$J$2:$J$16384</definedName>
    <definedName function="false" hidden="false" localSheetId="6" name="BCCJJ" vbProcedure="false">'W-Toll(All-Toll)-NONC'!$K$2:$K$16384</definedName>
    <definedName function="false" hidden="false" localSheetId="6" name="BCk" vbProcedure="false">'W-Toll(All-Toll)-NONC'!$L$2:$L$16384</definedName>
    <definedName function="false" hidden="false" localSheetId="6" name="BCPTII" vbProcedure="false">'W-Toll(All-Toll)-NONC'!$P$2:$P$16384</definedName>
    <definedName function="false" hidden="false" localSheetId="6" name="BCPTIJ" vbProcedure="false">'W-Toll(All-Toll)-NONC'!$O$2:$O$16384</definedName>
    <definedName function="false" hidden="false" localSheetId="6" name="BCPTJJ" vbProcedure="false">'W-Toll(All-Toll)-NONC'!$N$2:$N$16384</definedName>
    <definedName function="false" hidden="false" localSheetId="6" name="BCS" vbProcedure="false">'W-Toll(All-Toll)-NONC'!$M$2:$M$16384</definedName>
    <definedName function="false" hidden="false" localSheetId="6" name="BRIJ" vbProcedure="false">'W-Toll(All-Toll)-NONC'!$Q$2:$Q$16384</definedName>
    <definedName function="false" hidden="false" localSheetId="6" name="BRJJ" vbProcedure="false">'W-Toll(All-Toll)-NONC'!$R$2:$R$16384</definedName>
    <definedName function="false" hidden="false" localSheetId="6" name="BUTII" vbProcedure="false">'W-Toll(All-Toll)-NONC'!$I$2:$I$16384</definedName>
    <definedName function="false" hidden="false" localSheetId="6" name="BUTIJ" vbProcedure="false">'W-Toll(All-Toll)-NONC'!$H$2:$H$16384</definedName>
    <definedName function="false" hidden="false" localSheetId="6" name="Cost" vbProcedure="false">'W-Toll(All-Toll)-NONC'!$V$2:$V$16384</definedName>
    <definedName function="false" hidden="false" localSheetId="6" name="ii" vbProcedure="false">#REF!</definedName>
    <definedName function="false" hidden="false" localSheetId="6" name="ij" vbProcedure="false">'W-Toll(All-Toll)-NONC'!$F$2:$F$16384</definedName>
    <definedName function="false" hidden="false" localSheetId="6" name="jj" vbProcedure="false">'W-Toll(All-Toll)-NONC'!$G$2:$G$16384</definedName>
    <definedName function="false" hidden="false" localSheetId="6" name="OldTau" vbProcedure="false">'W-Toll(All-Toll)-NONC'!$B$2:$B$16384</definedName>
    <definedName function="false" hidden="false" localSheetId="6" name="Profit" vbProcedure="false">'W-Toll(All-Toll)-NONC'!$X$2:$X$16384</definedName>
    <definedName function="false" hidden="false" localSheetId="6" name="Revenue" vbProcedure="false">'W-Toll(All-Toll)-NONC'!$U$2:$U$16384</definedName>
    <definedName function="false" hidden="false" localSheetId="6" name="Size" vbProcedure="false">'W-Toll(All-Toll)-NONC'!$C$2:$C$16384</definedName>
    <definedName function="false" hidden="false" localSheetId="6" name="solver_adj" vbProcedure="false">'W-Toll(All-Toll)-NONC'!$A$11</definedName>
    <definedName function="false" hidden="false" localSheetId="6" name="solver_lin" vbProcedure="false">0</definedName>
    <definedName function="false" hidden="false" localSheetId="6" name="solver_num" vbProcedure="false">0</definedName>
    <definedName function="false" hidden="false" localSheetId="6" name="solver_opt" vbProcedure="false">'W-Toll(All-Toll)-NONC'!$Z$11</definedName>
    <definedName function="false" hidden="false" localSheetId="6" name="solver_typ" vbProcedure="false">1</definedName>
    <definedName function="false" hidden="false" localSheetId="6" name="solver_val" vbProcedure="false">0</definedName>
    <definedName function="false" hidden="false" localSheetId="6" name="Tau" vbProcedure="false">'W-Toll(All-Toll)-NONC'!$A$2:$A$16384</definedName>
    <definedName function="false" hidden="false" localSheetId="6" name="Toll" vbProcedure="false">'W-Toll(All-Toll)-NONC'!$S$2:$S$16384</definedName>
    <definedName function="false" hidden="false" localSheetId="6" name="Utility" vbProcedure="false">'W-Toll(All-Toll)-NONC'!$W$2:$W$16384</definedName>
    <definedName function="false" hidden="false" localSheetId="6" name="Welfare" vbProcedure="false">'W-Toll(All-Toll)-NONC'!$T$2:$T$16384</definedName>
    <definedName function="false" hidden="false" localSheetId="8" name="a" vbProcedure="false">'W-Toll(All-Toll)-NONC(theta)'!$G$2:$G$16384</definedName>
    <definedName function="false" hidden="false" localSheetId="8" name="b" vbProcedure="false">'W-Toll(All-Toll)-NONC(theta)'!$H$2:$H$16384</definedName>
    <definedName function="false" hidden="false" localSheetId="8" name="BCCIJ" vbProcedure="false">'W-Toll(All-Toll)-NONC(theta)'!$M$2:$M$16384</definedName>
    <definedName function="false" hidden="false" localSheetId="8" name="BCCJJ" vbProcedure="false">'W-Toll(All-Toll)-NONC(theta)'!$N$2:$N$16384</definedName>
    <definedName function="false" hidden="false" localSheetId="8" name="BCk" vbProcedure="false">'W-Toll(All-Toll)-NONC(theta)'!$O$2:$O$16384</definedName>
    <definedName function="false" hidden="false" localSheetId="8" name="BCPTII" vbProcedure="false">'W-Toll(All-Toll)-NONC(theta)'!$S$2:$S$16384</definedName>
    <definedName function="false" hidden="false" localSheetId="8" name="BCPTIJ" vbProcedure="false">'W-Toll(All-Toll)-NONC(theta)'!$R$2:$R$16384</definedName>
    <definedName function="false" hidden="false" localSheetId="8" name="BCPTJJ" vbProcedure="false">'W-Toll(All-Toll)-NONC(theta)'!$Q$2:$Q$16384</definedName>
    <definedName function="false" hidden="false" localSheetId="8" name="BCS" vbProcedure="false">'W-Toll(All-Toll)-NONC(theta)'!$P$2:$P$16384</definedName>
    <definedName function="false" hidden="false" localSheetId="8" name="BRIJ" vbProcedure="false">'W-Toll(All-Toll)-NONC(theta)'!$T$2:$T$16384</definedName>
    <definedName function="false" hidden="false" localSheetId="8" name="BRJJ" vbProcedure="false">'W-Toll(All-Toll)-NONC(theta)'!$U$2:$U$16384</definedName>
    <definedName function="false" hidden="false" localSheetId="8" name="BUTII" vbProcedure="false">'W-Toll(All-Toll)-NONC(theta)'!$L$2:$L$16384</definedName>
    <definedName function="false" hidden="false" localSheetId="8" name="BUTIJ" vbProcedure="false">'W-Toll(All-Toll)-NONC(theta)'!$K$2:$K$16384</definedName>
    <definedName function="false" hidden="false" localSheetId="8" name="Capita" vbProcedure="false">'W-Toll(All-Toll)-NONC(theta)'!$AD$2:$AD$16384</definedName>
    <definedName function="false" hidden="false" localSheetId="8" name="Ccv" vbProcedure="false">'W-Toll(All-Toll)-NONC(theta)'!$B$2:$B$16384</definedName>
    <definedName function="false" hidden="false" localSheetId="8" name="Cost" vbProcedure="false">'W-Toll(All-Toll)-NONC(theta)'!$Y$2:$Y$16384</definedName>
    <definedName function="false" hidden="false" localSheetId="8" name="ea2t" vbProcedure="false">#REF!</definedName>
    <definedName function="false" hidden="false" localSheetId="8" name="eat" vbProcedure="false">#REF!</definedName>
    <definedName function="false" hidden="false" localSheetId="8" name="ii" vbProcedure="false">#REF!</definedName>
    <definedName function="false" hidden="false" localSheetId="8" name="ij" vbProcedure="false">'W-Toll(All-Toll)-NONC(theta)'!$I$2:$I$16384</definedName>
    <definedName function="false" hidden="false" localSheetId="8" name="jj" vbProcedure="false">'W-Toll(All-Toll)-NONC(theta)'!$J$2:$J$16384</definedName>
    <definedName function="false" hidden="false" localSheetId="8" name="OldTau" vbProcedure="false">'W-Toll(All-Toll)-NONC(theta)'!$E$2:$E$16384</definedName>
    <definedName function="false" hidden="false" localSheetId="8" name="Profit" vbProcedure="false">'W-Toll(All-Toll)-NONC(theta)'!$AA$2:$AA$16384</definedName>
    <definedName function="false" hidden="false" localSheetId="8" name="Revenue" vbProcedure="false">'W-Toll(All-Toll)-NONC(theta)'!$X$2:$X$16384</definedName>
    <definedName function="false" hidden="false" localSheetId="8" name="Size" vbProcedure="false">'W-Toll(All-Toll)-NONC(theta)'!$F$2:$F$16384</definedName>
    <definedName function="false" hidden="false" localSheetId="8" name="Size2" vbProcedure="false">'W-Toll(All-Toll)-NONC(theta)'!$AB$2:$AB$16384</definedName>
    <definedName function="false" hidden="false" localSheetId="8" name="solver_adj" vbProcedure="false">'W-Toll(All-Toll)-NONC(theta)'!$D$49</definedName>
    <definedName function="false" hidden="false" localSheetId="8" name="solver_lin" vbProcedure="false">0</definedName>
    <definedName function="false" hidden="false" localSheetId="8" name="solver_num" vbProcedure="false">0</definedName>
    <definedName function="false" hidden="false" localSheetId="8" name="solver_opt" vbProcedure="false">'W-Toll(All-Toll)-NONC(theta)'!$AC$49</definedName>
    <definedName function="false" hidden="false" localSheetId="8" name="solver_typ" vbProcedure="false">1</definedName>
    <definedName function="false" hidden="false" localSheetId="8" name="solver_val" vbProcedure="false">0</definedName>
    <definedName function="false" hidden="false" localSheetId="8" name="Tau" vbProcedure="false">'W-Toll(All-Toll)-NONC(theta)'!$D$2:$D$16384</definedName>
    <definedName function="false" hidden="false" localSheetId="8" name="Theta" vbProcedure="false">'W-Toll(All-Toll)-NONC(theta)'!$A$2:$A$16384</definedName>
    <definedName function="false" hidden="false" localSheetId="8" name="Theta_necessary" vbProcedure="false">'W-Toll(All-Toll)-NONC(theta)'!$C$2:$C$16384</definedName>
    <definedName function="false" hidden="false" localSheetId="8" name="Toll" vbProcedure="false">'W-Toll(All-Toll)-NONC(theta)'!$V$2:$V$16384</definedName>
    <definedName function="false" hidden="false" localSheetId="8" name="Utility" vbProcedure="false">'W-Toll(All-Toll)-NONC(theta)'!$Z$2:$Z$16384</definedName>
    <definedName function="false" hidden="false" localSheetId="8" name="U_Capita" vbProcedure="false">'W-Toll(All-Toll)-NONC(theta)'!$AE$2:$AE$16384</definedName>
    <definedName function="false" hidden="false" localSheetId="8" name="Welfare" vbProcedure="false">'W-Toll(All-Toll)-NONC(theta)'!$W$2:$W$16384</definedName>
    <definedName function="false" hidden="false" localSheetId="8" name="W_Capita" vbProcedure="false">'W-Toll(All-Toll)-NONC(theta)'!$AC$2:$AC$16384</definedName>
    <definedName function="false" hidden="false" localSheetId="9" name="a" vbProcedure="false">'W-Toll(All-Toll)-Coop'!$D$2:$D$16384</definedName>
    <definedName function="false" hidden="false" localSheetId="9" name="b" vbProcedure="false">'W-Toll(All-Toll)-Coop'!$E$2:$E$16384</definedName>
    <definedName function="false" hidden="false" localSheetId="9" name="BCCIJ" vbProcedure="false">'W-Toll(All-Toll)-Coop'!$J$2:$J$16384</definedName>
    <definedName function="false" hidden="false" localSheetId="9" name="BCCJJ" vbProcedure="false">'W-Toll(All-Toll)-Coop'!$K$2:$K$16384</definedName>
    <definedName function="false" hidden="false" localSheetId="9" name="BCk" vbProcedure="false">'W-Toll(All-Toll)-Coop'!$L$2:$L$16384</definedName>
    <definedName function="false" hidden="false" localSheetId="9" name="BCPTII" vbProcedure="false">'W-Toll(All-Toll)-Coop'!$P$2:$P$16384</definedName>
    <definedName function="false" hidden="false" localSheetId="9" name="BCPTIJ" vbProcedure="false">'W-Toll(All-Toll)-Coop'!$O$2:$O$16384</definedName>
    <definedName function="false" hidden="false" localSheetId="9" name="BCPTJJ" vbProcedure="false">'W-Toll(All-Toll)-Coop'!$N$2:$N$16384</definedName>
    <definedName function="false" hidden="false" localSheetId="9" name="BCS" vbProcedure="false">'W-Toll(All-Toll)-Coop'!$M$2:$M$16384</definedName>
    <definedName function="false" hidden="false" localSheetId="9" name="BRIJ" vbProcedure="false">'W-Toll(All-Toll)-Coop'!$Q$2:$Q$16384</definedName>
    <definedName function="false" hidden="false" localSheetId="9" name="BRJJ" vbProcedure="false">'W-Toll(All-Toll)-Coop'!$R$2:$R$16384</definedName>
    <definedName function="false" hidden="false" localSheetId="9" name="BUTII" vbProcedure="false">'W-Toll(All-Toll)-Coop'!$I$2:$I$16384</definedName>
    <definedName function="false" hidden="false" localSheetId="9" name="BUTIJ" vbProcedure="false">'W-Toll(All-Toll)-Coop'!$H$2:$H$16384</definedName>
    <definedName function="false" hidden="false" localSheetId="9" name="Cost" vbProcedure="false">'W-Toll(All-Toll)-Coop'!$V$2:$V$16384</definedName>
    <definedName function="false" hidden="false" localSheetId="9" name="ea2t" vbProcedure="false">#REF!</definedName>
    <definedName function="false" hidden="false" localSheetId="9" name="eat" vbProcedure="false">#REF!</definedName>
    <definedName function="false" hidden="false" localSheetId="9" name="ii" vbProcedure="false">#REF!</definedName>
    <definedName function="false" hidden="false" localSheetId="9" name="ij" vbProcedure="false">'W-Toll(All-Toll)-Coop'!$F$2:$F$16384</definedName>
    <definedName function="false" hidden="false" localSheetId="9" name="jj" vbProcedure="false">'W-Toll(All-Toll)-Coop'!$G$2:$G$16384</definedName>
    <definedName function="false" hidden="false" localSheetId="9" name="OldTau" vbProcedure="false">'W-Toll(All-Toll)-Coop'!$B$2:$B$16384</definedName>
    <definedName function="false" hidden="false" localSheetId="9" name="Profit" vbProcedure="false">'W-Toll(All-Toll)-Coop'!$X$2:$X$16384</definedName>
    <definedName function="false" hidden="false" localSheetId="9" name="Revenue" vbProcedure="false">'W-Toll(All-Toll)-Coop'!$U$2:$U$16384</definedName>
    <definedName function="false" hidden="false" localSheetId="9" name="Size" vbProcedure="false">'W-Toll(All-Toll)-Coop'!$C$2:$C$16384</definedName>
    <definedName function="false" hidden="false" localSheetId="9" name="solver_adj" vbProcedure="false">'W-Toll(All-Toll)-Coop'!$A$11</definedName>
    <definedName function="false" hidden="false" localSheetId="9" name="solver_lin" vbProcedure="false">0</definedName>
    <definedName function="false" hidden="false" localSheetId="9" name="solver_num" vbProcedure="false">0</definedName>
    <definedName function="false" hidden="false" localSheetId="9" name="solver_opt" vbProcedure="false">'W-Toll(All-Toll)-Coop'!$Z$11</definedName>
    <definedName function="false" hidden="false" localSheetId="9" name="solver_typ" vbProcedure="false">1</definedName>
    <definedName function="false" hidden="false" localSheetId="9" name="solver_val" vbProcedure="false">0</definedName>
    <definedName function="false" hidden="false" localSheetId="9" name="Tau" vbProcedure="false">'W-Toll(All-Toll)-Coop'!$A$2:$A$16384</definedName>
    <definedName function="false" hidden="false" localSheetId="9" name="Toll" vbProcedure="false">'W-Toll(All-Toll)-Coop'!$S$2:$S$16384</definedName>
    <definedName function="false" hidden="false" localSheetId="9" name="Utility" vbProcedure="false">'W-Toll(All-Toll)-Coop'!$W$2:$W$16384</definedName>
    <definedName function="false" hidden="false" localSheetId="9" name="Welfare" vbProcedure="false">'W-Toll(All-Toll)-Coop'!$T$2:$T$16384</definedName>
    <definedName function="false" hidden="false" localSheetId="10" name="size" vbProcedure="false">#REF!</definedName>
    <definedName function="false" hidden="false" localSheetId="10" name="tau" vbProcedure="false">#REF!</definedName>
    <definedName function="false" hidden="false" localSheetId="12" name="size" vbProcedure="false">#REF!</definedName>
    <definedName function="false" hidden="false" localSheetId="12" name="tau" vbProcedure="false">#REF!</definedName>
    <definedName function="false" hidden="false" localSheetId="13" name="size" vbProcedure="false">#REF!</definedName>
    <definedName function="false" hidden="false" localSheetId="13" name="tau" vbProcedure="false">#REF!</definedName>
    <definedName function="false" hidden="false" localSheetId="14" name="size" vbProcedure="false">#REF!</definedName>
    <definedName function="false" hidden="false" localSheetId="14" name="tau" vbProcedure="false">#REF!</definedName>
    <definedName function="false" hidden="false" localSheetId="16" name="Tau" vbProcedure="false">'Toll-Model'!$A$2:$A$16384</definedName>
    <definedName function="false" hidden="false" localSheetId="16" name="Toll" vbProcedure="false">'Toll-Model'!$A$2:$A$11</definedName>
    <definedName function="false" hidden="false" localSheetId="17" name="a" vbProcedure="false">#REF!</definedName>
    <definedName function="false" hidden="false" localSheetId="17" name="b" vbProcedure="false">#REF!</definedName>
    <definedName function="false" hidden="false" localSheetId="17" name="BCCIJ" vbProcedure="false">#REF!</definedName>
    <definedName function="false" hidden="false" localSheetId="17" name="BCCJJ" vbProcedure="false">#REF!</definedName>
    <definedName function="false" hidden="false" localSheetId="17" name="BCk" vbProcedure="false">#REF!</definedName>
    <definedName function="false" hidden="false" localSheetId="17" name="BCPTII" vbProcedure="false">#REF!</definedName>
    <definedName function="false" hidden="false" localSheetId="17" name="BCPTIJ" vbProcedure="false">#REF!</definedName>
    <definedName function="false" hidden="false" localSheetId="17" name="BCPTJJ" vbProcedure="false">#REF!</definedName>
    <definedName function="false" hidden="false" localSheetId="17" name="BCS" vbProcedure="false">#REF!</definedName>
    <definedName function="false" hidden="false" localSheetId="17" name="BRIJ" vbProcedure="false">#REF!</definedName>
    <definedName function="false" hidden="false" localSheetId="17" name="BRJJ" vbProcedure="false">#REF!</definedName>
    <definedName function="false" hidden="false" localSheetId="17" name="BUTII" vbProcedure="false">#REF!</definedName>
    <definedName function="false" hidden="false" localSheetId="17" name="BUTIJ" vbProcedure="false">#REF!</definedName>
    <definedName function="false" hidden="false" localSheetId="17" name="Cost" vbProcedure="false">Repeated!$J$2:$J$16384</definedName>
    <definedName function="false" hidden="false" localSheetId="17" name="ea2t" vbProcedure="false">#REF!</definedName>
    <definedName function="false" hidden="false" localSheetId="17" name="eat" vbProcedure="false">#REF!</definedName>
    <definedName function="false" hidden="false" localSheetId="17" name="ii" vbProcedure="false">#REF!</definedName>
    <definedName function="false" hidden="false" localSheetId="17" name="ij" vbProcedure="false">#REF!</definedName>
    <definedName function="false" hidden="false" localSheetId="17" name="jj" vbProcedure="false">#REF!</definedName>
    <definedName function="false" hidden="false" localSheetId="17" name="OldTau" vbProcedure="false">Repeated!$B$2:$B$16384</definedName>
    <definedName function="false" hidden="false" localSheetId="17" name="Profit" vbProcedure="false">Repeated!$L$2:$L$16384</definedName>
    <definedName function="false" hidden="false" localSheetId="17" name="Revenue" vbProcedure="false">Repeated!$I$2:$I$16384</definedName>
    <definedName function="false" hidden="false" localSheetId="17" name="Size" vbProcedure="false">#REF!</definedName>
    <definedName function="false" hidden="false" localSheetId="17" name="solver_adj" vbProcedure="false">Repeated!$A$6</definedName>
    <definedName function="false" hidden="false" localSheetId="17" name="solver_lhs1" vbProcedure="false">Repeated!$A$6</definedName>
    <definedName function="false" hidden="false" localSheetId="17" name="solver_lin" vbProcedure="false">0</definedName>
    <definedName function="false" hidden="false" localSheetId="17" name="solver_num" vbProcedure="false">1</definedName>
    <definedName function="false" hidden="false" localSheetId="17" name="solver_opt" vbProcedure="false">Repeated!$H$6</definedName>
    <definedName function="false" hidden="false" localSheetId="17" name="solver_rel1" vbProcedure="false">3</definedName>
    <definedName function="false" hidden="false" localSheetId="17" name="solver_rhs1" vbProcedure="false">0</definedName>
    <definedName function="false" hidden="false" localSheetId="17" name="solver_tmp" vbProcedure="false">0</definedName>
    <definedName function="false" hidden="false" localSheetId="17" name="solver_typ" vbProcedure="false">1</definedName>
    <definedName function="false" hidden="false" localSheetId="17" name="solver_val" vbProcedure="false">0</definedName>
    <definedName function="false" hidden="false" localSheetId="17" name="Tau" vbProcedure="false">Repeated!$A$2:$A$16384</definedName>
    <definedName function="false" hidden="false" localSheetId="17" name="Toll" vbProcedure="false">#REF!</definedName>
    <definedName function="false" hidden="false" localSheetId="17" name="Utility" vbProcedure="false">Repeated!$K$2:$K$16384</definedName>
    <definedName function="false" hidden="false" localSheetId="17" name="Welfare" vbProcedure="false">Repeated!$H$2:$H$16384</definedName>
    <definedName function="false" hidden="false" localSheetId="18" name="a" vbProcedure="false">#REF!</definedName>
    <definedName function="false" hidden="false" localSheetId="18" name="b" vbProcedure="false">#REF!</definedName>
    <definedName function="false" hidden="false" localSheetId="18" name="BCCIJ" vbProcedure="false">#REF!</definedName>
    <definedName function="false" hidden="false" localSheetId="18" name="BCCJJ" vbProcedure="false">#REF!</definedName>
    <definedName function="false" hidden="false" localSheetId="18" name="BCk" vbProcedure="false">#REF!</definedName>
    <definedName function="false" hidden="false" localSheetId="18" name="BCPTII" vbProcedure="false">#REF!</definedName>
    <definedName function="false" hidden="false" localSheetId="18" name="BCPTIJ" vbProcedure="false">#REF!</definedName>
    <definedName function="false" hidden="false" localSheetId="18" name="BCPTJJ" vbProcedure="false">#REF!</definedName>
    <definedName function="false" hidden="false" localSheetId="18" name="BCS" vbProcedure="false">#REF!</definedName>
    <definedName function="false" hidden="false" localSheetId="18" name="BRIJ" vbProcedure="false">#REF!</definedName>
    <definedName function="false" hidden="false" localSheetId="18" name="BRJJ" vbProcedure="false">#REF!</definedName>
    <definedName function="false" hidden="false" localSheetId="18" name="BUTII" vbProcedure="false">#REF!</definedName>
    <definedName function="false" hidden="false" localSheetId="18" name="BUTIJ" vbProcedure="false">#REF!</definedName>
    <definedName function="false" hidden="false" localSheetId="18" name="Cost" vbProcedure="false">'Repeated (2)'!$J$2:$J$16384</definedName>
    <definedName function="false" hidden="false" localSheetId="18" name="ea2t" vbProcedure="false">#REF!</definedName>
    <definedName function="false" hidden="false" localSheetId="18" name="eat" vbProcedure="false">#REF!</definedName>
    <definedName function="false" hidden="false" localSheetId="18" name="ii" vbProcedure="false">#REF!</definedName>
    <definedName function="false" hidden="false" localSheetId="18" name="ij" vbProcedure="false">#REF!</definedName>
    <definedName function="false" hidden="false" localSheetId="18" name="jj" vbProcedure="false">#REF!</definedName>
    <definedName function="false" hidden="false" localSheetId="18" name="OldTau" vbProcedure="false">'Repeated (2)'!$B$2:$B$16384</definedName>
    <definedName function="false" hidden="false" localSheetId="18" name="Profit" vbProcedure="false">'Repeated (2)'!$L$2:$L$16384</definedName>
    <definedName function="false" hidden="false" localSheetId="18" name="Revenue" vbProcedure="false">'Repeated (2)'!$I$2:$I$16384</definedName>
    <definedName function="false" hidden="false" localSheetId="18" name="Size" vbProcedure="false">#REF!</definedName>
    <definedName function="false" hidden="false" localSheetId="18" name="solver_adj" vbProcedure="false">'Repeated (2)'!$A$6</definedName>
    <definedName function="false" hidden="false" localSheetId="18" name="solver_lhs1" vbProcedure="false">'Repeated (2)'!$A$6</definedName>
    <definedName function="false" hidden="false" localSheetId="18" name="solver_lin" vbProcedure="false">0</definedName>
    <definedName function="false" hidden="false" localSheetId="18" name="solver_num" vbProcedure="false">1</definedName>
    <definedName function="false" hidden="false" localSheetId="18" name="solver_opt" vbProcedure="false">'Repeated (2)'!$H$6</definedName>
    <definedName function="false" hidden="false" localSheetId="18" name="solver_rel1" vbProcedure="false">3</definedName>
    <definedName function="false" hidden="false" localSheetId="18" name="solver_rhs1" vbProcedure="false">0</definedName>
    <definedName function="false" hidden="false" localSheetId="18" name="solver_tmp" vbProcedure="false">0</definedName>
    <definedName function="false" hidden="false" localSheetId="18" name="solver_typ" vbProcedure="false">1</definedName>
    <definedName function="false" hidden="false" localSheetId="18" name="solver_val" vbProcedure="false">0</definedName>
    <definedName function="false" hidden="false" localSheetId="18" name="Tau" vbProcedure="false">'Repeated (2)'!$A$2:$A$16384</definedName>
    <definedName function="false" hidden="false" localSheetId="18" name="Toll" vbProcedure="false">#REF!</definedName>
    <definedName function="false" hidden="false" localSheetId="18" name="Utility" vbProcedure="false">'Repeated (2)'!$K$2:$K$16384</definedName>
    <definedName function="false" hidden="false" localSheetId="18" name="w" vbProcedure="false">'Repeated (2)'!$D$11</definedName>
    <definedName function="false" hidden="false" localSheetId="18" name="Welfare" vbProcedure="false">'Repeated (2)'!$H$2:$H$16384</definedName>
    <definedName function="false" hidden="false" localSheetId="18" name="x" vbProcedure="false">'Repeated (2)'!$C$10</definedName>
    <definedName function="false" hidden="false" localSheetId="18" name="y" vbProcedure="false">'Repeated (2)'!$C$11</definedName>
    <definedName function="false" hidden="false" localSheetId="18" name="z" vbProcedure="false">'Repeated (2)'!$D$10</definedName>
    <definedName function="false" hidden="false" localSheetId="19" name="a" vbProcedure="false">'WG-OptSize-Coop'!$D$2:$D$16384</definedName>
    <definedName function="false" hidden="false" localSheetId="19" name="b" vbProcedure="false">'WG-OptSize-Coop'!$E$2:$E$16384</definedName>
    <definedName function="false" hidden="false" localSheetId="19" name="BCCIJ" vbProcedure="false">'WG-OptSize-Coop'!$J$2:$J$16384</definedName>
    <definedName function="false" hidden="false" localSheetId="19" name="BCCJJ" vbProcedure="false">'WG-OptSize-Coop'!$K$2:$K$16384</definedName>
    <definedName function="false" hidden="false" localSheetId="19" name="BCk" vbProcedure="false">'WG-OptSize-Coop'!$L$2:$L$16384</definedName>
    <definedName function="false" hidden="false" localSheetId="19" name="BCPTII" vbProcedure="false">'WG-OptSize-Coop'!$P$2:$P$16384</definedName>
    <definedName function="false" hidden="false" localSheetId="19" name="BCPTIJ" vbProcedure="false">'WG-OptSize-Coop'!$O$2:$O$16384</definedName>
    <definedName function="false" hidden="false" localSheetId="19" name="BCPTJJ" vbProcedure="false">'WG-OptSize-Coop'!$N$2:$N$16384</definedName>
    <definedName function="false" hidden="false" localSheetId="19" name="BCS" vbProcedure="false">'WG-OptSize-Coop'!$M$2:$M$16384</definedName>
    <definedName function="false" hidden="false" localSheetId="19" name="BRIJ" vbProcedure="false">'WG-OptSize-Coop'!$Q$2:$Q$16384</definedName>
    <definedName function="false" hidden="false" localSheetId="19" name="BRJJ" vbProcedure="false">'WG-OptSize-Coop'!$R$2:$R$16384</definedName>
    <definedName function="false" hidden="false" localSheetId="19" name="BUTII" vbProcedure="false">'WG-OptSize-Coop'!$I$2:$I$16384</definedName>
    <definedName function="false" hidden="false" localSheetId="19" name="BUTIJ" vbProcedure="false">'WG-OptSize-Coop'!$H$2:$H$16384</definedName>
    <definedName function="false" hidden="false" localSheetId="19" name="Cost" vbProcedure="false">'WG-OptSize-Coop'!$V$2:$V$16384</definedName>
    <definedName function="false" hidden="false" localSheetId="19" name="ea2t" vbProcedure="false">#REF!</definedName>
    <definedName function="false" hidden="false" localSheetId="19" name="eat" vbProcedure="false">#REF!</definedName>
    <definedName function="false" hidden="false" localSheetId="19" name="ii" vbProcedure="false">#REF!</definedName>
    <definedName function="false" hidden="false" localSheetId="19" name="ij" vbProcedure="false">'WG-OptSize-Coop'!$F$2:$F$16384</definedName>
    <definedName function="false" hidden="false" localSheetId="19" name="jj" vbProcedure="false">'WG-OptSize-Coop'!$G$2:$G$16384</definedName>
    <definedName function="false" hidden="false" localSheetId="19" name="OldTau" vbProcedure="false">'WG-OptSize-Coop'!$B$2:$B$16384</definedName>
    <definedName function="false" hidden="false" localSheetId="19" name="Profit" vbProcedure="false">'WG-OptSize-Coop'!$X$2:$X$16384</definedName>
    <definedName function="false" hidden="false" localSheetId="19" name="Revenue" vbProcedure="false">'WG-OptSize-Coop'!$U$2:$U$16384</definedName>
    <definedName function="false" hidden="false" localSheetId="19" name="Size" vbProcedure="false">'WG-OptSize-Coop'!$C$2:$C$16384</definedName>
    <definedName function="false" hidden="false" localSheetId="19" name="Size2" vbProcedure="false">'WG-OptSize-Coop'!$Y$2:$Y$16384</definedName>
    <definedName function="false" hidden="false" localSheetId="19" name="solver_adj" vbProcedure="false">#REF!</definedName>
    <definedName function="false" hidden="false" localSheetId="19" name="solver_lin" vbProcedure="false">0</definedName>
    <definedName function="false" hidden="false" localSheetId="19" name="solver_num" vbProcedure="false">0</definedName>
    <definedName function="false" hidden="false" localSheetId="19" name="solver_opt" vbProcedure="false">#REF!</definedName>
    <definedName function="false" hidden="false" localSheetId="19" name="solver_typ" vbProcedure="false">1</definedName>
    <definedName function="false" hidden="false" localSheetId="19" name="solver_val" vbProcedure="false">0</definedName>
    <definedName function="false" hidden="false" localSheetId="19" name="Tau" vbProcedure="false">'WG-OptSize-Coop'!$A$2:$A$16384</definedName>
    <definedName function="false" hidden="false" localSheetId="19" name="Toll" vbProcedure="false">'WG-OptSize-Coop'!$S$2:$S$16384</definedName>
    <definedName function="false" hidden="false" localSheetId="19" name="Utility" vbProcedure="false">'WG-OptSize-Coop'!$W$2:$W$16384</definedName>
    <definedName function="false" hidden="false" localSheetId="19" name="Welfare" vbProcedure="false">'WG-OptSize-Coop'!$T$2:$T$16384</definedName>
    <definedName function="false" hidden="false" localSheetId="20" name="a" vbProcedure="false">'WG-OptSize-Nonc'!$D$2:$D$16384</definedName>
    <definedName function="false" hidden="false" localSheetId="20" name="b" vbProcedure="false">'WG-OptSize-Nonc'!$E$2:$E$16384</definedName>
    <definedName function="false" hidden="false" localSheetId="20" name="BCCIJ" vbProcedure="false">'WG-OptSize-Nonc'!$J$2:$J$16384</definedName>
    <definedName function="false" hidden="false" localSheetId="20" name="BCCJJ" vbProcedure="false">'WG-OptSize-Nonc'!$K$2:$K$16384</definedName>
    <definedName function="false" hidden="false" localSheetId="20" name="BCk" vbProcedure="false">'WG-OptSize-Nonc'!$L$2:$L$16384</definedName>
    <definedName function="false" hidden="false" localSheetId="20" name="BCPTII" vbProcedure="false">'WG-OptSize-Nonc'!$P$2:$P$16384</definedName>
    <definedName function="false" hidden="false" localSheetId="20" name="BCPTIJ" vbProcedure="false">'WG-OptSize-Nonc'!$O$2:$O$16384</definedName>
    <definedName function="false" hidden="false" localSheetId="20" name="BCPTJJ" vbProcedure="false">'WG-OptSize-Nonc'!$N$2:$N$16384</definedName>
    <definedName function="false" hidden="false" localSheetId="20" name="BCS" vbProcedure="false">'WG-OptSize-Nonc'!$M$2:$M$16384</definedName>
    <definedName function="false" hidden="false" localSheetId="20" name="BRIJ" vbProcedure="false">'WG-OptSize-Nonc'!$Q$2:$Q$16384</definedName>
    <definedName function="false" hidden="false" localSheetId="20" name="BRJJ" vbProcedure="false">'WG-OptSize-Nonc'!$R$2:$R$16384</definedName>
    <definedName function="false" hidden="false" localSheetId="20" name="BUTII" vbProcedure="false">'WG-OptSize-Nonc'!$I$2:$I$16384</definedName>
    <definedName function="false" hidden="false" localSheetId="20" name="BUTIJ" vbProcedure="false">'WG-OptSize-Nonc'!$H$2:$H$16384</definedName>
    <definedName function="false" hidden="false" localSheetId="20" name="Cost" vbProcedure="false">'WG-OptSize-Nonc'!$V$2:$V$16384</definedName>
    <definedName function="false" hidden="false" localSheetId="20" name="ea2t" vbProcedure="false">#REF!</definedName>
    <definedName function="false" hidden="false" localSheetId="20" name="eat" vbProcedure="false">#REF!</definedName>
    <definedName function="false" hidden="false" localSheetId="20" name="ii" vbProcedure="false">#REF!</definedName>
    <definedName function="false" hidden="false" localSheetId="20" name="ij" vbProcedure="false">'WG-OptSize-Nonc'!$F$2:$F$16384</definedName>
    <definedName function="false" hidden="false" localSheetId="20" name="jj" vbProcedure="false">'WG-OptSize-Nonc'!$G$2:$G$16384</definedName>
    <definedName function="false" hidden="false" localSheetId="20" name="OldTau" vbProcedure="false">'WG-OptSize-Nonc'!$B$2:$B$16384</definedName>
    <definedName function="false" hidden="false" localSheetId="20" name="Profit" vbProcedure="false">'WG-OptSize-Nonc'!$X$2:$X$16384</definedName>
    <definedName function="false" hidden="false" localSheetId="20" name="Revenue" vbProcedure="false">'WG-OptSize-Nonc'!$U$2:$U$16384</definedName>
    <definedName function="false" hidden="false" localSheetId="20" name="Size" vbProcedure="false">'WG-OptSize-Nonc'!$C$2:$C$16384</definedName>
    <definedName function="false" hidden="false" localSheetId="20" name="Size2" vbProcedure="false">'WG-OptSize-Nonc'!$Y$2:$Y$16384</definedName>
    <definedName function="false" hidden="false" localSheetId="20" name="solver_adj" vbProcedure="false">'WG-OptSize-Nonc'!$A$63</definedName>
    <definedName function="false" hidden="false" localSheetId="20" name="solver_lin" vbProcedure="false">0</definedName>
    <definedName function="false" hidden="false" localSheetId="20" name="solver_num" vbProcedure="false">0</definedName>
    <definedName function="false" hidden="false" localSheetId="20" name="solver_opt" vbProcedure="false">'WG-OptSize-Nonc'!$T$63</definedName>
    <definedName function="false" hidden="false" localSheetId="20" name="solver_typ" vbProcedure="false">1</definedName>
    <definedName function="false" hidden="false" localSheetId="20" name="solver_val" vbProcedure="false">0</definedName>
    <definedName function="false" hidden="false" localSheetId="20" name="Tau" vbProcedure="false">'WG-OptSize-Nonc'!$A$2:$A$16384</definedName>
    <definedName function="false" hidden="false" localSheetId="20" name="TaxCost" vbProcedure="false">'WG-OptSize-Nonc'!$AF$2:$AF$16384</definedName>
    <definedName function="false" hidden="false" localSheetId="20" name="Taxij" vbProcedure="false">'WG-OptSize-Nonc'!$AD$2:$AD$16384</definedName>
    <definedName function="false" hidden="false" localSheetId="20" name="Taxjj" vbProcedure="false">'WG-OptSize-Nonc'!$AE$2:$AE$16384</definedName>
    <definedName function="false" hidden="false" localSheetId="20" name="TaxUtility" vbProcedure="false">'WG-OptSize-Nonc'!$AG$2:$AG$16384</definedName>
    <definedName function="false" hidden="false" localSheetId="20" name="TaxWelfare" vbProcedure="false">'WG-OptSize-Nonc'!$AH$2:$AH$16384</definedName>
    <definedName function="false" hidden="false" localSheetId="20" name="Toll" vbProcedure="false">'WG-OptSize-Nonc'!$S$2:$S$16384</definedName>
    <definedName function="false" hidden="false" localSheetId="20" name="Utility" vbProcedure="false">'WG-OptSize-Nonc'!$W$2:$W$16384</definedName>
    <definedName function="false" hidden="false" localSheetId="20" name="Welfare" vbProcedure="false">'WG-OptSize-Nonc'!$T$2:$T$16384</definedName>
    <definedName function="false" hidden="false" localSheetId="23" name="a" vbProcedure="false">'WG-OptSize (3)'!$E$3:$E$16384</definedName>
    <definedName function="false" hidden="false" localSheetId="23" name="b" vbProcedure="false">'WG-OptSize (3)'!$F$3:$F$16384</definedName>
    <definedName function="false" hidden="false" localSheetId="23" name="BCCIJ" vbProcedure="false">'WG-OptSize (3)'!$K$3:$K$16384</definedName>
    <definedName function="false" hidden="false" localSheetId="23" name="BCCJJ" vbProcedure="false">'WG-OptSize (3)'!$L$3:$L$16384</definedName>
    <definedName function="false" hidden="false" localSheetId="23" name="BCk" vbProcedure="false">'WG-OptSize (3)'!$M$3:$M$16384</definedName>
    <definedName function="false" hidden="false" localSheetId="23" name="BCPTII" vbProcedure="false">'WG-OptSize (3)'!$Q$3:$Q$16384</definedName>
    <definedName function="false" hidden="false" localSheetId="23" name="BCPTIJ" vbProcedure="false">'WG-OptSize (3)'!$P$3:$P$16384</definedName>
    <definedName function="false" hidden="false" localSheetId="23" name="BCPTJJ" vbProcedure="false">'WG-OptSize (3)'!$O$3:$O$16384</definedName>
    <definedName function="false" hidden="false" localSheetId="23" name="BCS" vbProcedure="false">'WG-OptSize (3)'!$N$3:$N$16384</definedName>
    <definedName function="false" hidden="false" localSheetId="23" name="BRIJ" vbProcedure="false">'WG-OptSize (3)'!$R$3:$R$16384</definedName>
    <definedName function="false" hidden="false" localSheetId="23" name="BRJJ" vbProcedure="false">'WG-OptSize (3)'!$S$3:$S$16384</definedName>
    <definedName function="false" hidden="false" localSheetId="23" name="BUTII" vbProcedure="false">'WG-OptSize (3)'!$J$3:$J$16384</definedName>
    <definedName function="false" hidden="false" localSheetId="23" name="BUTIJ" vbProcedure="false">'WG-OptSize (3)'!$I$3:$I$16384</definedName>
    <definedName function="false" hidden="false" localSheetId="23" name="Cost" vbProcedure="false">'WG-OptSize (3)'!$W$3:$W$16384</definedName>
    <definedName function="false" hidden="false" localSheetId="23" name="ea2t" vbProcedure="false">#REF!</definedName>
    <definedName function="false" hidden="false" localSheetId="23" name="eat" vbProcedure="false">#REF!</definedName>
    <definedName function="false" hidden="false" localSheetId="23" name="ii" vbProcedure="false">#REF!</definedName>
    <definedName function="false" hidden="false" localSheetId="23" name="ij" vbProcedure="false">'WG-OptSize (3)'!$G$3:$G$16384</definedName>
    <definedName function="false" hidden="false" localSheetId="23" name="jj" vbProcedure="false">'WG-OptSize (3)'!$H$3:$H$16384</definedName>
    <definedName function="false" hidden="false" localSheetId="23" name="OldTau" vbProcedure="false">'WG-OptSize (3)'!$B$3:$B$16384</definedName>
    <definedName function="false" hidden="false" localSheetId="23" name="Profit" vbProcedure="false">'WG-OptSize (3)'!$Y$3:$Y$16384</definedName>
    <definedName function="false" hidden="false" localSheetId="23" name="Revenue" vbProcedure="false">'WG-OptSize (3)'!$V$3:$V$16384</definedName>
    <definedName function="false" hidden="false" localSheetId="23" name="Size" vbProcedure="false">'WG-OptSize (3)'!$C$2:$C$16384</definedName>
    <definedName function="false" hidden="false" localSheetId="23" name="solver_adj" vbProcedure="false">'WG-OptSize (3)'!$C$22</definedName>
    <definedName function="false" hidden="false" localSheetId="23" name="solver_lin" vbProcedure="false">0</definedName>
    <definedName function="false" hidden="false" localSheetId="23" name="solver_num" vbProcedure="false">0</definedName>
    <definedName function="false" hidden="false" localSheetId="23" name="solver_opt" vbProcedure="false">'WG-OptSize (3)'!$AA$22</definedName>
    <definedName function="false" hidden="false" localSheetId="23" name="solver_typ" vbProcedure="false">1</definedName>
    <definedName function="false" hidden="false" localSheetId="23" name="solver_val" vbProcedure="false">0</definedName>
    <definedName function="false" hidden="false" localSheetId="23" name="Tau" vbProcedure="false">'WG-OptSize (3)'!$A$3:$A$16384</definedName>
    <definedName function="false" hidden="false" localSheetId="23" name="TaxCost" vbProcedure="false">'WG-OptSize (3)'!$AG$3:$AG$16384</definedName>
    <definedName function="false" hidden="false" localSheetId="23" name="Taxij" vbProcedure="false">'WG-OptSize (3)'!$AE$3:$AE$16384</definedName>
    <definedName function="false" hidden="false" localSheetId="23" name="Taxjj" vbProcedure="false">'WG-OptSize (3)'!$AF$3:$AF$16384</definedName>
    <definedName function="false" hidden="false" localSheetId="23" name="TaxUtility" vbProcedure="false">'WG-OptSize (3)'!$AH$3:$AH$16384</definedName>
    <definedName function="false" hidden="false" localSheetId="23" name="TaxWelfare" vbProcedure="false">'WG-OptSize (3)'!$AI$3:$AI$16384</definedName>
    <definedName function="false" hidden="false" localSheetId="23" name="Theta" vbProcedure="false">'WG-OptSize (3)'!$D$2:$D$16384</definedName>
    <definedName function="false" hidden="false" localSheetId="23" name="Toll" vbProcedure="false">'WG-OptSize (3)'!$T$3:$T$16384</definedName>
    <definedName function="false" hidden="false" localSheetId="23" name="Utility" vbProcedure="false">'WG-OptSize (3)'!$X$3:$X$16384</definedName>
    <definedName function="false" hidden="false" localSheetId="23" name="U_Size" vbProcedure="false">'WG-OptSize (3)'!$AC$3:$AC$16384</definedName>
    <definedName function="false" hidden="false" localSheetId="23" name="Welfare" vbProcedure="false">'WG-OptSize (3)'!$U$3:$U$16384</definedName>
    <definedName function="false" hidden="false" localSheetId="23" name="W_Size" vbProcedure="false">'WG-OptSize (3)'!$AA$3:$AA$16384</definedName>
    <definedName function="false" hidden="false" localSheetId="24" name="a" vbProcedure="false">'WG-OptSize-OLD'!$D$3:$D$16384</definedName>
    <definedName function="false" hidden="false" localSheetId="24" name="b" vbProcedure="false">'WG-OptSize-OLD'!$E$3:$E$16384</definedName>
    <definedName function="false" hidden="false" localSheetId="24" name="BCCIJ" vbProcedure="false">'WG-OptSize-OLD'!$J$3:$J$16384</definedName>
    <definedName function="false" hidden="false" localSheetId="24" name="BCCJJ" vbProcedure="false">'WG-OptSize-OLD'!$K$3:$K$16384</definedName>
    <definedName function="false" hidden="false" localSheetId="24" name="BCk" vbProcedure="false">'WG-OptSize-OLD'!$L$3:$L$16384</definedName>
    <definedName function="false" hidden="false" localSheetId="24" name="BCPTII" vbProcedure="false">'WG-OptSize-OLD'!$P$3:$P$16384</definedName>
    <definedName function="false" hidden="false" localSheetId="24" name="BCPTIJ" vbProcedure="false">'WG-OptSize-OLD'!$O$3:$O$16384</definedName>
    <definedName function="false" hidden="false" localSheetId="24" name="BCPTJJ" vbProcedure="false">'WG-OptSize-OLD'!$N$3:$N$16384</definedName>
    <definedName function="false" hidden="false" localSheetId="24" name="BCS" vbProcedure="false">'WG-OptSize-OLD'!$M$3:$M$16384</definedName>
    <definedName function="false" hidden="false" localSheetId="24" name="BRIJ" vbProcedure="false">'WG-OptSize-OLD'!$Q$3:$Q$16384</definedName>
    <definedName function="false" hidden="false" localSheetId="24" name="BRJJ" vbProcedure="false">'WG-OptSize-OLD'!$R$3:$R$16384</definedName>
    <definedName function="false" hidden="false" localSheetId="24" name="BUTII" vbProcedure="false">'WG-OptSize-OLD'!$I$3:$I$16384</definedName>
    <definedName function="false" hidden="false" localSheetId="24" name="BUTIJ" vbProcedure="false">'WG-OptSize-OLD'!$H$3:$H$16384</definedName>
    <definedName function="false" hidden="false" localSheetId="24" name="Cost" vbProcedure="false">'WG-OptSize-OLD'!$V$3:$V$16384</definedName>
    <definedName function="false" hidden="false" localSheetId="24" name="ea2t" vbProcedure="false">#REF!</definedName>
    <definedName function="false" hidden="false" localSheetId="24" name="eat" vbProcedure="false">#REF!</definedName>
    <definedName function="false" hidden="false" localSheetId="24" name="ii" vbProcedure="false">#REF!</definedName>
    <definedName function="false" hidden="false" localSheetId="24" name="ij" vbProcedure="false">'WG-OptSize-OLD'!$F$3:$F$16384</definedName>
    <definedName function="false" hidden="false" localSheetId="24" name="jj" vbProcedure="false">'WG-OptSize-OLD'!$G$3:$G$16384</definedName>
    <definedName function="false" hidden="false" localSheetId="24" name="OldTau" vbProcedure="false">'WG-OptSize-OLD'!$B$3:$B$16384</definedName>
    <definedName function="false" hidden="false" localSheetId="24" name="Profit" vbProcedure="false">'WG-OptSize-OLD'!$X$3:$X$16384</definedName>
    <definedName function="false" hidden="false" localSheetId="24" name="Revenue" vbProcedure="false">'WG-OptSize-OLD'!$U$3:$U$16384</definedName>
    <definedName function="false" hidden="false" localSheetId="24" name="Size" vbProcedure="false">'WG-OptSize-OLD'!$C$2:$C$16384</definedName>
    <definedName function="false" hidden="false" localSheetId="24" name="solver_adj" vbProcedure="false">'WG-OptSize-OLD'!$C$8</definedName>
    <definedName function="false" hidden="false" localSheetId="24" name="solver_lin" vbProcedure="false">0</definedName>
    <definedName function="false" hidden="false" localSheetId="24" name="solver_num" vbProcedure="false">0</definedName>
    <definedName function="false" hidden="false" localSheetId="24" name="solver_opt" vbProcedure="false">'WG-OptSize-OLD'!$Z$8</definedName>
    <definedName function="false" hidden="false" localSheetId="24" name="solver_typ" vbProcedure="false">1</definedName>
    <definedName function="false" hidden="false" localSheetId="24" name="solver_val" vbProcedure="false">0</definedName>
    <definedName function="false" hidden="false" localSheetId="24" name="Tau" vbProcedure="false">'WG-OptSize-OLD'!$A$3:$A$16384</definedName>
    <definedName function="false" hidden="false" localSheetId="24" name="TaxCost" vbProcedure="false">'WG-OptSize-OLD'!$AF$3:$AF$16384</definedName>
    <definedName function="false" hidden="false" localSheetId="24" name="Taxij" vbProcedure="false">'WG-OptSize-OLD'!$AD$3:$AD$16384</definedName>
    <definedName function="false" hidden="false" localSheetId="24" name="Taxjj" vbProcedure="false">'WG-OptSize-OLD'!$AE$3:$AE$16384</definedName>
    <definedName function="false" hidden="false" localSheetId="24" name="TaxUtility" vbProcedure="false">'WG-OptSize-OLD'!$AG$3:$AG$16384</definedName>
    <definedName function="false" hidden="false" localSheetId="24" name="TaxWelfare" vbProcedure="false">'WG-OptSize-OLD'!$AH$3:$AH$16384</definedName>
    <definedName function="false" hidden="false" localSheetId="24" name="Toll" vbProcedure="false">'WG-OptSize-OLD'!$S$3:$S$16384</definedName>
    <definedName function="false" hidden="false" localSheetId="24" name="Utility" vbProcedure="false">'WG-OptSize-OLD'!$W$3:$W$16384</definedName>
    <definedName function="false" hidden="false" localSheetId="24" name="U_Size" vbProcedure="false">'WG-OptSize-OLD'!$AB$3:$AB$16384</definedName>
    <definedName function="false" hidden="false" localSheetId="24" name="Welfare" vbProcedure="false">'WG-OptSize-OLD'!$T$3:$T$16384</definedName>
    <definedName function="false" hidden="false" localSheetId="24" name="W_Size" vbProcedure="false">'WG-OptSize-OLD'!$Z$3:$Z$16384</definedName>
    <definedName function="false" hidden="false" localSheetId="25" name="a" vbProcedure="false">'W-AlmostPerfect-Coop'!$E$2:$E$16384</definedName>
    <definedName function="false" hidden="false" localSheetId="25" name="b" vbProcedure="false">'W-AlmostPerfect-Coop'!$F$2:$F$16384</definedName>
    <definedName function="false" hidden="false" localSheetId="25" name="BCCIJ" vbProcedure="false">'W-AlmostPerfect-Coop'!$K$2:$K$16384</definedName>
    <definedName function="false" hidden="false" localSheetId="25" name="BCCJJ" vbProcedure="false">'W-AlmostPerfect-Coop'!$L$2:$L$16384</definedName>
    <definedName function="false" hidden="false" localSheetId="25" name="BCk" vbProcedure="false">'W-AlmostPerfect-Coop'!$M$2:$M$16384</definedName>
    <definedName function="false" hidden="false" localSheetId="25" name="BCPTII" vbProcedure="false">'W-AlmostPerfect-Coop'!$Q$2:$Q$16384</definedName>
    <definedName function="false" hidden="false" localSheetId="25" name="BCPTIJ" vbProcedure="false">'W-AlmostPerfect-Coop'!$P$2:$P$16384</definedName>
    <definedName function="false" hidden="false" localSheetId="25" name="BCPTJJ" vbProcedure="false">'W-AlmostPerfect-Coop'!$O$2:$O$16384</definedName>
    <definedName function="false" hidden="false" localSheetId="25" name="BCS" vbProcedure="false">'W-AlmostPerfect-Coop'!$N$2:$N$16384</definedName>
    <definedName function="false" hidden="false" localSheetId="25" name="BRIJ" vbProcedure="false">'W-AlmostPerfect-Coop'!$R$2:$R$16384</definedName>
    <definedName function="false" hidden="false" localSheetId="25" name="BRJJ" vbProcedure="false">'W-AlmostPerfect-Coop'!$S$2:$S$16384</definedName>
    <definedName function="false" hidden="false" localSheetId="25" name="BUTII" vbProcedure="false">'W-AlmostPerfect-Coop'!$J$2:$J$16384</definedName>
    <definedName function="false" hidden="false" localSheetId="25" name="BUTIJ" vbProcedure="false">'W-AlmostPerfect-Coop'!$I$2:$I$16384</definedName>
    <definedName function="false" hidden="false" localSheetId="25" name="Cost" vbProcedure="false">'W-AlmostPerfect-Coop'!$W$2:$W$16384</definedName>
    <definedName function="false" hidden="false" localSheetId="25" name="ea2t" vbProcedure="false">#REF!</definedName>
    <definedName function="false" hidden="false" localSheetId="25" name="eat" vbProcedure="false">#REF!</definedName>
    <definedName function="false" hidden="false" localSheetId="25" name="ii" vbProcedure="false">#REF!</definedName>
    <definedName function="false" hidden="false" localSheetId="25" name="ij" vbProcedure="false">'W-AlmostPerfect-Coop'!$G$2:$G$16384</definedName>
    <definedName function="false" hidden="false" localSheetId="25" name="jj" vbProcedure="false">'W-AlmostPerfect-Coop'!$H$2:$H$16384</definedName>
    <definedName function="false" hidden="false" localSheetId="25" name="OldTau" vbProcedure="false">'W-AlmostPerfect-Coop'!$C$2:$C$16384</definedName>
    <definedName function="false" hidden="false" localSheetId="25" name="Profit" vbProcedure="false">'W-AlmostPerfect-Coop'!$Y$2:$Y$16384</definedName>
    <definedName function="false" hidden="false" localSheetId="25" name="Revenue" vbProcedure="false">'W-AlmostPerfect-Coop'!$V$2:$V$16384</definedName>
    <definedName function="false" hidden="false" localSheetId="25" name="Size" vbProcedure="false">'W-AlmostPerfect-Coop'!$D$2:$D$16384</definedName>
    <definedName function="false" hidden="false" localSheetId="25" name="solver_adj" vbProcedure="false">'W-AlmostPerfect-Coop'!$B$10</definedName>
    <definedName function="false" hidden="false" localSheetId="25" name="solver_lin" vbProcedure="false">0</definedName>
    <definedName function="false" hidden="false" localSheetId="25" name="solver_num" vbProcedure="false">0</definedName>
    <definedName function="false" hidden="false" localSheetId="25" name="solver_opt" vbProcedure="false">'W-AlmostPerfect-Coop'!$AA$10</definedName>
    <definedName function="false" hidden="false" localSheetId="25" name="solver_typ" vbProcedure="false">1</definedName>
    <definedName function="false" hidden="false" localSheetId="25" name="solver_val" vbProcedure="false">0</definedName>
    <definedName function="false" hidden="false" localSheetId="25" name="Tau" vbProcedure="false">'W-AlmostPerfect-Coop'!$B$2:$B$16384</definedName>
    <definedName function="false" hidden="false" localSheetId="25" name="Toll" vbProcedure="false">'W-AlmostPerfect-Coop'!$T$2:$T$16384</definedName>
    <definedName function="false" hidden="false" localSheetId="25" name="Utility" vbProcedure="false">'W-AlmostPerfect-Coop'!$X$2:$X$16384</definedName>
    <definedName function="false" hidden="false" localSheetId="25" name="Welfare" vbProcedure="false">'W-AlmostPerfect-Coop'!$U$2:$U$16384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<sst xmlns="http://schemas.openxmlformats.org/spreadsheetml/2006/main" count="1122" uniqueCount="184">
  <si>
    <t xml:space="preserve">Values in Model</t>
  </si>
  <si>
    <t xml:space="preserve">Original</t>
  </si>
  <si>
    <t xml:space="preserve">v</t>
  </si>
  <si>
    <t xml:space="preserve">w</t>
  </si>
  <si>
    <t xml:space="preserve">y</t>
  </si>
  <si>
    <t xml:space="preserve">Beta</t>
  </si>
  <si>
    <t xml:space="preserve">Theta</t>
  </si>
  <si>
    <t xml:space="preserve">Gamma</t>
  </si>
  <si>
    <t xml:space="preserve">Phi</t>
  </si>
  <si>
    <t xml:space="preserve">alpha</t>
  </si>
  <si>
    <t xml:space="preserve">psi</t>
  </si>
  <si>
    <t xml:space="preserve">zeta</t>
  </si>
  <si>
    <t xml:space="preserve">kappa</t>
  </si>
  <si>
    <t xml:space="preserve">Tau</t>
  </si>
  <si>
    <t xml:space="preserve">OldTau</t>
  </si>
  <si>
    <t xml:space="preserve">Size</t>
  </si>
  <si>
    <t xml:space="preserve">a</t>
  </si>
  <si>
    <t xml:space="preserve">b</t>
  </si>
  <si>
    <t xml:space="preserve">ij</t>
  </si>
  <si>
    <t xml:space="preserve">jj</t>
  </si>
  <si>
    <t xml:space="preserve">BUTIJ</t>
  </si>
  <si>
    <t xml:space="preserve">BUTII</t>
  </si>
  <si>
    <t xml:space="preserve">BCCIJ</t>
  </si>
  <si>
    <t xml:space="preserve">BCCJJ</t>
  </si>
  <si>
    <t xml:space="preserve">BCk</t>
  </si>
  <si>
    <t xml:space="preserve">BCS</t>
  </si>
  <si>
    <t xml:space="preserve">BCPTJJ</t>
  </si>
  <si>
    <t xml:space="preserve">BCPTIJ</t>
  </si>
  <si>
    <t xml:space="preserve">BCPTII</t>
  </si>
  <si>
    <t xml:space="preserve">BRIJ</t>
  </si>
  <si>
    <t xml:space="preserve">BRJJ</t>
  </si>
  <si>
    <t xml:space="preserve">Toll</t>
  </si>
  <si>
    <t xml:space="preserve">Welfare</t>
  </si>
  <si>
    <t xml:space="preserve">Revenue</t>
  </si>
  <si>
    <t xml:space="preserve">Cost</t>
  </si>
  <si>
    <t xml:space="preserve">Utility</t>
  </si>
  <si>
    <t xml:space="preserve">Profit</t>
  </si>
  <si>
    <t xml:space="preserve">Size2</t>
  </si>
  <si>
    <t xml:space="preserve">W/Size</t>
  </si>
  <si>
    <t xml:space="preserve">∏/Size</t>
  </si>
  <si>
    <t xml:space="preserve">U/Size</t>
  </si>
  <si>
    <t xml:space="preserve">W-Toll/Size</t>
  </si>
  <si>
    <t xml:space="preserve">W-Tax/Size</t>
  </si>
  <si>
    <t xml:space="preserve">Ccv'</t>
  </si>
  <si>
    <t xml:space="preserve">Theta-necessary</t>
  </si>
  <si>
    <t xml:space="preserve">W-Tax(All-Tax)</t>
  </si>
  <si>
    <t xml:space="preserve">Theta-Default</t>
  </si>
  <si>
    <t xml:space="preserve">All-Tax:Theta-Necessary</t>
  </si>
  <si>
    <t xml:space="preserve">All-Toll:Theta-Necessary</t>
  </si>
  <si>
    <t xml:space="preserve">All-Tax: Toll</t>
  </si>
  <si>
    <t xml:space="preserve">All-Toll: Toll</t>
  </si>
  <si>
    <t xml:space="preserve">Welfare (TX)</t>
  </si>
  <si>
    <t xml:space="preserve">Welfare (XX)</t>
  </si>
  <si>
    <t xml:space="preserve">k-necessary</t>
  </si>
  <si>
    <t xml:space="preserve">Ratio</t>
  </si>
  <si>
    <t xml:space="preserve">Welfare (TT)</t>
  </si>
  <si>
    <t xml:space="preserve">Welfare (XT)</t>
  </si>
  <si>
    <t xml:space="preserve">k-necessary (all-tax)</t>
  </si>
  <si>
    <t xml:space="preserve">k-necessary (all-toll)</t>
  </si>
  <si>
    <t xml:space="preserve">k-empirical</t>
  </si>
  <si>
    <t xml:space="preserve">K/W (all-tax)</t>
  </si>
  <si>
    <t xml:space="preserve">K/W (all-toll)</t>
  </si>
  <si>
    <t xml:space="preserve">Welfare (TX)/size</t>
  </si>
  <si>
    <t xml:space="preserve">Welfare (XX)/Size</t>
  </si>
  <si>
    <t xml:space="preserve">Welfare (TT)/Size</t>
  </si>
  <si>
    <t xml:space="preserve">Welfare(XT)/Size</t>
  </si>
  <si>
    <t xml:space="preserve">GAME</t>
  </si>
  <si>
    <t xml:space="preserve">J1 pay</t>
  </si>
  <si>
    <t xml:space="preserve">J2 pay</t>
  </si>
  <si>
    <t xml:space="preserve">Tax Tax</t>
  </si>
  <si>
    <t xml:space="preserve">Tax Toll</t>
  </si>
  <si>
    <t xml:space="preserve">Toll Tax</t>
  </si>
  <si>
    <t xml:space="preserve">Toll Toll</t>
  </si>
  <si>
    <t xml:space="preserve">J1Tax</t>
  </si>
  <si>
    <t xml:space="preserve">J1 Toll</t>
  </si>
  <si>
    <t xml:space="preserve">Theta:All-Tax</t>
  </si>
  <si>
    <t xml:space="preserve">Theta:All-Toll</t>
  </si>
  <si>
    <t xml:space="preserve">Empirical Theta</t>
  </si>
  <si>
    <t xml:space="preserve">TX=y</t>
  </si>
  <si>
    <t xml:space="preserve">(1) (y-x)/(y-w)=(TX-XX)/(TX-TT)</t>
  </si>
  <si>
    <t xml:space="preserve">(2) (y-x)/(x-z)=(TX-XX)/(XX-XT)</t>
  </si>
  <si>
    <t xml:space="preserve">(3) (w-z)/(y-w)=(TT-XT)/(TX-TT)</t>
  </si>
  <si>
    <t xml:space="preserve">(4) (w-z)/(x-z)=(TT-XT)/(XX-XT)</t>
  </si>
  <si>
    <t xml:space="preserve">TT=w</t>
  </si>
  <si>
    <t xml:space="preserve">g</t>
  </si>
  <si>
    <t xml:space="preserve">XT=z</t>
  </si>
  <si>
    <t xml:space="preserve">h</t>
  </si>
  <si>
    <t xml:space="preserve">XX=x</t>
  </si>
  <si>
    <t xml:space="preserve">c</t>
  </si>
  <si>
    <t xml:space="preserve">Ccv-necessary</t>
  </si>
  <si>
    <t xml:space="preserve">Ccv-necessary (All-Tax)</t>
  </si>
  <si>
    <t xml:space="preserve">Ccv-necessary (All-Toll)</t>
  </si>
  <si>
    <t xml:space="preserve">Ccv (All-Tax)</t>
  </si>
  <si>
    <t xml:space="preserve">Ccv (All-Toll)</t>
  </si>
  <si>
    <t xml:space="preserve">W+CC</t>
  </si>
  <si>
    <t xml:space="preserve">Toll (All-Tax)</t>
  </si>
  <si>
    <t xml:space="preserve">Toll (All-Toll)-Noncooperative</t>
  </si>
  <si>
    <t xml:space="preserve">Toll (All-Toll)-Cooperative</t>
  </si>
  <si>
    <t xml:space="preserve">W (All-Tax)</t>
  </si>
  <si>
    <t xml:space="preserve">W (All-Toll)-Noncooperative</t>
  </si>
  <si>
    <t xml:space="preserve">W (All-Toll)-Cooperative</t>
  </si>
  <si>
    <t xml:space="preserve">ln(Toll)</t>
  </si>
  <si>
    <t xml:space="preserve">ln(Size)</t>
  </si>
  <si>
    <t xml:space="preserve">ln-model</t>
  </si>
  <si>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</si>
  <si>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</si>
  <si>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</si>
  <si>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</si>
  <si>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</si>
  <si>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</si>
  <si>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</si>
  <si>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</si>
  <si>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</si>
  <si>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</si>
  <si>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</si>
  <si>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</si>
  <si>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</si>
  <si>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</si>
  <si>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</si>
  <si>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</si>
  <si>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</si>
  <si>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</si>
  <si>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</si>
  <si>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</si>
  <si>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</si>
  <si>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</si>
  <si>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</si>
  <si>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</si>
  <si>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Uij</t>
  </si>
  <si>
    <t xml:space="preserve">CNij</t>
  </si>
  <si>
    <t xml:space="preserve">CCVij</t>
  </si>
  <si>
    <t xml:space="preserve">CCFij</t>
  </si>
  <si>
    <t xml:space="preserve">Rij</t>
  </si>
  <si>
    <t xml:space="preserve">J1</t>
  </si>
  <si>
    <t xml:space="preserve">Tax</t>
  </si>
  <si>
    <t xml:space="preserve">J0</t>
  </si>
  <si>
    <t xml:space="preserve">x</t>
  </si>
  <si>
    <t xml:space="preserve">z</t>
  </si>
  <si>
    <t xml:space="preserve">(1)</t>
  </si>
  <si>
    <t xml:space="preserve">(y-x)/(y-w)</t>
  </si>
  <si>
    <t xml:space="preserve">(2)</t>
  </si>
  <si>
    <t xml:space="preserve">(y-x)/(x-z)</t>
  </si>
  <si>
    <t xml:space="preserve">(3)</t>
  </si>
  <si>
    <t xml:space="preserve">(w-z)/(y-w)</t>
  </si>
  <si>
    <t xml:space="preserve">(4)</t>
  </si>
  <si>
    <t xml:space="preserve">(w-z)/(x-z)</t>
  </si>
  <si>
    <t xml:space="preserve">Taxij</t>
  </si>
  <si>
    <t xml:space="preserve">Taxjj</t>
  </si>
  <si>
    <t xml:space="preserve">TaxCost</t>
  </si>
  <si>
    <t xml:space="preserve">TaxUtility</t>
  </si>
  <si>
    <t xml:space="preserve">TaxWelfare</t>
  </si>
  <si>
    <t xml:space="preserve">TW/Size</t>
  </si>
  <si>
    <t xml:space="preserve">Default Variable Costs, No Fixed Costs</t>
  </si>
  <si>
    <t xml:space="preserve">0 Variable Costs, Default Fixed Costs 90</t>
  </si>
  <si>
    <t xml:space="preserve">No VC, Fixed =45</t>
  </si>
  <si>
    <t xml:space="preserve">NO Collection Costs</t>
  </si>
  <si>
    <t xml:space="preserve">Summary Table (Welfare/Size)</t>
  </si>
  <si>
    <t xml:space="preserve">CCF=kappa</t>
  </si>
  <si>
    <t xml:space="preserve">CCF=0</t>
  </si>
  <si>
    <t xml:space="preserve">CCF=60</t>
  </si>
  <si>
    <t xml:space="preserve">CCF=45</t>
  </si>
  <si>
    <t xml:space="preserve">CCF=30</t>
  </si>
  <si>
    <t xml:space="preserve">Space</t>
  </si>
  <si>
    <t xml:space="preserve">CCV=Theta</t>
  </si>
  <si>
    <t xml:space="preserve">CCV=0</t>
  </si>
  <si>
    <t xml:space="preserve">[90, 0.08]</t>
  </si>
  <si>
    <t xml:space="preserve">[0, 0.08]</t>
  </si>
  <si>
    <t xml:space="preserve">[90, 0]</t>
  </si>
  <si>
    <t xml:space="preserve">[60, 0]</t>
  </si>
  <si>
    <t xml:space="preserve">[45, 0]</t>
  </si>
  <si>
    <t xml:space="preserve">[30, 0]</t>
  </si>
  <si>
    <t xml:space="preserve">[0, 0]</t>
  </si>
  <si>
    <t xml:space="preserve">ln (Size)</t>
  </si>
  <si>
    <t xml:space="preserve">Variable</t>
  </si>
  <si>
    <t xml:space="preserve">Fixed</t>
  </si>
  <si>
    <t xml:space="preserve">Fixed Collection Cost</t>
  </si>
  <si>
    <t xml:space="preserve">Theta=0</t>
  </si>
  <si>
    <t xml:space="preserve">Toll/km</t>
  </si>
  <si>
    <t xml:space="preserve">Sizex</t>
  </si>
  <si>
    <t xml:space="preserve">W-"Perfect Toll"</t>
  </si>
  <si>
    <t xml:space="preserve">W-Odometer Tax</t>
  </si>
  <si>
    <t xml:space="preserve">Odometer Tax</t>
  </si>
  <si>
    <t xml:space="preserve">Toll/Size ($/km)</t>
  </si>
  <si>
    <t xml:space="preserve">Toll ($/Crossing)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</si>
</sst>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00"/>
    <numFmt numFmtId="166" formatCode="0.000"/>
    <numFmt numFmtId="167" formatCode="0"/>
    <numFmt numFmtId="168" formatCode="0.00"/>
    <numFmt numFmtId="169" formatCode="0.00000"/>
    <numFmt numFmtId="170" formatCode="0.0000"/>
    <numFmt numFmtId="171" formatCode="0.0"/>
    <numFmt numFmtId="172" formatCode="0.00E+00"/>
  </numFmts>
  <fonts count="18">
    <font>
      <sz val="10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sz val="14"/>
      <name val="Geneva"/>
      <family val="0"/>
    </font>
    <font>
      <b val="true"/>
      <sz val="14"/>
      <name val="Geneva"/>
      <family val="2"/>
    </font>
    <font>
      <b val="true"/>
      <sz val="9"/>
      <name val="Geneva"/>
      <family val="2"/>
    </font>
    <font>
      <sz val="14"/>
      <name val="Arial"/>
      <family val="0"/>
    </font>
    <font>
      <b val="true"/>
      <sz val="10"/>
      <name val="Geneva"/>
      <family val="0"/>
    </font>
    <font>
      <b val="true"/>
      <sz val="12"/>
      <name val="Geneva"/>
      <family val="2"/>
    </font>
    <font>
      <sz val="10"/>
      <color rgb="FF000000"/>
      <name val="Geneva"/>
      <family val="0"/>
    </font>
    <font>
      <b val="true"/>
      <sz val="14"/>
      <color rgb="FF000000"/>
      <name val="Geneva"/>
      <family val="2"/>
    </font>
    <font>
      <i val="true"/>
      <sz val="10"/>
      <name val="Geneva"/>
      <family val="0"/>
    </font>
    <font>
      <sz val="14"/>
      <name val="Symbol"/>
      <family val="0"/>
    </font>
    <font>
      <b val="true"/>
      <sz val="9"/>
      <name val="Symbo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FB71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openxmlformats.org/officeDocument/2006/relationships/chartUserShapes" Target="../drawings/drawing3.xml"/><Relationship Id="rId2" Type="http://schemas.microsoft.com/office/2011/relationships/chartStyle" Target="style2.xml"/><Relationship Id="rId3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5.xml"/><Relationship Id="rId2" Type="http://schemas.microsoft.com/office/2011/relationships/chartStyle" Target="style4.xml"/><Relationship Id="rId3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openxmlformats.org/officeDocument/2006/relationships/chartUserShapes" Target="../drawings/drawing7.xml"/><Relationship Id="rId2" Type="http://schemas.microsoft.com/office/2011/relationships/chartStyle" Target="style5.xml"/><Relationship Id="rId3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openxmlformats.org/officeDocument/2006/relationships/chartUserShapes" Target="../drawings/drawing9.xml"/><Relationship Id="rId2" Type="http://schemas.microsoft.com/office/2011/relationships/chartStyle" Target="style6.xml"/><Relationship Id="rId3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openxmlformats.org/officeDocument/2006/relationships/chartUserShapes" Target="../drawings/drawing11.xml"/><Relationship Id="rId2" Type="http://schemas.microsoft.com/office/2011/relationships/chartStyle" Target="style8.xml"/><Relationship Id="rId3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openxmlformats.org/officeDocument/2006/relationships/chartUserShapes" Target="../drawings/drawing13.xml"/><Relationship Id="rId2" Type="http://schemas.microsoft.com/office/2011/relationships/chartStyle" Target="style9.xml"/><Relationship Id="rId3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openxmlformats.org/officeDocument/2006/relationships/chartUserShapes" Target="../drawings/drawing15.xml"/><Relationship Id="rId2" Type="http://schemas.microsoft.com/office/2011/relationships/chartStyle" Target="style10.xml"/><Relationship Id="rId3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openxmlformats.org/officeDocument/2006/relationships/chartUserShapes" Target="../drawings/drawing17.xml"/><Relationship Id="rId2" Type="http://schemas.microsoft.com/office/2011/relationships/chartStyle" Target="style12.xml"/><Relationship Id="rId3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openxmlformats.org/officeDocument/2006/relationships/chartUserShapes" Target="../drawings/drawing19.xml"/><Relationship Id="rId2" Type="http://schemas.microsoft.com/office/2011/relationships/chartStyle" Target="style14.xml"/><Relationship Id="rId3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openxmlformats.org/officeDocument/2006/relationships/chartUserShapes" Target="../drawings/drawing20.xml"/><Relationship Id="rId2" Type="http://schemas.microsoft.com/office/2011/relationships/chartStyle" Target="style15.xml"/><Relationship Id="rId3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openxmlformats.org/officeDocument/2006/relationships/chartUserShapes" Target="../drawings/drawing22.xml"/><Relationship Id="rId2" Type="http://schemas.microsoft.com/office/2011/relationships/chartStyle" Target="style16.xml"/><Relationship Id="rId3" Type="http://schemas.microsoft.com/office/2011/relationships/chartColorStyle" Target="colors16.xml"/>
</Relationships>
</file>

<file path=xl/charts/_rels/chart17.xml.rels><?xml version="1.0" encoding="UTF-8"?>
<Relationships xmlns="http://schemas.openxmlformats.org/package/2006/relationships"><Relationship Id="rId1" Type="http://schemas.openxmlformats.org/officeDocument/2006/relationships/chartUserShapes" Target="../drawings/drawing23.xml"/><Relationship Id="rId2" Type="http://schemas.microsoft.com/office/2011/relationships/chartStyle" Target="style17.xml"/><Relationship Id="rId3" Type="http://schemas.microsoft.com/office/2011/relationships/chartColorStyle" Target="colors17.xml"/>
</Relationships>
</file>

<file path=xl/charts/_rels/chart18.xml.rels><?xml version="1.0" encoding="UTF-8"?>
<Relationships xmlns="http://schemas.openxmlformats.org/package/2006/relationships"><Relationship Id="rId1" Type="http://schemas.openxmlformats.org/officeDocument/2006/relationships/chartUserShapes" Target="../drawings/drawing25.xml"/><Relationship Id="rId2" Type="http://schemas.microsoft.com/office/2011/relationships/chartStyle" Target="style18.xml"/><Relationship Id="rId3" Type="http://schemas.microsoft.com/office/2011/relationships/chartColorStyle" Target="colors18.xml"/>
</Relationships>
</file>

<file path=xl/charts/_rels/chart19.xml.rels><?xml version="1.0" encoding="UTF-8"?>
<Relationships xmlns="http://schemas.openxmlformats.org/package/2006/relationships"><Relationship Id="rId1" Type="http://schemas.openxmlformats.org/officeDocument/2006/relationships/chartUserShapes" Target="../drawings/drawing26.xml"/><Relationship Id="rId2" Type="http://schemas.microsoft.com/office/2011/relationships/chartStyle" Target="style19.xml"/><Relationship Id="rId3" Type="http://schemas.microsoft.com/office/2011/relationships/chartColorStyle" Target="colors19.xml"/>
</Relationships>
</file>

<file path=xl/charts/_rels/chart20.xml.rels><?xml version="1.0" encoding="UTF-8"?>
<Relationships xmlns="http://schemas.openxmlformats.org/package/2006/relationships"><Relationship Id="rId1" Type="http://schemas.openxmlformats.org/officeDocument/2006/relationships/chartUserShapes" Target="../drawings/drawing28.xml"/><Relationship Id="rId2" Type="http://schemas.microsoft.com/office/2011/relationships/chartStyle" Target="style20.xml"/><Relationship Id="rId3" Type="http://schemas.microsoft.com/office/2011/relationships/chartColorStyle" Target="colors20.xml"/>
</Relationships>
</file>

<file path=xl/charts/_rels/chart21.xml.rels><?xml version="1.0" encoding="UTF-8"?>
<Relationships xmlns="http://schemas.openxmlformats.org/package/2006/relationships"><Relationship Id="rId1" Type="http://schemas.microsoft.com/office/2011/relationships/chartStyle" Target="style21.xml"/><Relationship Id="rId2" Type="http://schemas.microsoft.com/office/2011/relationships/chartColorStyle" Target="colors21.xml"/>
</Relationships>
</file>

<file path=xl/charts/_rels/chart22.xml.rels><?xml version="1.0" encoding="UTF-8"?>
<Relationships xmlns="http://schemas.openxmlformats.org/package/2006/relationships"><Relationship Id="rId1" Type="http://schemas.microsoft.com/office/2011/relationships/chartStyle" Target="style22.xml"/><Relationship Id="rId2" Type="http://schemas.microsoft.com/office/2011/relationships/chartColorStyle" Target="colors22.xml"/>
</Relationships>
</file>

<file path=xl/charts/_rels/chart23.xml.rels><?xml version="1.0" encoding="UTF-8"?>
<Relationships xmlns="http://schemas.openxmlformats.org/package/2006/relationships"><Relationship Id="rId1" Type="http://schemas.openxmlformats.org/officeDocument/2006/relationships/chartUserShapes" Target="../drawings/drawing30.xml"/><Relationship Id="rId2" Type="http://schemas.microsoft.com/office/2011/relationships/chartStyle" Target="style23.xml"/><Relationship Id="rId3" Type="http://schemas.microsoft.com/office/2011/relationships/chartColorStyle" Target="colors23.xml"/>
</Relationships>
</file>

<file path=xl/charts/_rels/chart24.xml.rels><?xml version="1.0" encoding="UTF-8"?>
<Relationships xmlns="http://schemas.openxmlformats.org/package/2006/relationships"><Relationship Id="rId1" Type="http://schemas.openxmlformats.org/officeDocument/2006/relationships/chartUserShapes" Target="../drawings/drawing32.xml"/><Relationship Id="rId2" Type="http://schemas.microsoft.com/office/2011/relationships/chartStyle" Target="style24.xml"/><Relationship Id="rId3" Type="http://schemas.microsoft.com/office/2011/relationships/chartColorStyle" Target="colors24.xml"/>
</Relationships>
</file>

<file path=xl/charts/_rels/chart25.xml.rels><?xml version="1.0" encoding="UTF-8"?>
<Relationships xmlns="http://schemas.openxmlformats.org/package/2006/relationships"><Relationship Id="rId1" Type="http://schemas.microsoft.com/office/2011/relationships/chartStyle" Target="style25.xml"/><Relationship Id="rId2" Type="http://schemas.microsoft.com/office/2011/relationships/chartColorStyle" Target="colors25.xml"/>
</Relationships>
</file>

<file path=xl/charts/_rels/chart26.xml.rels><?xml version="1.0" encoding="UTF-8"?>
<Relationships xmlns="http://schemas.openxmlformats.org/package/2006/relationships"><Relationship Id="rId1" Type="http://schemas.microsoft.com/office/2011/relationships/chartStyle" Target="style26.xml"/><Relationship Id="rId2" Type="http://schemas.microsoft.com/office/2011/relationships/chartColorStyle" Target="colors26.xml"/>
</Relationships>
</file>

<file path=xl/charts/_rels/chart27.xml.rels><?xml version="1.0" encoding="UTF-8"?>
<Relationships xmlns="http://schemas.openxmlformats.org/package/2006/relationships"><Relationship Id="rId1" Type="http://schemas.openxmlformats.org/officeDocument/2006/relationships/chartUserShapes" Target="../drawings/drawing36.xml"/><Relationship Id="rId2" Type="http://schemas.microsoft.com/office/2011/relationships/chartStyle" Target="style27.xml"/><Relationship Id="rId3" Type="http://schemas.microsoft.com/office/2011/relationships/chartColorStyle" Target="colors27.xml"/>
</Relationships>
</file>

<file path=xl/charts/_rels/chart28.xml.rels><?xml version="1.0" encoding="UTF-8"?>
<Relationships xmlns="http://schemas.openxmlformats.org/package/2006/relationships"><Relationship Id="rId1" Type="http://schemas.openxmlformats.org/officeDocument/2006/relationships/chartUserShapes" Target="../drawings/drawing37.xml"/><Relationship Id="rId2" Type="http://schemas.microsoft.com/office/2011/relationships/chartStyle" Target="style28.xml"/><Relationship Id="rId3" Type="http://schemas.microsoft.com/office/2011/relationships/chartColorStyle" Target="colors28.xml"/>
</Relationships>
</file>

<file path=xl/charts/_rels/chart29.xml.rels><?xml version="1.0" encoding="UTF-8"?>
<Relationships xmlns="http://schemas.openxmlformats.org/package/2006/relationships"><Relationship Id="rId1" Type="http://schemas.openxmlformats.org/officeDocument/2006/relationships/chartUserShapes" Target="../drawings/drawing38.xml"/><Relationship Id="rId2" Type="http://schemas.microsoft.com/office/2011/relationships/chartStyle" Target="style29.xml"/><Relationship Id="rId3" Type="http://schemas.microsoft.com/office/2011/relationships/chartColorStyle" Target="colors29.xml"/>
</Relationships>
</file>

<file path=xl/charts/_rels/chart30.xml.rels><?xml version="1.0" encoding="UTF-8"?>
<Relationships xmlns="http://schemas.openxmlformats.org/package/2006/relationships"><Relationship Id="rId1" Type="http://schemas.openxmlformats.org/officeDocument/2006/relationships/chartUserShapes" Target="../drawings/drawing39.xml"/><Relationship Id="rId2" Type="http://schemas.microsoft.com/office/2011/relationships/chartStyle" Target="style30.xml"/><Relationship Id="rId3" Type="http://schemas.microsoft.com/office/2011/relationships/chartColorStyle" Target="colors3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Welfare vs. 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08035360117867"/>
          <c:y val="0.163452076362921"/>
          <c:w val="0.795149317164391"/>
          <c:h val="0.7519189135996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'W-Tax(All-Tax)'!$Z$1</c:f>
              <c:strCache>
                <c:ptCount val="1"/>
                <c:pt idx="0">
                  <c:v>W/Size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'W-Tax(All-Tax)'!$Y$2:$Y$11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'W-Tax(All-Tax)'!$Z$2:$Z$11</c:f>
              <c:numCache>
                <c:formatCode>0.00</c:formatCode>
                <c:ptCount val="10"/>
                <c:pt idx="0">
                  <c:v>308.660962030988</c:v>
                </c:pt>
                <c:pt idx="1">
                  <c:v>308.660962030988</c:v>
                </c:pt>
                <c:pt idx="2">
                  <c:v>308.660962030988</c:v>
                </c:pt>
                <c:pt idx="3">
                  <c:v>308.660962030988</c:v>
                </c:pt>
                <c:pt idx="4">
                  <c:v>308.660962030988</c:v>
                </c:pt>
                <c:pt idx="5">
                  <c:v>308.660962030988</c:v>
                </c:pt>
                <c:pt idx="6">
                  <c:v>308.660962030988</c:v>
                </c:pt>
                <c:pt idx="7">
                  <c:v>308.660962030988</c:v>
                </c:pt>
                <c:pt idx="8">
                  <c:v>308.660962030988</c:v>
                </c:pt>
                <c:pt idx="9">
                  <c:v>308.660962030988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'W-Tax(All-Tax)'!$AA$1</c:f>
              <c:strCache>
                <c:ptCount val="1"/>
                <c:pt idx="0">
                  <c:v>∏/Size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'W-Tax(All-Tax)'!$Y$2:$Y$11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'W-Tax(All-Tax)'!$AA$2:$AA$11</c:f>
              <c:numCache>
                <c:formatCode>0.00</c:formatCode>
                <c:ptCount val="10"/>
                <c:pt idx="0">
                  <c:v>-42.0901311860437</c:v>
                </c:pt>
                <c:pt idx="1">
                  <c:v>-42.0901311860438</c:v>
                </c:pt>
                <c:pt idx="2">
                  <c:v>-42.0901311860438</c:v>
                </c:pt>
                <c:pt idx="3">
                  <c:v>-42.0901311860438</c:v>
                </c:pt>
                <c:pt idx="4">
                  <c:v>-42.0901311860438</c:v>
                </c:pt>
                <c:pt idx="5">
                  <c:v>-42.0901311860438</c:v>
                </c:pt>
                <c:pt idx="6">
                  <c:v>-42.0901311860438</c:v>
                </c:pt>
                <c:pt idx="7">
                  <c:v>-42.0901311860438</c:v>
                </c:pt>
                <c:pt idx="8">
                  <c:v>-42.0901311860438</c:v>
                </c:pt>
                <c:pt idx="9">
                  <c:v>-42.0901311860438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'W-Tax(All-Tax)'!$AB$1</c:f>
              <c:strCache>
                <c:ptCount val="1"/>
                <c:pt idx="0">
                  <c:v>U/Size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'W-Tax(All-Tax)'!$Y$2:$Y$11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'W-Tax(All-Tax)'!$AB$2:$AB$11</c:f>
              <c:numCache>
                <c:formatCode>0.00</c:formatCode>
                <c:ptCount val="10"/>
                <c:pt idx="0">
                  <c:v>350.751093217031</c:v>
                </c:pt>
                <c:pt idx="1">
                  <c:v>350.751093217031</c:v>
                </c:pt>
                <c:pt idx="2">
                  <c:v>350.751093217031</c:v>
                </c:pt>
                <c:pt idx="3">
                  <c:v>350.751093217031</c:v>
                </c:pt>
                <c:pt idx="4">
                  <c:v>350.751093217031</c:v>
                </c:pt>
                <c:pt idx="5">
                  <c:v>350.751093217031</c:v>
                </c:pt>
                <c:pt idx="6">
                  <c:v>350.751093217031</c:v>
                </c:pt>
                <c:pt idx="7">
                  <c:v>350.751093217031</c:v>
                </c:pt>
                <c:pt idx="8">
                  <c:v>350.751093217031</c:v>
                </c:pt>
                <c:pt idx="9">
                  <c:v>350.751093217031</c:v>
                </c:pt>
              </c:numCache>
            </c:numRef>
          </c:yVal>
          <c:smooth val="0"/>
        </c:ser>
        <c:axId val="15729338"/>
        <c:axId val="52269401"/>
      </c:scatterChart>
      <c:valAx>
        <c:axId val="15729338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2269401"/>
        <c:crossesAt val="0"/>
        <c:crossBetween val="midCat"/>
      </c:valAx>
      <c:valAx>
        <c:axId val="52269401"/>
        <c:scaling>
          <c:orientation val="minMax"/>
          <c:max val="500"/>
          <c:min val="-1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(W*, ∏*, U*)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5729338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56859522865076"/>
          <c:y val="0.4546349143869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Geneva"/>
              </a:rPr>
              <a:t>Welfare in 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at Welfare Maximizing Tolls  vs. Jurisdiction Size In All-Tax Environment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08035360117867"/>
          <c:y val="0.154890769533556"/>
          <c:w val="0.885249617498725"/>
          <c:h val="0.7165912222003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'W-Toll(All-Tax)'!$Z$1</c:f>
              <c:strCache>
                <c:ptCount val="1"/>
                <c:pt idx="0">
                  <c:v>W-Toll/Size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'W-Toll(All-Tax)'!$Z$2:$Z$11</c:f>
              <c:numCache>
                <c:formatCode>0.00</c:formatCode>
                <c:ptCount val="10"/>
                <c:pt idx="0">
                  <c:v>916.113316207213</c:v>
                </c:pt>
                <c:pt idx="1">
                  <c:v>597.677184951796</c:v>
                </c:pt>
                <c:pt idx="2">
                  <c:v>412.169030434292</c:v>
                </c:pt>
                <c:pt idx="3">
                  <c:v>355.851348207362</c:v>
                </c:pt>
                <c:pt idx="4">
                  <c:v>331.327180222336</c:v>
                </c:pt>
                <c:pt idx="5">
                  <c:v>317.761588934224</c:v>
                </c:pt>
                <c:pt idx="6">
                  <c:v>313.213282321765</c:v>
                </c:pt>
                <c:pt idx="7">
                  <c:v>310.937123548173</c:v>
                </c:pt>
                <c:pt idx="8">
                  <c:v>309.571425629486</c:v>
                </c:pt>
                <c:pt idx="9">
                  <c:v>309.116193830237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'W-Toll(All-Tax)'!$AA$1</c:f>
              <c:strCache>
                <c:ptCount val="1"/>
                <c:pt idx="0">
                  <c:v>∏/Size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'W-Toll(All-Tax)'!$AA$2:$AA$11</c:f>
              <c:numCache>
                <c:formatCode>0.00</c:formatCode>
                <c:ptCount val="10"/>
                <c:pt idx="0">
                  <c:v>710.337541484332</c:v>
                </c:pt>
                <c:pt idx="1">
                  <c:v>383.279680333796</c:v>
                </c:pt>
                <c:pt idx="2">
                  <c:v>175.719783826982</c:v>
                </c:pt>
                <c:pt idx="3">
                  <c:v>92.2366873114394</c:v>
                </c:pt>
                <c:pt idx="4">
                  <c:v>35.6749945932099</c:v>
                </c:pt>
                <c:pt idx="5">
                  <c:v>-9.46676674387239</c:v>
                </c:pt>
                <c:pt idx="6">
                  <c:v>-25.7662615645884</c:v>
                </c:pt>
                <c:pt idx="7">
                  <c:v>-33.9281890986771</c:v>
                </c:pt>
                <c:pt idx="8">
                  <c:v>-38.8238273852735</c:v>
                </c:pt>
                <c:pt idx="9">
                  <c:v>-40.4569792856586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'W-Toll(All-Tax)'!$AB$1</c:f>
              <c:strCache>
                <c:ptCount val="1"/>
                <c:pt idx="0">
                  <c:v>U/Size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'W-Toll(All-Tax)'!$AB$2:$AB$11</c:f>
              <c:numCache>
                <c:formatCode>0.00</c:formatCode>
                <c:ptCount val="10"/>
                <c:pt idx="0">
                  <c:v>205.775774722881</c:v>
                </c:pt>
                <c:pt idx="1">
                  <c:v>214.397504617999</c:v>
                </c:pt>
                <c:pt idx="2">
                  <c:v>236.44924660731</c:v>
                </c:pt>
                <c:pt idx="3">
                  <c:v>263.614660895923</c:v>
                </c:pt>
                <c:pt idx="4">
                  <c:v>295.652185629126</c:v>
                </c:pt>
                <c:pt idx="5">
                  <c:v>327.228355678096</c:v>
                </c:pt>
                <c:pt idx="6">
                  <c:v>338.979543886354</c:v>
                </c:pt>
                <c:pt idx="7">
                  <c:v>344.86531264685</c:v>
                </c:pt>
                <c:pt idx="8">
                  <c:v>348.39525301476</c:v>
                </c:pt>
                <c:pt idx="9">
                  <c:v>349.573173115896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'W-Toll(All-Tax)'!$AC$1</c:f>
              <c:strCache>
                <c:ptCount val="1"/>
                <c:pt idx="0">
                  <c:v>W-Tax/Size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'W-Toll(All-Tax)'!$AC$2:$AC$11</c:f>
              <c:numCache>
                <c:formatCode>General</c:formatCode>
                <c:ptCount val="10"/>
                <c:pt idx="0">
                  <c:v>308.660962030988</c:v>
                </c:pt>
                <c:pt idx="1">
                  <c:v>308.660962030988</c:v>
                </c:pt>
                <c:pt idx="2">
                  <c:v>308.660962030988</c:v>
                </c:pt>
                <c:pt idx="3">
                  <c:v>308.660962030988</c:v>
                </c:pt>
                <c:pt idx="4">
                  <c:v>308.660962030988</c:v>
                </c:pt>
                <c:pt idx="5">
                  <c:v>308.660962030988</c:v>
                </c:pt>
                <c:pt idx="6">
                  <c:v>308.660962030988</c:v>
                </c:pt>
                <c:pt idx="7">
                  <c:v>308.660962030988</c:v>
                </c:pt>
                <c:pt idx="8">
                  <c:v>308.660962030988</c:v>
                </c:pt>
                <c:pt idx="9">
                  <c:v>308.660962030988</c:v>
                </c:pt>
              </c:numCache>
            </c:numRef>
          </c:yVal>
          <c:smooth val="0"/>
        </c:ser>
        <c:axId val="47401162"/>
        <c:axId val="29789217"/>
      </c:scatterChart>
      <c:valAx>
        <c:axId val="47401162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9789217"/>
        <c:crossesAt val="0"/>
        <c:crossBetween val="midCat"/>
      </c:valAx>
      <c:valAx>
        <c:axId val="29789217"/>
        <c:scaling>
          <c:orientation val="minMax"/>
          <c:max val="500"/>
          <c:min val="-1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(W*, ∏*, U*) ($/km)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7401162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71887572958577"/>
          <c:y val="0.91783113560322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337092731829574"/>
          <c:y val="0.135681341719078"/>
          <c:w val="0.914160401002506"/>
          <c:h val="0.754381551362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'W-Toll(All-Tax)'!$Z$1</c:f>
              <c:strCache>
                <c:ptCount val="1"/>
                <c:pt idx="0">
                  <c:v>W-Toll/Size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'W-Toll(All-Tax)'!$Z$2:$Z$11</c:f>
              <c:numCache>
                <c:formatCode>0.00</c:formatCode>
                <c:ptCount val="10"/>
                <c:pt idx="0">
                  <c:v>916.113316207213</c:v>
                </c:pt>
                <c:pt idx="1">
                  <c:v>597.677184951796</c:v>
                </c:pt>
                <c:pt idx="2">
                  <c:v>412.169030434292</c:v>
                </c:pt>
                <c:pt idx="3">
                  <c:v>355.851348207362</c:v>
                </c:pt>
                <c:pt idx="4">
                  <c:v>331.327180222336</c:v>
                </c:pt>
                <c:pt idx="5">
                  <c:v>317.761588934224</c:v>
                </c:pt>
                <c:pt idx="6">
                  <c:v>313.213282321765</c:v>
                </c:pt>
                <c:pt idx="7">
                  <c:v>310.937123548173</c:v>
                </c:pt>
                <c:pt idx="8">
                  <c:v>309.571425629486</c:v>
                </c:pt>
                <c:pt idx="9">
                  <c:v>309.116193830237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'W-Toll(All-Tax)'!$AA$1</c:f>
              <c:strCache>
                <c:ptCount val="1"/>
                <c:pt idx="0">
                  <c:v>∏/Size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'W-Toll(All-Tax)'!$AA$2:$AA$11</c:f>
              <c:numCache>
                <c:formatCode>0.00</c:formatCode>
                <c:ptCount val="10"/>
                <c:pt idx="0">
                  <c:v>710.337541484332</c:v>
                </c:pt>
                <c:pt idx="1">
                  <c:v>383.279680333796</c:v>
                </c:pt>
                <c:pt idx="2">
                  <c:v>175.719783826982</c:v>
                </c:pt>
                <c:pt idx="3">
                  <c:v>92.2366873114394</c:v>
                </c:pt>
                <c:pt idx="4">
                  <c:v>35.6749945932099</c:v>
                </c:pt>
                <c:pt idx="5">
                  <c:v>-9.46676674387239</c:v>
                </c:pt>
                <c:pt idx="6">
                  <c:v>-25.7662615645884</c:v>
                </c:pt>
                <c:pt idx="7">
                  <c:v>-33.9281890986771</c:v>
                </c:pt>
                <c:pt idx="8">
                  <c:v>-38.8238273852735</c:v>
                </c:pt>
                <c:pt idx="9">
                  <c:v>-40.4569792856586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'W-Toll(All-Tax)'!$AB$1</c:f>
              <c:strCache>
                <c:ptCount val="1"/>
                <c:pt idx="0">
                  <c:v>U/Size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'W-Toll(All-Tax)'!$AB$2:$AB$11</c:f>
              <c:numCache>
                <c:formatCode>0.00</c:formatCode>
                <c:ptCount val="10"/>
                <c:pt idx="0">
                  <c:v>205.775774722881</c:v>
                </c:pt>
                <c:pt idx="1">
                  <c:v>214.397504617999</c:v>
                </c:pt>
                <c:pt idx="2">
                  <c:v>236.44924660731</c:v>
                </c:pt>
                <c:pt idx="3">
                  <c:v>263.614660895923</c:v>
                </c:pt>
                <c:pt idx="4">
                  <c:v>295.652185629126</c:v>
                </c:pt>
                <c:pt idx="5">
                  <c:v>327.228355678096</c:v>
                </c:pt>
                <c:pt idx="6">
                  <c:v>338.979543886354</c:v>
                </c:pt>
                <c:pt idx="7">
                  <c:v>344.86531264685</c:v>
                </c:pt>
                <c:pt idx="8">
                  <c:v>348.39525301476</c:v>
                </c:pt>
                <c:pt idx="9">
                  <c:v>349.573173115896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'W-Toll(All-Tax)'!$AC$1</c:f>
              <c:strCache>
                <c:ptCount val="1"/>
                <c:pt idx="0">
                  <c:v>W-Tax/Size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'W-Toll(All-Tax)'!$Y$2:$Y$11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'W-Toll(All-Tax)'!$AC$2:$AC$11</c:f>
              <c:numCache>
                <c:formatCode>General</c:formatCode>
                <c:ptCount val="10"/>
                <c:pt idx="0">
                  <c:v>308.660962030988</c:v>
                </c:pt>
                <c:pt idx="1">
                  <c:v>308.660962030988</c:v>
                </c:pt>
                <c:pt idx="2">
                  <c:v>308.660962030988</c:v>
                </c:pt>
                <c:pt idx="3">
                  <c:v>308.660962030988</c:v>
                </c:pt>
                <c:pt idx="4">
                  <c:v>308.660962030988</c:v>
                </c:pt>
                <c:pt idx="5">
                  <c:v>308.660962030988</c:v>
                </c:pt>
                <c:pt idx="6">
                  <c:v>308.660962030988</c:v>
                </c:pt>
                <c:pt idx="7">
                  <c:v>308.660962030988</c:v>
                </c:pt>
                <c:pt idx="8">
                  <c:v>308.660962030988</c:v>
                </c:pt>
                <c:pt idx="9">
                  <c:v>308.660962030988</c:v>
                </c:pt>
              </c:numCache>
            </c:numRef>
          </c:yVal>
          <c:smooth val="0"/>
        </c:ser>
        <c:axId val="71105679"/>
        <c:axId val="19216116"/>
      </c:scatterChart>
      <c:valAx>
        <c:axId val="71105679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9216116"/>
        <c:crossesAt val="0"/>
        <c:crossBetween val="midCat"/>
      </c:valAx>
      <c:valAx>
        <c:axId val="19216116"/>
        <c:scaling>
          <c:orientation val="minMax"/>
          <c:max val="500"/>
          <c:min val="-1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(W*, ∏*, U*) ($/km)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1105679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27694235588972"/>
          <c:y val="0.929895178197065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Welfare vs. 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08035360117867"/>
          <c:y val="0.163452076362921"/>
          <c:w val="0.795149317164391"/>
          <c:h val="0.7519189135996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'W-Tax(All-Toll)-NONC'!$Z$1</c:f>
              <c:strCache>
                <c:ptCount val="1"/>
                <c:pt idx="0">
                  <c:v>W/Size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'W-Tax(All-Toll)-NONC'!$Y$2:$Y$11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'W-Tax(All-Toll)-NONC'!$Z$2:$Z$11</c:f>
              <c:numCache>
                <c:formatCode>0.00</c:formatCode>
                <c:ptCount val="10"/>
                <c:pt idx="0">
                  <c:v>-40.8946620296133</c:v>
                </c:pt>
                <c:pt idx="1">
                  <c:v>41.3310071998244</c:v>
                </c:pt>
                <c:pt idx="2">
                  <c:v>138.974275891977</c:v>
                </c:pt>
                <c:pt idx="3">
                  <c:v>204.035234973293</c:v>
                </c:pt>
                <c:pt idx="4">
                  <c:v>251.354652613951</c:v>
                </c:pt>
                <c:pt idx="5">
                  <c:v>285.257231391403</c:v>
                </c:pt>
                <c:pt idx="6">
                  <c:v>296.956681355566</c:v>
                </c:pt>
                <c:pt idx="7">
                  <c:v>302.806529230423</c:v>
                </c:pt>
                <c:pt idx="8">
                  <c:v>306.319188910762</c:v>
                </c:pt>
                <c:pt idx="9">
                  <c:v>307.490075470874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'W-Tax(All-Toll)-NONC'!$AA$1</c:f>
              <c:strCache>
                <c:ptCount val="1"/>
                <c:pt idx="0">
                  <c:v>∏/Size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'W-Tax(All-Toll)-NONC'!$Y$2:$Y$11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'W-Tax(All-Toll)-NONC'!$AA$2:$AA$11</c:f>
              <c:numCache>
                <c:formatCode>0.00</c:formatCode>
                <c:ptCount val="10"/>
                <c:pt idx="0">
                  <c:v>-100.192594319786</c:v>
                </c:pt>
                <c:pt idx="1">
                  <c:v>-62.1008545545184</c:v>
                </c:pt>
                <c:pt idx="2">
                  <c:v>-46.0666954897397</c:v>
                </c:pt>
                <c:pt idx="3">
                  <c:v>-43.4316909689394</c:v>
                </c:pt>
                <c:pt idx="4">
                  <c:v>-42.300760996385</c:v>
                </c:pt>
                <c:pt idx="5">
                  <c:v>-41.9634303318979</c:v>
                </c:pt>
                <c:pt idx="6">
                  <c:v>-42.0228563941681</c:v>
                </c:pt>
                <c:pt idx="7">
                  <c:v>-42.0549634809312</c:v>
                </c:pt>
                <c:pt idx="8">
                  <c:v>-42.0760641039987</c:v>
                </c:pt>
                <c:pt idx="9">
                  <c:v>-42.0830976450208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'W-Tax(All-Toll)-NONC'!$AB$1</c:f>
              <c:strCache>
                <c:ptCount val="1"/>
                <c:pt idx="0">
                  <c:v>U/Size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'W-Tax(All-Toll)-NONC'!$Y$2:$Y$11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'W-Tax(All-Toll)-NONC'!$AB$2:$AB$11</c:f>
              <c:numCache>
                <c:formatCode>0.00</c:formatCode>
                <c:ptCount val="10"/>
                <c:pt idx="0">
                  <c:v>59.2979322901724</c:v>
                </c:pt>
                <c:pt idx="1">
                  <c:v>103.431861754343</c:v>
                </c:pt>
                <c:pt idx="2">
                  <c:v>185.040971381716</c:v>
                </c:pt>
                <c:pt idx="3">
                  <c:v>247.466925942233</c:v>
                </c:pt>
                <c:pt idx="4">
                  <c:v>293.655413610336</c:v>
                </c:pt>
                <c:pt idx="5">
                  <c:v>327.220661723301</c:v>
                </c:pt>
                <c:pt idx="6">
                  <c:v>338.979537749734</c:v>
                </c:pt>
                <c:pt idx="7">
                  <c:v>344.861492711354</c:v>
                </c:pt>
                <c:pt idx="8">
                  <c:v>348.395253014761</c:v>
                </c:pt>
                <c:pt idx="9">
                  <c:v>349.573173115895</c:v>
                </c:pt>
              </c:numCache>
            </c:numRef>
          </c:yVal>
          <c:smooth val="0"/>
        </c:ser>
        <c:axId val="34965988"/>
        <c:axId val="39725120"/>
      </c:scatterChart>
      <c:valAx>
        <c:axId val="34965988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9725120"/>
        <c:crossesAt val="0"/>
        <c:crossBetween val="midCat"/>
      </c:valAx>
      <c:valAx>
        <c:axId val="39725120"/>
        <c:scaling>
          <c:orientation val="minMax"/>
          <c:max val="500"/>
          <c:min val="-1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(W*, ∏*, U*)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4965988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56859522865076"/>
          <c:y val="0.4546349143869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Welfare vs. 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52134646962233"/>
          <c:y val="0.163452076362921"/>
          <c:w val="0.814244663382594"/>
          <c:h val="0.7519189135996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'W-Tax(All-Toll)-Coop'!$Z$1</c:f>
              <c:strCache>
                <c:ptCount val="1"/>
                <c:pt idx="0">
                  <c:v>W/Size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'W-Tax(All-Toll)-Coop'!$Y$2:$Y$11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'W-Tax(All-Toll)-Coop'!$Z$2:$Z$11</c:f>
              <c:numCache>
                <c:formatCode>0.00</c:formatCode>
                <c:ptCount val="10"/>
                <c:pt idx="0">
                  <c:v>-17.4344986894621</c:v>
                </c:pt>
                <c:pt idx="1">
                  <c:v>87.6302363107182</c:v>
                </c:pt>
                <c:pt idx="2">
                  <c:v>192.061327138573</c:v>
                </c:pt>
                <c:pt idx="3">
                  <c:v>242.696143747473</c:v>
                </c:pt>
                <c:pt idx="4">
                  <c:v>273.472483512526</c:v>
                </c:pt>
                <c:pt idx="5">
                  <c:v>294.296813250259</c:v>
                </c:pt>
                <c:pt idx="6">
                  <c:v>301.476371504771</c:v>
                </c:pt>
                <c:pt idx="7">
                  <c:v>305.068665655531</c:v>
                </c:pt>
                <c:pt idx="8">
                  <c:v>307.221386555555</c:v>
                </c:pt>
                <c:pt idx="9">
                  <c:v>307.941174293271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'W-Tax(All-Toll)-Coop'!$AA$1</c:f>
              <c:strCache>
                <c:ptCount val="1"/>
                <c:pt idx="0">
                  <c:v>∏/Size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'W-Tax(All-Toll)-Coop'!$Y$2:$Y$11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'W-Tax(All-Toll)-Coop'!$AA$2:$AA$11</c:f>
              <c:numCache>
                <c:formatCode>0.00</c:formatCode>
                <c:ptCount val="10"/>
                <c:pt idx="0">
                  <c:v>-190.933965724287</c:v>
                </c:pt>
                <c:pt idx="1">
                  <c:v>-142.355387005963</c:v>
                </c:pt>
                <c:pt idx="2">
                  <c:v>-94.7074399587352</c:v>
                </c:pt>
                <c:pt idx="3">
                  <c:v>-71.0255877067448</c:v>
                </c:pt>
                <c:pt idx="4">
                  <c:v>-56.9094046227209</c:v>
                </c:pt>
                <c:pt idx="5">
                  <c:v>-47.9841827042856</c:v>
                </c:pt>
                <c:pt idx="6">
                  <c:v>-45.0359792353596</c:v>
                </c:pt>
                <c:pt idx="7">
                  <c:v>-43.5630544310021</c:v>
                </c:pt>
                <c:pt idx="8">
                  <c:v>-42.6775292005272</c:v>
                </c:pt>
                <c:pt idx="9">
                  <c:v>-42.3838301932854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'W-Tax(All-Toll)-Coop'!$AB$1</c:f>
              <c:strCache>
                <c:ptCount val="1"/>
                <c:pt idx="0">
                  <c:v>U/Size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'W-Tax(All-Toll)-Coop'!$Y$2:$Y$11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'W-Tax(All-Toll)-Coop'!$AB$2:$AB$11</c:f>
              <c:numCache>
                <c:formatCode>0.00</c:formatCode>
                <c:ptCount val="10"/>
                <c:pt idx="0">
                  <c:v>173.499467034825</c:v>
                </c:pt>
                <c:pt idx="1">
                  <c:v>229.985623316681</c:v>
                </c:pt>
                <c:pt idx="2">
                  <c:v>286.768767097308</c:v>
                </c:pt>
                <c:pt idx="3">
                  <c:v>313.721731454218</c:v>
                </c:pt>
                <c:pt idx="4">
                  <c:v>330.381888135247</c:v>
                </c:pt>
                <c:pt idx="5">
                  <c:v>342.280995954544</c:v>
                </c:pt>
                <c:pt idx="6">
                  <c:v>346.512350740131</c:v>
                </c:pt>
                <c:pt idx="7">
                  <c:v>348.631720086533</c:v>
                </c:pt>
                <c:pt idx="8">
                  <c:v>349.898915756082</c:v>
                </c:pt>
                <c:pt idx="9">
                  <c:v>350.325004486557</c:v>
                </c:pt>
              </c:numCache>
            </c:numRef>
          </c:yVal>
          <c:smooth val="0"/>
        </c:ser>
        <c:axId val="31019218"/>
        <c:axId val="63287147"/>
      </c:scatterChart>
      <c:valAx>
        <c:axId val="31019218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3287147"/>
        <c:crossesAt val="0"/>
        <c:crossBetween val="midCat"/>
      </c:valAx>
      <c:valAx>
        <c:axId val="63287147"/>
        <c:scaling>
          <c:orientation val="minMax"/>
          <c:max val="500"/>
          <c:min val="-1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(W*, ∏*, U*)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1019218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70227832512315"/>
          <c:y val="0.4546349143869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Geneva"/>
              </a:rPr>
              <a:t>Welfare in 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at Welfare Maximizing Tolls vs. Jurisdiction Size in All-Toll Environment</a:t>
            </a:r>
          </a:p>
        </c:rich>
      </c:tx>
      <c:layout>
        <c:manualLayout>
          <c:xMode val="edge"/>
          <c:yMode val="edge"/>
          <c:x val="0.14749503083431"/>
          <c:y val="0.034835662271206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8901686968044"/>
          <c:y val="0.154890769533556"/>
          <c:w val="0.903215942102849"/>
          <c:h val="0.7165912222003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'W-Toll(All-Toll)-NONC'!$Z$1</c:f>
              <c:strCache>
                <c:ptCount val="1"/>
                <c:pt idx="0">
                  <c:v>W-Toll/Size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'W-Toll(All-Toll)-NONC'!$Z$2:$Z$11</c:f>
              <c:numCache>
                <c:formatCode>0.00</c:formatCode>
                <c:ptCount val="10"/>
                <c:pt idx="0">
                  <c:v>-20.2245714377075</c:v>
                </c:pt>
                <c:pt idx="1">
                  <c:v>72.3526095937818</c:v>
                </c:pt>
                <c:pt idx="2">
                  <c:v>177.307286639362</c:v>
                </c:pt>
                <c:pt idx="3">
                  <c:v>236.703551577693</c:v>
                </c:pt>
                <c:pt idx="4">
                  <c:v>272.574855406395</c:v>
                </c:pt>
                <c:pt idx="5">
                  <c:v>294.37858234659</c:v>
                </c:pt>
                <c:pt idx="6">
                  <c:v>301.522113732881</c:v>
                </c:pt>
                <c:pt idx="7">
                  <c:v>305.087744184494</c:v>
                </c:pt>
                <c:pt idx="8">
                  <c:v>307.231674892392</c:v>
                </c:pt>
                <c:pt idx="9">
                  <c:v>307.946318461689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'W-Toll(All-Toll)-NONC'!$AA$1</c:f>
              <c:strCache>
                <c:ptCount val="1"/>
                <c:pt idx="0">
                  <c:v>∏/Size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'W-Toll(All-Toll)-NONC'!$AA$2:$AA$11</c:f>
              <c:numCache>
                <c:formatCode>0.00</c:formatCode>
                <c:ptCount val="10"/>
                <c:pt idx="0">
                  <c:v>-64.2754629710815</c:v>
                </c:pt>
                <c:pt idx="1">
                  <c:v>-6.02186403747786</c:v>
                </c:pt>
                <c:pt idx="2">
                  <c:v>29.7529393471356</c:v>
                </c:pt>
                <c:pt idx="3">
                  <c:v>26.73534389177</c:v>
                </c:pt>
                <c:pt idx="4">
                  <c:v>5.65092256988018</c:v>
                </c:pt>
                <c:pt idx="5">
                  <c:v>-21.162194334933</c:v>
                </c:pt>
                <c:pt idx="6">
                  <c:v>-31.6118482940205</c:v>
                </c:pt>
                <c:pt idx="7">
                  <c:v>-36.8509864533883</c:v>
                </c:pt>
                <c:pt idx="8">
                  <c:v>-39.9944732929804</c:v>
                </c:pt>
                <c:pt idx="9">
                  <c:v>-41.0423022395121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'W-Toll(All-Toll)-NONC'!$AB$1</c:f>
              <c:strCache>
                <c:ptCount val="1"/>
                <c:pt idx="0">
                  <c:v>U/Size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'W-Toll(All-Toll)-NONC'!$AB$2:$AB$11</c:f>
              <c:numCache>
                <c:formatCode>0.00</c:formatCode>
                <c:ptCount val="10"/>
                <c:pt idx="0">
                  <c:v>44.050891533374</c:v>
                </c:pt>
                <c:pt idx="1">
                  <c:v>78.3744736312596</c:v>
                </c:pt>
                <c:pt idx="2">
                  <c:v>147.554347292226</c:v>
                </c:pt>
                <c:pt idx="3">
                  <c:v>209.968207685923</c:v>
                </c:pt>
                <c:pt idx="4">
                  <c:v>266.923932836515</c:v>
                </c:pt>
                <c:pt idx="5">
                  <c:v>315.540776681523</c:v>
                </c:pt>
                <c:pt idx="6">
                  <c:v>333.133962026902</c:v>
                </c:pt>
                <c:pt idx="7">
                  <c:v>341.938730637882</c:v>
                </c:pt>
                <c:pt idx="8">
                  <c:v>347.226148185372</c:v>
                </c:pt>
                <c:pt idx="9">
                  <c:v>348.988620701201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'W-Toll(All-Toll)-NONC'!$AC$1</c:f>
              <c:strCache>
                <c:ptCount val="1"/>
                <c:pt idx="0">
                  <c:v>W-Tax/Size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'W-Toll(All-Toll)-NONC'!$AC$2:$AC$11</c:f>
              <c:numCache>
                <c:formatCode>General</c:formatCode>
                <c:ptCount val="10"/>
                <c:pt idx="0">
                  <c:v>-40.8946620296133</c:v>
                </c:pt>
                <c:pt idx="1">
                  <c:v>41.3310071998244</c:v>
                </c:pt>
                <c:pt idx="2">
                  <c:v>138.974275891977</c:v>
                </c:pt>
                <c:pt idx="3">
                  <c:v>204.035234973293</c:v>
                </c:pt>
                <c:pt idx="4">
                  <c:v>251.354652613951</c:v>
                </c:pt>
                <c:pt idx="5">
                  <c:v>285.257231391403</c:v>
                </c:pt>
                <c:pt idx="6">
                  <c:v>296.956681355566</c:v>
                </c:pt>
                <c:pt idx="7">
                  <c:v>302.806529230423</c:v>
                </c:pt>
                <c:pt idx="8">
                  <c:v>306.319188910762</c:v>
                </c:pt>
                <c:pt idx="9">
                  <c:v>307.490075470874</c:v>
                </c:pt>
              </c:numCache>
            </c:numRef>
          </c:yVal>
          <c:smooth val="0"/>
        </c:ser>
        <c:axId val="8055580"/>
        <c:axId val="81901633"/>
      </c:scatterChart>
      <c:valAx>
        <c:axId val="8055580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1901633"/>
        <c:crossesAt val="0"/>
        <c:crossBetween val="midCat"/>
      </c:valAx>
      <c:valAx>
        <c:axId val="81901633"/>
        <c:scaling>
          <c:orientation val="minMax"/>
          <c:max val="500"/>
          <c:min val="-1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(W*, ∏*, U*)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055580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95963508485806"/>
          <c:y val="0.907695335563865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452822240943555"/>
          <c:y val="0.137802291047942"/>
          <c:w val="0.914574557708509"/>
          <c:h val="0.7511243105642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'W-Toll(All-Toll)-NONC'!$Z$1</c:f>
              <c:strCache>
                <c:ptCount val="1"/>
                <c:pt idx="0">
                  <c:v>W-Toll/Size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'W-Toll(All-Toll)-NONC'!$Z$2:$Z$11</c:f>
              <c:numCache>
                <c:formatCode>0.00</c:formatCode>
                <c:ptCount val="10"/>
                <c:pt idx="0">
                  <c:v>-20.2245714377075</c:v>
                </c:pt>
                <c:pt idx="1">
                  <c:v>72.3526095937818</c:v>
                </c:pt>
                <c:pt idx="2">
                  <c:v>177.307286639362</c:v>
                </c:pt>
                <c:pt idx="3">
                  <c:v>236.703551577693</c:v>
                </c:pt>
                <c:pt idx="4">
                  <c:v>272.574855406395</c:v>
                </c:pt>
                <c:pt idx="5">
                  <c:v>294.37858234659</c:v>
                </c:pt>
                <c:pt idx="6">
                  <c:v>301.522113732881</c:v>
                </c:pt>
                <c:pt idx="7">
                  <c:v>305.087744184494</c:v>
                </c:pt>
                <c:pt idx="8">
                  <c:v>307.231674892392</c:v>
                </c:pt>
                <c:pt idx="9">
                  <c:v>307.946318461689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'W-Toll(All-Toll)-NONC'!$AA$1</c:f>
              <c:strCache>
                <c:ptCount val="1"/>
                <c:pt idx="0">
                  <c:v>∏/Size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'W-Toll(All-Toll)-NONC'!$AA$2:$AA$11</c:f>
              <c:numCache>
                <c:formatCode>0.00</c:formatCode>
                <c:ptCount val="10"/>
                <c:pt idx="0">
                  <c:v>-64.2754629710815</c:v>
                </c:pt>
                <c:pt idx="1">
                  <c:v>-6.02186403747786</c:v>
                </c:pt>
                <c:pt idx="2">
                  <c:v>29.7529393471356</c:v>
                </c:pt>
                <c:pt idx="3">
                  <c:v>26.73534389177</c:v>
                </c:pt>
                <c:pt idx="4">
                  <c:v>5.65092256988018</c:v>
                </c:pt>
                <c:pt idx="5">
                  <c:v>-21.162194334933</c:v>
                </c:pt>
                <c:pt idx="6">
                  <c:v>-31.6118482940205</c:v>
                </c:pt>
                <c:pt idx="7">
                  <c:v>-36.8509864533883</c:v>
                </c:pt>
                <c:pt idx="8">
                  <c:v>-39.9944732929804</c:v>
                </c:pt>
                <c:pt idx="9">
                  <c:v>-41.0423022395121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'W-Toll(All-Toll)-NONC'!$AB$1</c:f>
              <c:strCache>
                <c:ptCount val="1"/>
                <c:pt idx="0">
                  <c:v>U/Size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'W-Toll(All-Toll)-NONC'!$AB$2:$AB$11</c:f>
              <c:numCache>
                <c:formatCode>0.00</c:formatCode>
                <c:ptCount val="10"/>
                <c:pt idx="0">
                  <c:v>44.050891533374</c:v>
                </c:pt>
                <c:pt idx="1">
                  <c:v>78.3744736312596</c:v>
                </c:pt>
                <c:pt idx="2">
                  <c:v>147.554347292226</c:v>
                </c:pt>
                <c:pt idx="3">
                  <c:v>209.968207685923</c:v>
                </c:pt>
                <c:pt idx="4">
                  <c:v>266.923932836515</c:v>
                </c:pt>
                <c:pt idx="5">
                  <c:v>315.540776681523</c:v>
                </c:pt>
                <c:pt idx="6">
                  <c:v>333.133962026902</c:v>
                </c:pt>
                <c:pt idx="7">
                  <c:v>341.938730637882</c:v>
                </c:pt>
                <c:pt idx="8">
                  <c:v>347.226148185372</c:v>
                </c:pt>
                <c:pt idx="9">
                  <c:v>348.988620701201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'W-Toll(All-Toll)-NONC'!$AC$1</c:f>
              <c:strCache>
                <c:ptCount val="1"/>
                <c:pt idx="0">
                  <c:v>W-Tax/Size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'W-Toll(All-Toll)-NONC'!$Y$2:$Y$11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'W-Toll(All-Toll)-NONC'!$AC$2:$AC$11</c:f>
              <c:numCache>
                <c:formatCode>General</c:formatCode>
                <c:ptCount val="10"/>
                <c:pt idx="0">
                  <c:v>-40.8946620296133</c:v>
                </c:pt>
                <c:pt idx="1">
                  <c:v>41.3310071998244</c:v>
                </c:pt>
                <c:pt idx="2">
                  <c:v>138.974275891977</c:v>
                </c:pt>
                <c:pt idx="3">
                  <c:v>204.035234973293</c:v>
                </c:pt>
                <c:pt idx="4">
                  <c:v>251.354652613951</c:v>
                </c:pt>
                <c:pt idx="5">
                  <c:v>285.257231391403</c:v>
                </c:pt>
                <c:pt idx="6">
                  <c:v>296.956681355566</c:v>
                </c:pt>
                <c:pt idx="7">
                  <c:v>302.806529230423</c:v>
                </c:pt>
                <c:pt idx="8">
                  <c:v>306.319188910762</c:v>
                </c:pt>
                <c:pt idx="9">
                  <c:v>307.490075470874</c:v>
                </c:pt>
              </c:numCache>
            </c:numRef>
          </c:yVal>
          <c:smooth val="0"/>
        </c:ser>
        <c:axId val="79576224"/>
        <c:axId val="83074423"/>
      </c:scatterChart>
      <c:valAx>
        <c:axId val="79576224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3074423"/>
        <c:crossesAt val="0"/>
        <c:crossBetween val="midCat"/>
      </c:valAx>
      <c:valAx>
        <c:axId val="83074423"/>
        <c:scaling>
          <c:orientation val="minMax"/>
          <c:max val="500"/>
          <c:min val="-1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(W*, ∏*, U*) ($/km)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9576224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28348778433024"/>
          <c:y val="0.920152736529487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Policy Choice: Variable Collection Costs Where Wtax=Wtoll and Tolls are Consistently Estimated w/Cost, Non-Cooperative Equilibrium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952876984126984"/>
          <c:y val="0.228848382678327"/>
          <c:w val="0.845684523809524"/>
          <c:h val="0.591191655252344"/>
        </c:manualLayout>
      </c:layout>
      <c:lineChart>
        <c:grouping val="standard"/>
        <c:varyColors val="0"/>
        <c:ser>
          <c:idx val="0"/>
          <c:order val="0"/>
          <c:tx>
            <c:strRef>
              <c:f>'W-Theta-Compare-NONC'!$B$1</c:f>
              <c:strCache>
                <c:ptCount val="1"/>
                <c:pt idx="0">
                  <c:v>Theta-Default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'W-Theta-Compare-NONC'!$A$2:$A$5</c:f>
              <c:strCache>
                <c:ptCount val="4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</c:strCache>
            </c:strRef>
          </c:cat>
          <c:val>
            <c:numRef>
              <c:f>'W-Theta-Compare-NONC'!$B$2:$B$5</c:f>
              <c:numCache>
                <c:formatCode>General</c:formatCode>
                <c:ptCount val="4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'W-Theta-Compare-NONC'!$C$1</c:f>
              <c:strCache>
                <c:ptCount val="1"/>
                <c:pt idx="0">
                  <c:v>All-Tax:Theta-Necessary</c:v>
                </c:pt>
              </c:strCache>
            </c:strRef>
          </c:tx>
          <c:spPr>
            <a:solidFill>
              <a:srgbClr val="FF00FF"/>
            </a:solidFill>
            <a:ln w="37800">
              <a:solidFill>
                <a:srgbClr val="FF00FF"/>
              </a:solidFill>
              <a:round/>
            </a:ln>
          </c:spPr>
          <c:marker>
            <c:symbol val="square"/>
            <c:size val="9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'W-Theta-Compare-NONC'!$A$2:$A$5</c:f>
              <c:strCache>
                <c:ptCount val="4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</c:strCache>
            </c:strRef>
          </c:cat>
          <c:val>
            <c:numRef>
              <c:f>'W-Theta-Compare-NONC'!$C$2:$C$5</c:f>
              <c:numCache>
                <c:formatCode>General</c:formatCode>
                <c:ptCount val="4"/>
                <c:pt idx="0">
                  <c:v>0.700084887705133</c:v>
                </c:pt>
                <c:pt idx="1">
                  <c:v>0.328740705191345</c:v>
                </c:pt>
                <c:pt idx="2">
                  <c:v>0.298181280156074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'W-Theta-Compare-NONC'!$D$1</c:f>
              <c:strCache>
                <c:ptCount val="1"/>
                <c:pt idx="0">
                  <c:v>All-Toll:Theta-Necessary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'W-Theta-Compare-NONC'!$A$2:$A$5</c:f>
              <c:strCache>
                <c:ptCount val="4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</c:strCache>
            </c:strRef>
          </c:cat>
          <c:val>
            <c:numRef>
              <c:f>'W-Theta-Compare-NONC'!$D$2:$D$5</c:f>
              <c:numCache>
                <c:formatCode>General</c:formatCode>
                <c:ptCount val="4"/>
                <c:pt idx="1">
                  <c:v>0.309456540883556</c:v>
                </c:pt>
                <c:pt idx="2">
                  <c:v>0.332370684648056</c:v>
                </c:pt>
                <c:pt idx="3">
                  <c:v>0.332321277001953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'W-Theta-Compare-NONC'!$E$1</c:f>
              <c:strCache>
                <c:ptCount val="1"/>
                <c:pt idx="0">
                  <c:v>All-Tax: Toll</c:v>
                </c:pt>
              </c:strCache>
            </c:strRef>
          </c:tx>
          <c:spPr>
            <a:solidFill>
              <a:srgbClr val="00FFFF"/>
            </a:solidFill>
            <a:ln w="37800">
              <a:solidFill>
                <a:srgbClr val="00FFFF"/>
              </a:solidFill>
              <a:custDash>
                <a:ds d="407619" sp="101905"/>
              </a:custDash>
              <a:round/>
            </a:ln>
          </c:spPr>
          <c:marker>
            <c:symbol val="x"/>
            <c:size val="9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  <a:custDash>
                    <a:ds d="407619" sp="101905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'W-Theta-Compare-NONC'!$A$2:$A$5</c:f>
              <c:strCache>
                <c:ptCount val="4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</c:strCache>
            </c:strRef>
          </c:cat>
          <c:val>
            <c:numRef>
              <c:f>'W-Theta-Compare-NONC'!$E$2:$E$5</c:f>
              <c:numCache>
                <c:formatCode>General</c:formatCode>
                <c:ptCount val="4"/>
                <c:pt idx="0">
                  <c:v>1.20903691874458</c:v>
                </c:pt>
                <c:pt idx="1">
                  <c:v>0.90114612518566</c:v>
                </c:pt>
                <c:pt idx="2">
                  <c:v>0.91832091357156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'W-Theta-Compare-NONC'!$F$1</c:f>
              <c:strCache>
                <c:ptCount val="1"/>
                <c:pt idx="0">
                  <c:v>All-Toll: Toll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custDash>
                <a:ds d="1200000" sp="300000"/>
              </a:custDash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custDash>
                    <a:ds d="1200000" sp="3000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'W-Theta-Compare-NONC'!$A$2:$A$5</c:f>
              <c:strCache>
                <c:ptCount val="4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</c:strCache>
            </c:strRef>
          </c:cat>
          <c:val>
            <c:numRef>
              <c:f>'W-Theta-Compare-NONC'!$F$2:$F$5</c:f>
              <c:numCache>
                <c:formatCode>General</c:formatCode>
                <c:ptCount val="4"/>
                <c:pt idx="1">
                  <c:v>0.879393498388232</c:v>
                </c:pt>
                <c:pt idx="2">
                  <c:v>0.952373487440175</c:v>
                </c:pt>
                <c:pt idx="3">
                  <c:v>0.700000930468249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403588"/>
        <c:axId val="86419400"/>
      </c:lineChart>
      <c:catAx>
        <c:axId val="864035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6419400"/>
        <c:crossesAt val="0"/>
        <c:auto val="1"/>
        <c:lblAlgn val="ctr"/>
        <c:lblOffset val="100"/>
        <c:noMultiLvlLbl val="0"/>
      </c:catAx>
      <c:valAx>
        <c:axId val="8641940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of Collection Cost (Theta)  and Toll (Tau) ($/crossing)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6403588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00644841269841"/>
          <c:y val="0.850700663786745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Welfare vs. 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08035360117867"/>
          <c:y val="0.163452076362921"/>
          <c:w val="0.795149317164391"/>
          <c:h val="0.7519189135996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'W-Toll(All-Toll)-Coop'!$Z$1</c:f>
              <c:strCache>
                <c:ptCount val="1"/>
                <c:pt idx="0">
                  <c:v>W/Size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'W-Toll(All-Toll)-Coop'!$Y$2:$Y$11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'W-Toll(All-Toll)-Coop'!$Z$2:$Z$11</c:f>
              <c:numCache>
                <c:formatCode>0.00</c:formatCode>
                <c:ptCount val="10"/>
                <c:pt idx="0">
                  <c:v>70.7414254686023</c:v>
                </c:pt>
                <c:pt idx="1">
                  <c:v>167.575170679487</c:v>
                </c:pt>
                <c:pt idx="2">
                  <c:v>245.447658156122</c:v>
                </c:pt>
                <c:pt idx="3">
                  <c:v>276.902556331743</c:v>
                </c:pt>
                <c:pt idx="4">
                  <c:v>293.326873915134</c:v>
                </c:pt>
                <c:pt idx="5">
                  <c:v>302.66378126664</c:v>
                </c:pt>
                <c:pt idx="6">
                  <c:v>305.66393767058</c:v>
                </c:pt>
                <c:pt idx="7">
                  <c:v>307.162450634441</c:v>
                </c:pt>
                <c:pt idx="8">
                  <c:v>308.061549048978</c:v>
                </c:pt>
                <c:pt idx="9">
                  <c:v>308.361255539983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'W-Toll(All-Toll)-Coop'!$AA$1</c:f>
              <c:strCache>
                <c:ptCount val="1"/>
                <c:pt idx="0">
                  <c:v>∏/Size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'W-Toll(All-Toll)-Coop'!$Y$2:$Y$11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'W-Toll(All-Toll)-Coop'!$AA$2:$AA$11</c:f>
              <c:numCache>
                <c:formatCode>0.00</c:formatCode>
                <c:ptCount val="10"/>
                <c:pt idx="0">
                  <c:v>-90.120931204136</c:v>
                </c:pt>
                <c:pt idx="1">
                  <c:v>-45.4321376137997</c:v>
                </c:pt>
                <c:pt idx="2">
                  <c:v>-20.2562221505991</c:v>
                </c:pt>
                <c:pt idx="3">
                  <c:v>-16.1250656979185</c:v>
                </c:pt>
                <c:pt idx="4">
                  <c:v>-21.6283986303994</c:v>
                </c:pt>
                <c:pt idx="5">
                  <c:v>-32.6877257350004</c:v>
                </c:pt>
                <c:pt idx="6">
                  <c:v>-37.3780351363145</c:v>
                </c:pt>
                <c:pt idx="7">
                  <c:v>-39.73407837147</c:v>
                </c:pt>
                <c:pt idx="8">
                  <c:v>-41.1404716755601</c:v>
                </c:pt>
                <c:pt idx="9">
                  <c:v>-41.6153014308018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'W-Toll(All-Toll)-Coop'!$AB$1</c:f>
              <c:strCache>
                <c:ptCount val="1"/>
                <c:pt idx="0">
                  <c:v>U/Size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'W-Toll(All-Toll)-Coop'!$Y$2:$Y$11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'W-Toll(All-Toll)-Coop'!$AB$2:$AB$11</c:f>
              <c:numCache>
                <c:formatCode>0.00</c:formatCode>
                <c:ptCount val="10"/>
                <c:pt idx="0">
                  <c:v>160.862356672738</c:v>
                </c:pt>
                <c:pt idx="1">
                  <c:v>213.007308293286</c:v>
                </c:pt>
                <c:pt idx="2">
                  <c:v>265.703880306721</c:v>
                </c:pt>
                <c:pt idx="3">
                  <c:v>293.027622029662</c:v>
                </c:pt>
                <c:pt idx="4">
                  <c:v>314.955272545533</c:v>
                </c:pt>
                <c:pt idx="5">
                  <c:v>335.351507001641</c:v>
                </c:pt>
                <c:pt idx="6">
                  <c:v>343.041972806894</c:v>
                </c:pt>
                <c:pt idx="7">
                  <c:v>346.896529005911</c:v>
                </c:pt>
                <c:pt idx="8">
                  <c:v>349.202020724539</c:v>
                </c:pt>
                <c:pt idx="9">
                  <c:v>349.976556970785</c:v>
                </c:pt>
              </c:numCache>
            </c:numRef>
          </c:yVal>
          <c:smooth val="0"/>
        </c:ser>
        <c:axId val="68552495"/>
        <c:axId val="80182086"/>
      </c:scatterChart>
      <c:valAx>
        <c:axId val="68552495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0182086"/>
        <c:crossesAt val="0"/>
        <c:crossBetween val="midCat"/>
      </c:valAx>
      <c:valAx>
        <c:axId val="80182086"/>
        <c:scaling>
          <c:orientation val="minMax"/>
          <c:max val="500"/>
          <c:min val="-1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(W*, ∏*, U*)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8552495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56859522865076"/>
          <c:y val="0.4546349143869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uFillTx/>
                <a:latin typeface="Geneva"/>
              </a:rPr>
              <a:t>Policy Choice as a Function ofFixed Collection Costs and Jurisdiction Size (W</a:t>
            </a:r>
            <a:r>
              <a:rPr sz="900" b="1" u="none" strike="noStrike">
                <a:uFillTx/>
                <a:latin typeface="Geneva"/>
              </a:rPr>
              <a:t>L</a:t>
            </a:r>
            <a:r>
              <a:rPr sz="1200" b="1" u="none" strike="noStrike">
                <a:uFillTx/>
                <a:latin typeface="Geneva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52094845775143"/>
          <c:y val="0.224276282376841"/>
          <c:w val="0.879734753340701"/>
          <c:h val="0.646419502285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'W-Compare-NONC'!$M$1</c:f>
              <c:strCache>
                <c:ptCount val="1"/>
                <c:pt idx="0">
                  <c:v>k-necessary (all-tax)</c:v>
                </c:pt>
              </c:strCache>
            </c:strRef>
          </c:tx>
          <c:spPr>
            <a:solidFill>
              <a:srgbClr val="000080"/>
            </a:solidFill>
            <a:ln w="25200">
              <a:solidFill>
                <a:srgbClr val="000080"/>
              </a:solidFill>
              <a:custDash>
                <a:ds d="605714" sp="151429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605714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'W-Compare-NONC'!$M$2:$M$11</c:f>
              <c:numCache>
                <c:formatCode>0</c:formatCode>
                <c:ptCount val="10"/>
                <c:pt idx="0">
                  <c:v>697.452354176226</c:v>
                </c:pt>
                <c:pt idx="1">
                  <c:v>379.016222920808</c:v>
                </c:pt>
                <c:pt idx="2">
                  <c:v>193.508068403304</c:v>
                </c:pt>
                <c:pt idx="3">
                  <c:v>137.190386176375</c:v>
                </c:pt>
                <c:pt idx="4">
                  <c:v>112.666218191348</c:v>
                </c:pt>
                <c:pt idx="5">
                  <c:v>99.1006269032362</c:v>
                </c:pt>
                <c:pt idx="6">
                  <c:v>94.5523202907776</c:v>
                </c:pt>
                <c:pt idx="7">
                  <c:v>92.2761615171858</c:v>
                </c:pt>
                <c:pt idx="8">
                  <c:v>90.9104635984988</c:v>
                </c:pt>
                <c:pt idx="9">
                  <c:v>90.4552317992493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'W-Compare-NONC'!$N$1</c:f>
              <c:strCache>
                <c:ptCount val="1"/>
                <c:pt idx="0">
                  <c:v>k-necessary (all-toll)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'W-Compare-NONC'!$N$2:$N$11</c:f>
              <c:numCache>
                <c:formatCode>0</c:formatCode>
                <c:ptCount val="10"/>
                <c:pt idx="0">
                  <c:v>110.670090591906</c:v>
                </c:pt>
                <c:pt idx="1">
                  <c:v>121.021602393957</c:v>
                </c:pt>
                <c:pt idx="2">
                  <c:v>128.333010747385</c:v>
                </c:pt>
                <c:pt idx="3">
                  <c:v>122.668316604399</c:v>
                </c:pt>
                <c:pt idx="4">
                  <c:v>111.220202792445</c:v>
                </c:pt>
                <c:pt idx="5">
                  <c:v>99.1213509551864</c:v>
                </c:pt>
                <c:pt idx="6">
                  <c:v>94.5654323773151</c:v>
                </c:pt>
                <c:pt idx="7">
                  <c:v>92.2812149540712</c:v>
                </c:pt>
                <c:pt idx="8">
                  <c:v>90.9124859816294</c:v>
                </c:pt>
                <c:pt idx="9">
                  <c:v>90.4562429908143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'W-Compare-NONC'!$O$1</c:f>
              <c:strCache>
                <c:ptCount val="1"/>
                <c:pt idx="0">
                  <c:v>k-empirical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squar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'W-Compare-NONC'!$O$2:$O$11</c:f>
              <c:numCache>
                <c:formatCode>0</c:formatCode>
                <c:ptCount val="10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</c:numCache>
            </c:numRef>
          </c:yVal>
          <c:smooth val="0"/>
        </c:ser>
        <c:axId val="4953313"/>
        <c:axId val="99555313"/>
      </c:scatterChart>
      <c:valAx>
        <c:axId val="4953313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9555313"/>
        <c:crossesAt val="0"/>
        <c:crossBetween val="midCat"/>
      </c:valAx>
      <c:valAx>
        <c:axId val="9955531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Fixed Collection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953313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46588968150306"/>
          <c:y val="0.90482478415439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Comparison of Welfare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2471422940481"/>
          <c:y val="0.136318897637795"/>
          <c:w val="0.889682696097753"/>
          <c:h val="0.735039370078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'W-Compare-NONC'!$V$1</c:f>
              <c:strCache>
                <c:ptCount val="1"/>
                <c:pt idx="0">
                  <c:v>Welfare (TX)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'W-Compare-NONC'!$U$2:$U$11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'W-Compare-NONC'!$V$2:$V$11</c:f>
              <c:numCache>
                <c:formatCode>0</c:formatCode>
                <c:ptCount val="10"/>
                <c:pt idx="0">
                  <c:v>916.113316207213</c:v>
                </c:pt>
                <c:pt idx="1">
                  <c:v>298.838592475898</c:v>
                </c:pt>
                <c:pt idx="2">
                  <c:v>82.4338060868584</c:v>
                </c:pt>
                <c:pt idx="3">
                  <c:v>35.5851348207362</c:v>
                </c:pt>
                <c:pt idx="4">
                  <c:v>16.5663590111168</c:v>
                </c:pt>
                <c:pt idx="5">
                  <c:v>6.35523177868447</c:v>
                </c:pt>
                <c:pt idx="6">
                  <c:v>3.13213282321765</c:v>
                </c:pt>
                <c:pt idx="7">
                  <c:v>1.55468561774087</c:v>
                </c:pt>
                <c:pt idx="8">
                  <c:v>0.619142851258973</c:v>
                </c:pt>
                <c:pt idx="9">
                  <c:v>0.309116193830237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'W-Compare-NONC'!$W$1</c:f>
              <c:strCache>
                <c:ptCount val="1"/>
                <c:pt idx="0">
                  <c:v>Welfare (XX)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'W-Compare-NONC'!$U$2:$U$11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'W-Compare-NONC'!$W$2:$W$11</c:f>
              <c:numCache>
                <c:formatCode>0</c:formatCode>
                <c:ptCount val="10"/>
                <c:pt idx="0">
                  <c:v>308.660962030988</c:v>
                </c:pt>
                <c:pt idx="1">
                  <c:v>154.330481015494</c:v>
                </c:pt>
                <c:pt idx="2">
                  <c:v>61.7321924061975</c:v>
                </c:pt>
                <c:pt idx="3">
                  <c:v>30.8660962030988</c:v>
                </c:pt>
                <c:pt idx="4">
                  <c:v>15.4330481015494</c:v>
                </c:pt>
                <c:pt idx="5">
                  <c:v>6.17321924061975</c:v>
                </c:pt>
                <c:pt idx="6">
                  <c:v>3.08660962030988</c:v>
                </c:pt>
                <c:pt idx="7">
                  <c:v>1.54330481015494</c:v>
                </c:pt>
                <c:pt idx="8">
                  <c:v>0.617321924061975</c:v>
                </c:pt>
                <c:pt idx="9">
                  <c:v>0.308660962030988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'W-Compare-NONC'!$X$1</c:f>
              <c:strCache>
                <c:ptCount val="1"/>
                <c:pt idx="0">
                  <c:v>Welfare (TT)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'W-Compare-NONC'!$U$2:$U$11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'W-Compare-NONC'!$X$2:$X$11</c:f>
              <c:numCache>
                <c:formatCode>0</c:formatCode>
                <c:ptCount val="10"/>
                <c:pt idx="0">
                  <c:v>-20.2245714377075</c:v>
                </c:pt>
                <c:pt idx="1">
                  <c:v>36.1763047968909</c:v>
                </c:pt>
                <c:pt idx="2">
                  <c:v>35.4614573278723</c:v>
                </c:pt>
                <c:pt idx="3">
                  <c:v>23.6703551577693</c:v>
                </c:pt>
                <c:pt idx="4">
                  <c:v>13.6287427703198</c:v>
                </c:pt>
                <c:pt idx="5">
                  <c:v>5.8875716469318</c:v>
                </c:pt>
                <c:pt idx="6">
                  <c:v>3.01522113732881</c:v>
                </c:pt>
                <c:pt idx="7">
                  <c:v>1.52543872092247</c:v>
                </c:pt>
                <c:pt idx="8">
                  <c:v>0.614463349784784</c:v>
                </c:pt>
                <c:pt idx="9">
                  <c:v>0.307946318461689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'W-Compare-NONC'!$Y$1</c:f>
              <c:strCache>
                <c:ptCount val="1"/>
                <c:pt idx="0">
                  <c:v>Welfare (XT)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'W-Compare-NONC'!$U$2:$U$11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'W-Compare-NONC'!$Y$2:$Y$11</c:f>
              <c:numCache>
                <c:formatCode>0</c:formatCode>
                <c:ptCount val="10"/>
                <c:pt idx="0">
                  <c:v>-40.8946620296133</c:v>
                </c:pt>
                <c:pt idx="1">
                  <c:v>20.6655035999122</c:v>
                </c:pt>
                <c:pt idx="2">
                  <c:v>27.7948551783953</c:v>
                </c:pt>
                <c:pt idx="3">
                  <c:v>20.4035234973293</c:v>
                </c:pt>
                <c:pt idx="4">
                  <c:v>12.5677326306975</c:v>
                </c:pt>
                <c:pt idx="5">
                  <c:v>5.70514462782807</c:v>
                </c:pt>
                <c:pt idx="6">
                  <c:v>2.96956681355566</c:v>
                </c:pt>
                <c:pt idx="7">
                  <c:v>1.51403264615211</c:v>
                </c:pt>
                <c:pt idx="8">
                  <c:v>0.612638377821525</c:v>
                </c:pt>
                <c:pt idx="9">
                  <c:v>0.307490075470874</c:v>
                </c:pt>
              </c:numCache>
            </c:numRef>
          </c:yVal>
          <c:smooth val="0"/>
        </c:ser>
        <c:axId val="56861321"/>
        <c:axId val="61080453"/>
      </c:scatterChart>
      <c:valAx>
        <c:axId val="56861321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1080453"/>
        <c:crossesAt val="0"/>
        <c:crossBetween val="midCat"/>
      </c:valAx>
      <c:valAx>
        <c:axId val="6108045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Per Capita Welfare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6861321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38648009459992"/>
          <c:y val="0.90767716535433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Policy Choice as a Function ofFixed Collection Costs and Jurisdiction Size (WL)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8820036920621"/>
          <c:y val="0.224276282376841"/>
          <c:w val="0.880007982836901"/>
          <c:h val="0.646419502285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'W-Compare-Coop'!$M$1</c:f>
              <c:strCache>
                <c:ptCount val="1"/>
                <c:pt idx="0">
                  <c:v>k-necessary (all-tax)</c:v>
                </c:pt>
              </c:strCache>
            </c:strRef>
          </c:tx>
          <c:spPr>
            <a:solidFill>
              <a:srgbClr val="000080"/>
            </a:solidFill>
            <a:ln w="25200">
              <a:solidFill>
                <a:srgbClr val="000080"/>
              </a:solidFill>
              <a:custDash>
                <a:ds d="605714" sp="151429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605714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'W-Compare-Coop'!$M$2:$M$11</c:f>
              <c:numCache>
                <c:formatCode>0</c:formatCode>
                <c:ptCount val="10"/>
                <c:pt idx="0">
                  <c:v>697.452354176226</c:v>
                </c:pt>
                <c:pt idx="1">
                  <c:v>379.016222920808</c:v>
                </c:pt>
                <c:pt idx="2">
                  <c:v>193.508068403304</c:v>
                </c:pt>
                <c:pt idx="3">
                  <c:v>137.190386176375</c:v>
                </c:pt>
                <c:pt idx="4">
                  <c:v>112.666218191348</c:v>
                </c:pt>
                <c:pt idx="5">
                  <c:v>99.1006269032362</c:v>
                </c:pt>
                <c:pt idx="6">
                  <c:v>94.5523202907776</c:v>
                </c:pt>
                <c:pt idx="7">
                  <c:v>92.2761615171858</c:v>
                </c:pt>
                <c:pt idx="8">
                  <c:v>90.9104635984988</c:v>
                </c:pt>
                <c:pt idx="9">
                  <c:v>90.4552317992493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'W-Compare-Coop'!$N$1</c:f>
              <c:strCache>
                <c:ptCount val="1"/>
                <c:pt idx="0">
                  <c:v>k-necessary (all-toll)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'W-Compare-Coop'!$N$2:$N$11</c:f>
              <c:numCache>
                <c:formatCode>0</c:formatCode>
                <c:ptCount val="10"/>
                <c:pt idx="0">
                  <c:v>178.175924158064</c:v>
                </c:pt>
                <c:pt idx="1">
                  <c:v>169.944934368768</c:v>
                </c:pt>
                <c:pt idx="2">
                  <c:v>143.386331017549</c:v>
                </c:pt>
                <c:pt idx="3">
                  <c:v>124.20641258427</c:v>
                </c:pt>
                <c:pt idx="4">
                  <c:v>109.854390402608</c:v>
                </c:pt>
                <c:pt idx="5">
                  <c:v>98.3669680163819</c:v>
                </c:pt>
                <c:pt idx="6">
                  <c:v>94.1875661658087</c:v>
                </c:pt>
                <c:pt idx="7">
                  <c:v>92.0937849789103</c:v>
                </c:pt>
                <c:pt idx="8">
                  <c:v>90.8401624934231</c:v>
                </c:pt>
                <c:pt idx="9">
                  <c:v>90.4200812467117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'W-Compare-Coop'!$O$1</c:f>
              <c:strCache>
                <c:ptCount val="1"/>
                <c:pt idx="0">
                  <c:v>k-empirical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squar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'W-Compare-Coop'!$O$2:$O$11</c:f>
              <c:numCache>
                <c:formatCode>0</c:formatCode>
                <c:ptCount val="10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</c:numCache>
            </c:numRef>
          </c:yVal>
          <c:smooth val="0"/>
        </c:ser>
        <c:axId val="85738425"/>
        <c:axId val="56633954"/>
      </c:scatterChart>
      <c:valAx>
        <c:axId val="85738425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6633954"/>
        <c:crossesAt val="0"/>
        <c:crossBetween val="midCat"/>
      </c:valAx>
      <c:valAx>
        <c:axId val="566339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Fixed Collection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5738425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48730230005488"/>
          <c:y val="0.90482478415439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Comparison of Welfare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2471422940481"/>
          <c:y val="0.136318897637795"/>
          <c:w val="0.889682696097753"/>
          <c:h val="0.735039370078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'W-Compare-Coop'!$V$1</c:f>
              <c:strCache>
                <c:ptCount val="1"/>
                <c:pt idx="0">
                  <c:v>Welfare (TX)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'W-Compare-Coop'!$U$2:$U$11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'W-Compare-Coop'!$V$2:$V$11</c:f>
              <c:numCache>
                <c:formatCode>0</c:formatCode>
                <c:ptCount val="10"/>
                <c:pt idx="0">
                  <c:v>916.113316207213</c:v>
                </c:pt>
                <c:pt idx="1">
                  <c:v>298.838592475898</c:v>
                </c:pt>
                <c:pt idx="2">
                  <c:v>82.4338060868584</c:v>
                </c:pt>
                <c:pt idx="3">
                  <c:v>35.5851348207362</c:v>
                </c:pt>
                <c:pt idx="4">
                  <c:v>16.5663590111168</c:v>
                </c:pt>
                <c:pt idx="5">
                  <c:v>6.35523177868447</c:v>
                </c:pt>
                <c:pt idx="6">
                  <c:v>3.13213282321765</c:v>
                </c:pt>
                <c:pt idx="7">
                  <c:v>1.55468561774087</c:v>
                </c:pt>
                <c:pt idx="8">
                  <c:v>0.619142851258973</c:v>
                </c:pt>
                <c:pt idx="9">
                  <c:v>0.309116193830237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'W-Compare-Coop'!$W$1</c:f>
              <c:strCache>
                <c:ptCount val="1"/>
                <c:pt idx="0">
                  <c:v>Welfare (XX)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'W-Compare-Coop'!$U$2:$U$11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'W-Compare-Coop'!$W$2:$W$11</c:f>
              <c:numCache>
                <c:formatCode>0</c:formatCode>
                <c:ptCount val="10"/>
                <c:pt idx="0">
                  <c:v>308.660962030988</c:v>
                </c:pt>
                <c:pt idx="1">
                  <c:v>154.330481015494</c:v>
                </c:pt>
                <c:pt idx="2">
                  <c:v>61.7321924061975</c:v>
                </c:pt>
                <c:pt idx="3">
                  <c:v>30.8660962030988</c:v>
                </c:pt>
                <c:pt idx="4">
                  <c:v>15.4330481015494</c:v>
                </c:pt>
                <c:pt idx="5">
                  <c:v>6.17321924061975</c:v>
                </c:pt>
                <c:pt idx="6">
                  <c:v>3.08660962030988</c:v>
                </c:pt>
                <c:pt idx="7">
                  <c:v>1.54330481015494</c:v>
                </c:pt>
                <c:pt idx="8">
                  <c:v>0.617321924061975</c:v>
                </c:pt>
                <c:pt idx="9">
                  <c:v>0.308660962030988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'W-Compare-Coop'!$X$1</c:f>
              <c:strCache>
                <c:ptCount val="1"/>
                <c:pt idx="0">
                  <c:v>Welfare (TT)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'W-Compare-Coop'!$U$2:$U$11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'W-Compare-Coop'!$X$2:$X$11</c:f>
              <c:numCache>
                <c:formatCode>0</c:formatCode>
                <c:ptCount val="10"/>
                <c:pt idx="0">
                  <c:v>70.7414254686023</c:v>
                </c:pt>
                <c:pt idx="1">
                  <c:v>83.7875853397433</c:v>
                </c:pt>
                <c:pt idx="2">
                  <c:v>49.0895316312244</c:v>
                </c:pt>
                <c:pt idx="3">
                  <c:v>27.6902556331743</c:v>
                </c:pt>
                <c:pt idx="4">
                  <c:v>14.6663436957567</c:v>
                </c:pt>
                <c:pt idx="5">
                  <c:v>6.05327562533281</c:v>
                </c:pt>
                <c:pt idx="6">
                  <c:v>3.0566393767058</c:v>
                </c:pt>
                <c:pt idx="7">
                  <c:v>1.53581225317221</c:v>
                </c:pt>
                <c:pt idx="8">
                  <c:v>0.616123098097957</c:v>
                </c:pt>
                <c:pt idx="9">
                  <c:v>0.308361255539983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'W-Compare-Coop'!$Y$1</c:f>
              <c:strCache>
                <c:ptCount val="1"/>
                <c:pt idx="0">
                  <c:v>Welfare (XT)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'W-Compare-Coop'!$U$2:$U$11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'W-Compare-Coop'!$Y$2:$Y$11</c:f>
              <c:numCache>
                <c:formatCode>0</c:formatCode>
                <c:ptCount val="10"/>
                <c:pt idx="0">
                  <c:v>-17.4344986894621</c:v>
                </c:pt>
                <c:pt idx="1">
                  <c:v>43.8151181553591</c:v>
                </c:pt>
                <c:pt idx="2">
                  <c:v>38.4122654277145</c:v>
                </c:pt>
                <c:pt idx="3">
                  <c:v>24.2696143747473</c:v>
                </c:pt>
                <c:pt idx="4">
                  <c:v>13.6736241756263</c:v>
                </c:pt>
                <c:pt idx="5">
                  <c:v>5.88593626500517</c:v>
                </c:pt>
                <c:pt idx="6">
                  <c:v>3.01476371504771</c:v>
                </c:pt>
                <c:pt idx="7">
                  <c:v>1.52534332827766</c:v>
                </c:pt>
                <c:pt idx="8">
                  <c:v>0.614442773111111</c:v>
                </c:pt>
                <c:pt idx="9">
                  <c:v>0.307941174293271</c:v>
                </c:pt>
              </c:numCache>
            </c:numRef>
          </c:yVal>
          <c:smooth val="0"/>
        </c:ser>
        <c:axId val="69337518"/>
        <c:axId val="20964246"/>
      </c:scatterChart>
      <c:valAx>
        <c:axId val="69337518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0964246"/>
        <c:crossesAt val="0"/>
        <c:crossBetween val="midCat"/>
      </c:valAx>
      <c:valAx>
        <c:axId val="209642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Per Capita Welfare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9337518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38648009459992"/>
          <c:y val="0.90767716535433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Geneva"/>
              </a:rPr>
              <a:t>Policy Choice as a Function of Variable Collection Cost and 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3730158730159"/>
          <c:y val="0.206498123642109"/>
          <c:w val="0.752083333333333"/>
          <c:h val="0.71202844163539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'W-Compare-NONC (theta)'!$M$1</c:f>
              <c:strCache>
                <c:ptCount val="1"/>
                <c:pt idx="0">
                  <c:v>Theta:All-Tax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(theta)'!$L$2:$L$11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(theta)'!$M$2:$M$11</c:f>
              <c:numCache>
                <c:formatCode>0.00000</c:formatCode>
                <c:ptCount val="10"/>
                <c:pt idx="0">
                  <c:v>0.459445352137238</c:v>
                </c:pt>
                <c:pt idx="1">
                  <c:v>0.248538288207615</c:v>
                </c:pt>
                <c:pt idx="2">
                  <c:v>0.132781106866513</c:v>
                </c:pt>
                <c:pt idx="3">
                  <c:v>0.101717043196906</c:v>
                </c:pt>
                <c:pt idx="4">
                  <c:v>0.0898589867128993</c:v>
                </c:pt>
                <c:pt idx="5">
                  <c:v>0.0839185304676883</c:v>
                </c:pt>
                <c:pt idx="6">
                  <c:v>0.081960204319211</c:v>
                </c:pt>
                <c:pt idx="7">
                  <c:v>0.0809801032922243</c:v>
                </c:pt>
                <c:pt idx="8">
                  <c:v>0.0803922989909963</c:v>
                </c:pt>
                <c:pt idx="9">
                  <c:v>0.0801961494954981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'W-Compare-NONC (theta)'!$N$1</c:f>
              <c:strCache>
                <c:ptCount val="1"/>
                <c:pt idx="0">
                  <c:v>Theta:All-Toll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(theta)'!$L$2:$L$11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(theta)'!$N$2:$N$11</c:f>
              <c:numCache>
                <c:formatCode>0.00000</c:formatCode>
                <c:ptCount val="10"/>
                <c:pt idx="0">
                  <c:v>0.47951065669758</c:v>
                </c:pt>
                <c:pt idx="1">
                  <c:v>0.276276261932438</c:v>
                </c:pt>
                <c:pt idx="2">
                  <c:v>0.155989755269396</c:v>
                </c:pt>
                <c:pt idx="3">
                  <c:v>0.117534726907285</c:v>
                </c:pt>
                <c:pt idx="4">
                  <c:v>0.0992075497436576</c:v>
                </c:pt>
                <c:pt idx="5">
                  <c:v>0.0879094602663993</c:v>
                </c:pt>
                <c:pt idx="6">
                  <c:v>0.0839587408483454</c:v>
                </c:pt>
                <c:pt idx="7">
                  <c:v>0.0819806748557707</c:v>
                </c:pt>
                <c:pt idx="8">
                  <c:v>0.0807922699423084</c:v>
                </c:pt>
                <c:pt idx="9">
                  <c:v>0.0803961349711546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'W-Compare-NONC (theta)'!$O$1</c:f>
              <c:strCache>
                <c:ptCount val="1"/>
                <c:pt idx="0">
                  <c:v>Empirical Theta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(theta)'!$L$2:$L$11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(theta)'!$O$2:$O$11</c:f>
              <c:numCache>
                <c:formatCode>General</c:formatCode>
                <c:ptCount val="10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</c:numCache>
            </c:numRef>
          </c:yVal>
          <c:smooth val="0"/>
        </c:ser>
        <c:axId val="98281192"/>
        <c:axId val="87360640"/>
      </c:scatterChart>
      <c:valAx>
        <c:axId val="98281192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7360640"/>
        <c:crossesAt val="1"/>
        <c:crossBetween val="midCat"/>
      </c:valAx>
      <c:valAx>
        <c:axId val="87360640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Variable Collection Cost (Theta) ($/crossing)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8281192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06448412698413"/>
          <c:y val="0.45417736519849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Comparison of Supergame Conditions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29950601889598"/>
          <c:y val="0.159080244016893"/>
          <c:w val="0.900916023212316"/>
          <c:h val="0.6727358047864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'W-Compare-NONC (theta)'!$T$1</c:f>
              <c:strCache>
                <c:ptCount val="1"/>
                <c:pt idx="0">
                  <c:v>(1) (y-x)/(y-w)=(TX-XX)/(TX-TT)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(theta)'!$S$2:$S$11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(theta)'!$T$2:$T$11</c:f>
              <c:numCache>
                <c:formatCode>0.000</c:formatCode>
                <c:ptCount val="10"/>
                <c:pt idx="0">
                  <c:v>0.648753363707295</c:v>
                </c:pt>
                <c:pt idx="1">
                  <c:v>0.550166956731161</c:v>
                </c:pt>
                <c:pt idx="2">
                  <c:v>0.44071915132199</c:v>
                </c:pt>
                <c:pt idx="3">
                  <c:v>0.396065957669783</c:v>
                </c:pt>
                <c:pt idx="4">
                  <c:v>0.385792702882093</c:v>
                </c:pt>
                <c:pt idx="5">
                  <c:v>0.389198320974215</c:v>
                </c:pt>
                <c:pt idx="6">
                  <c:v>0.389381117564756</c:v>
                </c:pt>
                <c:pt idx="7">
                  <c:v>0.389128722154554</c:v>
                </c:pt>
                <c:pt idx="8">
                  <c:v>0.389128458884225</c:v>
                </c:pt>
                <c:pt idx="9">
                  <c:v>0.389128458883778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'W-Compare-NONC (theta)'!$U$1</c:f>
              <c:strCache>
                <c:ptCount val="1"/>
                <c:pt idx="0">
                  <c:v>(2) (y-x)/(x-z)=(TX-XX)/(XX-XT)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(theta)'!$S$2:$S$11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(theta)'!$U$2:$U$11</c:f>
              <c:numCache>
                <c:formatCode>0.000</c:formatCode>
                <c:ptCount val="10"/>
                <c:pt idx="0">
                  <c:v>1.73778452516305</c:v>
                </c:pt>
                <c:pt idx="1">
                  <c:v>1.08112172877649</c:v>
                </c:pt>
                <c:pt idx="2">
                  <c:v>0.609995225662597</c:v>
                </c:pt>
                <c:pt idx="3">
                  <c:v>0.451039983218966</c:v>
                </c:pt>
                <c:pt idx="4">
                  <c:v>0.395527445789586</c:v>
                </c:pt>
                <c:pt idx="5">
                  <c:v>0.388853685054967</c:v>
                </c:pt>
                <c:pt idx="6">
                  <c:v>0.388944901187931</c:v>
                </c:pt>
                <c:pt idx="7">
                  <c:v>0.388792833520304</c:v>
                </c:pt>
                <c:pt idx="8">
                  <c:v>0.388792402917039</c:v>
                </c:pt>
                <c:pt idx="9">
                  <c:v>0.388792402916696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'W-Compare-NONC (theta)'!$V$1</c:f>
              <c:strCache>
                <c:ptCount val="1"/>
                <c:pt idx="0">
                  <c:v>(3) (w-z)/(y-w)=(TT-XT)/(TX-TT)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(theta)'!$S$2:$S$11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(theta)'!$V$2:$V$11</c:f>
              <c:numCache>
                <c:formatCode>0.000</c:formatCode>
                <c:ptCount val="10"/>
                <c:pt idx="0">
                  <c:v>0.022075461075163</c:v>
                </c:pt>
                <c:pt idx="1">
                  <c:v>0.0590522580688631</c:v>
                </c:pt>
                <c:pt idx="2">
                  <c:v>0.163215218144917</c:v>
                </c:pt>
                <c:pt idx="3">
                  <c:v>0.274183136646143</c:v>
                </c:pt>
                <c:pt idx="4">
                  <c:v>0.361180648747491</c:v>
                </c:pt>
                <c:pt idx="5">
                  <c:v>0.390084607854073</c:v>
                </c:pt>
                <c:pt idx="6">
                  <c:v>0.390502655282547</c:v>
                </c:pt>
                <c:pt idx="7">
                  <c:v>0.389992649175041</c:v>
                </c:pt>
                <c:pt idx="8">
                  <c:v>0.389992817253023</c:v>
                </c:pt>
                <c:pt idx="9">
                  <c:v>0.389992817252308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'W-Compare-NONC (theta)'!$W$1</c:f>
              <c:strCache>
                <c:ptCount val="1"/>
                <c:pt idx="0">
                  <c:v>(4) (w-z)/(x-z)=(TT-XT)/(XX-XT)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(theta)'!$S$2:$S$11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(theta)'!$W$2:$W$11</c:f>
              <c:numCache>
                <c:formatCode>0.000</c:formatCode>
                <c:ptCount val="10"/>
                <c:pt idx="0">
                  <c:v>0.0591324789794322</c:v>
                </c:pt>
                <c:pt idx="1">
                  <c:v>0.116042373229553</c:v>
                </c:pt>
                <c:pt idx="2">
                  <c:v>0.225904645907115</c:v>
                </c:pt>
                <c:pt idx="3">
                  <c:v>0.312239804903674</c:v>
                </c:pt>
                <c:pt idx="4">
                  <c:v>0.370294353419592</c:v>
                </c:pt>
                <c:pt idx="5">
                  <c:v>0.389739187125957</c:v>
                </c:pt>
                <c:pt idx="6">
                  <c:v>0.390065182468012</c:v>
                </c:pt>
                <c:pt idx="7">
                  <c:v>0.389656014815147</c:v>
                </c:pt>
                <c:pt idx="8">
                  <c:v>0.389656014815665</c:v>
                </c:pt>
                <c:pt idx="9">
                  <c:v>0.389656014815055</c:v>
                </c:pt>
              </c:numCache>
            </c:numRef>
          </c:yVal>
          <c:smooth val="0"/>
        </c:ser>
        <c:axId val="30539119"/>
        <c:axId val="36295482"/>
      </c:scatterChart>
      <c:valAx>
        <c:axId val="30539119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6295482"/>
        <c:crossesAt val="0"/>
        <c:crossBetween val="midCat"/>
      </c:valAx>
      <c:valAx>
        <c:axId val="3629548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Discount Factor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cross"/>
        <c:minorTickMark val="cross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0539119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85458730996115"/>
          <c:y val="0.86672923510089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Geneva"/>
              </a:rPr>
              <a:t>Policy Choice as a Function of Variable Collection Cost and 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125"/>
          <c:y val="0.206300612285206"/>
          <c:w val="0.916418650793651"/>
          <c:h val="0.670649812364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'W-Compare-NONC (Ccv)'!$M$1</c:f>
              <c:strCache>
                <c:ptCount val="1"/>
                <c:pt idx="0">
                  <c:v>Ccv-necessary (All-Tax)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(Ccv)'!$L$2:$L$11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(Ccv)'!$M$2:$M$11</c:f>
              <c:numCache>
                <c:formatCode>0</c:formatCode>
                <c:ptCount val="10"/>
                <c:pt idx="0">
                  <c:v>735.523993637293</c:v>
                </c:pt>
                <c:pt idx="1">
                  <c:v>426.203434678783</c:v>
                </c:pt>
                <c:pt idx="2">
                  <c:v>260.394612923992</c:v>
                </c:pt>
                <c:pt idx="3">
                  <c:v>221.027628193178</c:v>
                </c:pt>
                <c:pt idx="4">
                  <c:v>206.589526753615</c:v>
                </c:pt>
                <c:pt idx="5">
                  <c:v>194.897358168259</c:v>
                </c:pt>
                <c:pt idx="6">
                  <c:v>190.341944205491</c:v>
                </c:pt>
                <c:pt idx="7">
                  <c:v>188.065682702872</c:v>
                </c:pt>
                <c:pt idx="8">
                  <c:v>186.577746848279</c:v>
                </c:pt>
                <c:pt idx="9">
                  <c:v>186.122515049027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'W-Compare-NONC (Ccv)'!$N$1</c:f>
              <c:strCache>
                <c:ptCount val="1"/>
                <c:pt idx="0">
                  <c:v>Ccv-necessary (All-Toll)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(Ccv)'!$L$2:$L$11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(Ccv)'!$N$2:$N$11</c:f>
              <c:numCache>
                <c:formatCode>0</c:formatCode>
                <c:ptCount val="10"/>
                <c:pt idx="0">
                  <c:v>24.8091722900548</c:v>
                </c:pt>
                <c:pt idx="1">
                  <c:v>43.6656591284943</c:v>
                </c:pt>
                <c:pt idx="2">
                  <c:v>78.6889883251397</c:v>
                </c:pt>
                <c:pt idx="3">
                  <c:v>102.296246356161</c:v>
                </c:pt>
                <c:pt idx="4">
                  <c:v>109.602960929314</c:v>
                </c:pt>
                <c:pt idx="5">
                  <c:v>101.378983187671</c:v>
                </c:pt>
                <c:pt idx="6">
                  <c:v>96.8257252777383</c:v>
                </c:pt>
                <c:pt idx="7">
                  <c:v>94.4201118527664</c:v>
                </c:pt>
                <c:pt idx="8">
                  <c:v>93.0513828804011</c:v>
                </c:pt>
                <c:pt idx="9">
                  <c:v>92.5951398894099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'W-Compare-NONC (Ccv)'!$O$1</c:f>
              <c:strCache>
                <c:ptCount val="1"/>
                <c:pt idx="0">
                  <c:v>Ccv (All-Tax)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(Ccv)'!$L$2:$L$11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(Ccv)'!$O$2:$O$11</c:f>
              <c:numCache>
                <c:formatCode>0</c:formatCode>
                <c:ptCount val="10"/>
                <c:pt idx="0">
                  <c:v>128.071639461067</c:v>
                </c:pt>
                <c:pt idx="1">
                  <c:v>137.187211757975</c:v>
                </c:pt>
                <c:pt idx="2">
                  <c:v>156.886544520688</c:v>
                </c:pt>
                <c:pt idx="3">
                  <c:v>173.837242016803</c:v>
                </c:pt>
                <c:pt idx="4">
                  <c:v>183.923308562267</c:v>
                </c:pt>
                <c:pt idx="5">
                  <c:v>185.796731265023</c:v>
                </c:pt>
                <c:pt idx="6">
                  <c:v>185.789623914713</c:v>
                </c:pt>
                <c:pt idx="7">
                  <c:v>185.789521185686</c:v>
                </c:pt>
                <c:pt idx="8">
                  <c:v>185.66728324978</c:v>
                </c:pt>
                <c:pt idx="9">
                  <c:v>185.667283249777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'W-Compare-NONC (Ccv)'!$P$1</c:f>
              <c:strCache>
                <c:ptCount val="1"/>
                <c:pt idx="0">
                  <c:v>Ccv (All-Toll)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(Ccv)'!$L$2:$L$11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(Ccv)'!$P$2:$P$11</c:f>
              <c:numCache>
                <c:formatCode>0</c:formatCode>
                <c:ptCount val="10"/>
                <c:pt idx="0">
                  <c:v>58.8419194909834</c:v>
                </c:pt>
                <c:pt idx="1">
                  <c:v>34.0962747743026</c:v>
                </c:pt>
                <c:pt idx="2">
                  <c:v>20.8315690339194</c:v>
                </c:pt>
                <c:pt idx="3">
                  <c:v>17.6822102554542</c:v>
                </c:pt>
                <c:pt idx="4">
                  <c:v>16.5271621402892</c:v>
                </c:pt>
                <c:pt idx="5">
                  <c:v>15.5917886534607</c:v>
                </c:pt>
                <c:pt idx="6">
                  <c:v>15.2273555364393</c:v>
                </c:pt>
                <c:pt idx="7">
                  <c:v>15.0452546162298</c:v>
                </c:pt>
                <c:pt idx="8">
                  <c:v>14.9262197478623</c:v>
                </c:pt>
                <c:pt idx="9">
                  <c:v>14.8898012039221</c:v>
                </c:pt>
              </c:numCache>
            </c:numRef>
          </c:yVal>
          <c:smooth val="0"/>
        </c:ser>
        <c:axId val="8228441"/>
        <c:axId val="37035014"/>
      </c:scatterChart>
      <c:valAx>
        <c:axId val="8228441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7035014"/>
        <c:crossesAt val="0"/>
        <c:crossBetween val="midCat"/>
      </c:valAx>
      <c:valAx>
        <c:axId val="3703501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Total Variable Collection Cost (Ccv)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228441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0243551587301587"/>
          <c:y val="0.90736717361248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Comparison of Supergame Conditions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29950601889598"/>
          <c:y val="0.159080244016893"/>
          <c:w val="0.900916023212316"/>
          <c:h val="0.6727358047864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'W-Compare-NONC (Ccv)'!$T$1</c:f>
              <c:strCache>
                <c:ptCount val="1"/>
                <c:pt idx="0">
                  <c:v>(1) (y-x)/(y-w)=(TX-XX)/(TX-TT)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(Ccv)'!$S$2:$S$11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(Ccv)'!$T$2:$T$11</c:f>
              <c:numCache>
                <c:formatCode>0.000</c:formatCode>
                <c:ptCount val="10"/>
                <c:pt idx="0">
                  <c:v>0.648753363707295</c:v>
                </c:pt>
                <c:pt idx="1">
                  <c:v>0.550166956731161</c:v>
                </c:pt>
                <c:pt idx="2">
                  <c:v>0.44071915132199</c:v>
                </c:pt>
                <c:pt idx="3">
                  <c:v>0.396065957669783</c:v>
                </c:pt>
                <c:pt idx="4">
                  <c:v>0.385792702882093</c:v>
                </c:pt>
                <c:pt idx="5">
                  <c:v>0.389198320974215</c:v>
                </c:pt>
                <c:pt idx="6">
                  <c:v>0.389381117564756</c:v>
                </c:pt>
                <c:pt idx="7">
                  <c:v>0.389128722154554</c:v>
                </c:pt>
                <c:pt idx="8">
                  <c:v>0.389128458884225</c:v>
                </c:pt>
                <c:pt idx="9">
                  <c:v>0.389128458883778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'W-Compare-NONC (Ccv)'!$U$1</c:f>
              <c:strCache>
                <c:ptCount val="1"/>
                <c:pt idx="0">
                  <c:v>(2) (y-x)/(x-z)=(TX-XX)/(XX-XT)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(Ccv)'!$S$2:$S$11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(Ccv)'!$U$2:$U$11</c:f>
              <c:numCache>
                <c:formatCode>0.000</c:formatCode>
                <c:ptCount val="10"/>
                <c:pt idx="0">
                  <c:v>1.73778452516305</c:v>
                </c:pt>
                <c:pt idx="1">
                  <c:v>1.08112172877649</c:v>
                </c:pt>
                <c:pt idx="2">
                  <c:v>0.609995225662597</c:v>
                </c:pt>
                <c:pt idx="3">
                  <c:v>0.451039983218966</c:v>
                </c:pt>
                <c:pt idx="4">
                  <c:v>0.395527445789586</c:v>
                </c:pt>
                <c:pt idx="5">
                  <c:v>0.388853685054967</c:v>
                </c:pt>
                <c:pt idx="6">
                  <c:v>0.388944901187931</c:v>
                </c:pt>
                <c:pt idx="7">
                  <c:v>0.388792833520304</c:v>
                </c:pt>
                <c:pt idx="8">
                  <c:v>0.388792402917039</c:v>
                </c:pt>
                <c:pt idx="9">
                  <c:v>0.388792402916696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'W-Compare-NONC (Ccv)'!$V$1</c:f>
              <c:strCache>
                <c:ptCount val="1"/>
                <c:pt idx="0">
                  <c:v>(3) (w-z)/(y-w)=(TT-XT)/(TX-TT)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(Ccv)'!$S$2:$S$11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(Ccv)'!$V$2:$V$11</c:f>
              <c:numCache>
                <c:formatCode>0.000</c:formatCode>
                <c:ptCount val="10"/>
                <c:pt idx="0">
                  <c:v>0.022075461075163</c:v>
                </c:pt>
                <c:pt idx="1">
                  <c:v>0.0590522580688631</c:v>
                </c:pt>
                <c:pt idx="2">
                  <c:v>0.163215218144917</c:v>
                </c:pt>
                <c:pt idx="3">
                  <c:v>0.274183136646143</c:v>
                </c:pt>
                <c:pt idx="4">
                  <c:v>0.361180648747491</c:v>
                </c:pt>
                <c:pt idx="5">
                  <c:v>0.390084607854073</c:v>
                </c:pt>
                <c:pt idx="6">
                  <c:v>0.390502655282547</c:v>
                </c:pt>
                <c:pt idx="7">
                  <c:v>0.389992649175041</c:v>
                </c:pt>
                <c:pt idx="8">
                  <c:v>0.389992817253023</c:v>
                </c:pt>
                <c:pt idx="9">
                  <c:v>0.389992817252308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'W-Compare-NONC (Ccv)'!$W$1</c:f>
              <c:strCache>
                <c:ptCount val="1"/>
                <c:pt idx="0">
                  <c:v>(4) (w-z)/(x-z)=(TT-XT)/(XX-XT)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'W-Compare-NONC (Ccv)'!$S$2:$S$11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'W-Compare-NONC (Ccv)'!$W$2:$W$11</c:f>
              <c:numCache>
                <c:formatCode>0.000</c:formatCode>
                <c:ptCount val="10"/>
                <c:pt idx="0">
                  <c:v>0.0591324789794322</c:v>
                </c:pt>
                <c:pt idx="1">
                  <c:v>0.116042373229553</c:v>
                </c:pt>
                <c:pt idx="2">
                  <c:v>0.225904645907115</c:v>
                </c:pt>
                <c:pt idx="3">
                  <c:v>0.312239804903674</c:v>
                </c:pt>
                <c:pt idx="4">
                  <c:v>0.370294353419592</c:v>
                </c:pt>
                <c:pt idx="5">
                  <c:v>0.389739187125957</c:v>
                </c:pt>
                <c:pt idx="6">
                  <c:v>0.390065182468012</c:v>
                </c:pt>
                <c:pt idx="7">
                  <c:v>0.389656014815147</c:v>
                </c:pt>
                <c:pt idx="8">
                  <c:v>0.389656014815665</c:v>
                </c:pt>
                <c:pt idx="9">
                  <c:v>0.389656014815055</c:v>
                </c:pt>
              </c:numCache>
            </c:numRef>
          </c:yVal>
          <c:smooth val="0"/>
        </c:ser>
        <c:axId val="40515718"/>
        <c:axId val="25726304"/>
      </c:scatterChart>
      <c:valAx>
        <c:axId val="40515718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5726304"/>
        <c:crossesAt val="0"/>
        <c:crossBetween val="midCat"/>
      </c:valAx>
      <c:valAx>
        <c:axId val="2572630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Discount Factor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cross"/>
        <c:minorTickMark val="cross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0515718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85458730996115"/>
          <c:y val="0.86672923510089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Policy Choice as a Function of Variable Collection Cost and 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132906682542"/>
          <c:y val="0.218151293699388"/>
          <c:w val="0.75234409882423"/>
          <c:h val="0.700375271578116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'W-Compare-Coop (theta)'!$M$1</c:f>
              <c:strCache>
                <c:ptCount val="1"/>
                <c:pt idx="0">
                  <c:v>Theta:All-Tax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 (theta)'!$L$2:$L$11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 (theta)'!$M$2:$M$11</c:f>
              <c:numCache>
                <c:formatCode>0.00000</c:formatCode>
                <c:ptCount val="10"/>
                <c:pt idx="0">
                  <c:v>0.459445352137238</c:v>
                </c:pt>
                <c:pt idx="1">
                  <c:v>0.248538288207615</c:v>
                </c:pt>
                <c:pt idx="2">
                  <c:v>0.132781106866513</c:v>
                </c:pt>
                <c:pt idx="3">
                  <c:v>0.101717043196906</c:v>
                </c:pt>
                <c:pt idx="4">
                  <c:v>0.0898589867128993</c:v>
                </c:pt>
                <c:pt idx="5">
                  <c:v>0.0839185304676883</c:v>
                </c:pt>
                <c:pt idx="6">
                  <c:v>0.081960204319211</c:v>
                </c:pt>
                <c:pt idx="7">
                  <c:v>0.0809801032922243</c:v>
                </c:pt>
                <c:pt idx="8">
                  <c:v>0.0803922989909963</c:v>
                </c:pt>
                <c:pt idx="9">
                  <c:v>0.0801961494954981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'W-Compare-Coop (theta)'!$N$1</c:f>
              <c:strCache>
                <c:ptCount val="1"/>
                <c:pt idx="0">
                  <c:v>Theta:All-Toll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 (theta)'!$L$2:$L$11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 (theta)'!$N$2:$N$11</c:f>
              <c:numCache>
                <c:formatCode>0.00000</c:formatCode>
                <c:ptCount val="10"/>
                <c:pt idx="0">
                  <c:v>0.17075238393888</c:v>
                </c:pt>
                <c:pt idx="1">
                  <c:v>0.127252478253708</c:v>
                </c:pt>
                <c:pt idx="2">
                  <c:v>0.100806489336706</c:v>
                </c:pt>
                <c:pt idx="3">
                  <c:v>0.0915390339393906</c:v>
                </c:pt>
                <c:pt idx="4">
                  <c:v>0.086365673551444</c:v>
                </c:pt>
                <c:pt idx="5">
                  <c:v>0.0826686348026576</c:v>
                </c:pt>
                <c:pt idx="6">
                  <c:v>0.081335807982078</c:v>
                </c:pt>
                <c:pt idx="7">
                  <c:v>0.0806679047694141</c:v>
                </c:pt>
                <c:pt idx="8">
                  <c:v>0.0802686277474174</c:v>
                </c:pt>
                <c:pt idx="9">
                  <c:v>0.0801343138737088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'W-Compare-Coop (theta)'!$O$1</c:f>
              <c:strCache>
                <c:ptCount val="1"/>
                <c:pt idx="0">
                  <c:v>Empirical Theta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 (theta)'!$L$2:$L$11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 (theta)'!$O$2:$O$11</c:f>
              <c:numCache>
                <c:formatCode>General</c:formatCode>
                <c:ptCount val="10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</c:numCache>
            </c:numRef>
          </c:yVal>
          <c:smooth val="0"/>
        </c:ser>
        <c:axId val="99354500"/>
        <c:axId val="59261930"/>
      </c:scatterChart>
      <c:valAx>
        <c:axId val="99354500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9261930"/>
        <c:crossesAt val="1"/>
        <c:crossBetween val="midCat"/>
      </c:valAx>
      <c:valAx>
        <c:axId val="59261930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Variable Collection Cost (Theta) ($/crossing)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9354500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06469216649303"/>
          <c:y val="0.45931266047797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Comparison of Supergame Conditions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29950601889598"/>
          <c:y val="0.159080244016893"/>
          <c:w val="0.900916023212316"/>
          <c:h val="0.6727358047864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'W-Compare-Coop (theta)'!$T$1</c:f>
              <c:strCache>
                <c:ptCount val="1"/>
                <c:pt idx="0">
                  <c:v>(1) (y-x)/(y-w)=(TX-XX)/(TX-TT)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 (theta)'!$S$2:$S$11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 (theta)'!$T$2:$T$11</c:f>
              <c:numCache>
                <c:formatCode>0.000</c:formatCode>
                <c:ptCount val="10"/>
                <c:pt idx="0">
                  <c:v>0.718562281087307</c:v>
                </c:pt>
                <c:pt idx="1">
                  <c:v>0.671971330824376</c:v>
                </c:pt>
                <c:pt idx="2">
                  <c:v>0.620844628309584</c:v>
                </c:pt>
                <c:pt idx="3">
                  <c:v>0.59773411416759</c:v>
                </c:pt>
                <c:pt idx="4">
                  <c:v>0.596474618075706</c:v>
                </c:pt>
                <c:pt idx="5">
                  <c:v>0.602778039276274</c:v>
                </c:pt>
                <c:pt idx="6">
                  <c:v>0.603008671761043</c:v>
                </c:pt>
                <c:pt idx="7">
                  <c:v>0.603008941226502</c:v>
                </c:pt>
                <c:pt idx="8">
                  <c:v>0.603005311992138</c:v>
                </c:pt>
                <c:pt idx="9">
                  <c:v>0.603005311992056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'W-Compare-Coop (theta)'!$U$1</c:f>
              <c:strCache>
                <c:ptCount val="1"/>
                <c:pt idx="0">
                  <c:v>(2) (y-x)/(x-z)=(TX-XX)/(XX-XT)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 (theta)'!$S$2:$S$11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 (theta)'!$U$2:$U$11</c:f>
              <c:numCache>
                <c:formatCode>0.000</c:formatCode>
                <c:ptCount val="10"/>
                <c:pt idx="0">
                  <c:v>1.86280530502991</c:v>
                </c:pt>
                <c:pt idx="1">
                  <c:v>1.30758392064721</c:v>
                </c:pt>
                <c:pt idx="2">
                  <c:v>0.887722062756113</c:v>
                </c:pt>
                <c:pt idx="3">
                  <c:v>0.71538719281469</c:v>
                </c:pt>
                <c:pt idx="4">
                  <c:v>0.644137488907241</c:v>
                </c:pt>
                <c:pt idx="5">
                  <c:v>0.633565346764269</c:v>
                </c:pt>
                <c:pt idx="6">
                  <c:v>0.633622789519635</c:v>
                </c:pt>
                <c:pt idx="7">
                  <c:v>0.63362297519137</c:v>
                </c:pt>
                <c:pt idx="8">
                  <c:v>0.632452840463575</c:v>
                </c:pt>
                <c:pt idx="9">
                  <c:v>0.632452840463292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'W-Compare-Coop (theta)'!$V$1</c:f>
              <c:strCache>
                <c:ptCount val="1"/>
                <c:pt idx="0">
                  <c:v>(3) (w-z)/(y-w)=(TT-XT)/(TX-TT)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 (theta)'!$S$2:$S$11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 (theta)'!$V$2:$V$11</c:f>
              <c:numCache>
                <c:formatCode>0.000</c:formatCode>
                <c:ptCount val="10"/>
                <c:pt idx="0">
                  <c:v>0.104304301011267</c:v>
                </c:pt>
                <c:pt idx="1">
                  <c:v>0.185874354724954</c:v>
                </c:pt>
                <c:pt idx="2">
                  <c:v>0.320212881456347</c:v>
                </c:pt>
                <c:pt idx="3">
                  <c:v>0.433273413963839</c:v>
                </c:pt>
                <c:pt idx="4">
                  <c:v>0.522479746402589</c:v>
                </c:pt>
                <c:pt idx="5">
                  <c:v>0.554184302820782</c:v>
                </c:pt>
                <c:pt idx="6">
                  <c:v>0.554692673244321</c:v>
                </c:pt>
                <c:pt idx="7">
                  <c:v>0.554693089113308</c:v>
                </c:pt>
                <c:pt idx="8">
                  <c:v>0.55644448312488</c:v>
                </c:pt>
                <c:pt idx="9">
                  <c:v>0.556444483125093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'W-Compare-Coop (theta)'!$W$1</c:f>
              <c:strCache>
                <c:ptCount val="1"/>
                <c:pt idx="0">
                  <c:v>(4) (w-z)/(x-z)=(TT-XT)/(XX-XT)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'W-Compare-Coop (theta)'!$S$2:$S$11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'W-Compare-Coop (theta)'!$W$2:$W$11</c:f>
              <c:numCache>
                <c:formatCode>0.000</c:formatCode>
                <c:ptCount val="10"/>
                <c:pt idx="0">
                  <c:v>0.270399115532781</c:v>
                </c:pt>
                <c:pt idx="1">
                  <c:v>0.361691498357313</c:v>
                </c:pt>
                <c:pt idx="2">
                  <c:v>0.457860190272534</c:v>
                </c:pt>
                <c:pt idx="3">
                  <c:v>0.518555397776616</c:v>
                </c:pt>
                <c:pt idx="4">
                  <c:v>0.564229862686195</c:v>
                </c:pt>
                <c:pt idx="5">
                  <c:v>0.582489651430444</c:v>
                </c:pt>
                <c:pt idx="6">
                  <c:v>0.582853838437745</c:v>
                </c:pt>
                <c:pt idx="7">
                  <c:v>0.582854185755843</c:v>
                </c:pt>
                <c:pt idx="8">
                  <c:v>0.583618231736579</c:v>
                </c:pt>
                <c:pt idx="9">
                  <c:v>0.583618231736621</c:v>
                </c:pt>
              </c:numCache>
            </c:numRef>
          </c:yVal>
          <c:smooth val="0"/>
        </c:ser>
        <c:axId val="18676242"/>
        <c:axId val="44506036"/>
      </c:scatterChart>
      <c:valAx>
        <c:axId val="18676242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4506036"/>
        <c:crossesAt val="0"/>
        <c:crossBetween val="midCat"/>
      </c:valAx>
      <c:valAx>
        <c:axId val="4450603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Discount Factor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cross"/>
        <c:minorTickMark val="cross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8676242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85458730996115"/>
          <c:y val="0.86672923510089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Geneva"/>
              </a:rPr>
              <a:t>Comparison of Tolls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5760697305864"/>
          <c:y val="0.161327713382508"/>
          <c:w val="0.871087559429477"/>
          <c:h val="0.70126448893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'W-TollCompare'!$B$1</c:f>
              <c:strCache>
                <c:ptCount val="1"/>
                <c:pt idx="0">
                  <c:v>Toll (All-Tax)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'W-TollCompare'!$A$2:$A$11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'W-TollCompare'!$B$2:$B$11</c:f>
              <c:numCache>
                <c:formatCode>0.0000</c:formatCode>
                <c:ptCount val="10"/>
                <c:pt idx="0">
                  <c:v>0.588971896538099</c:v>
                </c:pt>
                <c:pt idx="1">
                  <c:v>0.597783901352811</c:v>
                </c:pt>
                <c:pt idx="2">
                  <c:v>0.622158718461377</c:v>
                </c:pt>
                <c:pt idx="3">
                  <c:v>0.653294561414047</c:v>
                </c:pt>
                <c:pt idx="4">
                  <c:v>0.685094261261858</c:v>
                </c:pt>
                <c:pt idx="5">
                  <c:v>0.699683740780015</c:v>
                </c:pt>
                <c:pt idx="6">
                  <c:v>0.700000223551214</c:v>
                </c:pt>
                <c:pt idx="7">
                  <c:v>0.700000930479081</c:v>
                </c:pt>
                <c:pt idx="8">
                  <c:v>0.700659084745567</c:v>
                </c:pt>
                <c:pt idx="9">
                  <c:v>0.700659084745583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'W-TollCompare'!$C$1</c:f>
              <c:strCache>
                <c:ptCount val="1"/>
                <c:pt idx="0">
                  <c:v>Toll (All-Toll)-Noncooperative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'W-TollCompare'!$A$2:$A$11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'W-TollCompare'!$C$2:$C$11</c:f>
              <c:numCache>
                <c:formatCode>0.0000</c:formatCode>
                <c:ptCount val="10"/>
                <c:pt idx="0">
                  <c:v>0.588869338714299</c:v>
                </c:pt>
                <c:pt idx="1">
                  <c:v>0.597430597149462</c:v>
                </c:pt>
                <c:pt idx="2">
                  <c:v>0.620765513567254</c:v>
                </c:pt>
                <c:pt idx="3">
                  <c:v>0.650784678032378</c:v>
                </c:pt>
                <c:pt idx="4">
                  <c:v>0.683115162720272</c:v>
                </c:pt>
                <c:pt idx="5">
                  <c:v>0.699598442039559</c:v>
                </c:pt>
                <c:pt idx="6">
                  <c:v>0.700000521562557</c:v>
                </c:pt>
                <c:pt idx="7">
                  <c:v>0.700659084745354</c:v>
                </c:pt>
                <c:pt idx="8">
                  <c:v>0.70065908474501</c:v>
                </c:pt>
                <c:pt idx="9">
                  <c:v>0.700659084745965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'W-TollCompare'!$D$1</c:f>
              <c:strCache>
                <c:ptCount val="1"/>
                <c:pt idx="0">
                  <c:v>Toll (All-Toll)-Cooperative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'W-TollCompare'!$A$2:$A$11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'W-TollCompare'!$D$2:$D$11</c:f>
              <c:numCache>
                <c:formatCode>0.0000</c:formatCode>
                <c:ptCount val="10"/>
                <c:pt idx="0">
                  <c:v>0.0889634490185383</c:v>
                </c:pt>
                <c:pt idx="1">
                  <c:v>0.0977818151727462</c:v>
                </c:pt>
                <c:pt idx="2">
                  <c:v>0.122450567347908</c:v>
                </c:pt>
                <c:pt idx="3">
                  <c:v>0.15441518101152</c:v>
                </c:pt>
                <c:pt idx="4">
                  <c:v>0.18637005171935</c:v>
                </c:pt>
                <c:pt idx="5">
                  <c:v>0.199749850156795</c:v>
                </c:pt>
                <c:pt idx="6">
                  <c:v>0.200002580758362</c:v>
                </c:pt>
                <c:pt idx="7">
                  <c:v>0.200002811538664</c:v>
                </c:pt>
                <c:pt idx="8">
                  <c:v>0.201159993587472</c:v>
                </c:pt>
                <c:pt idx="9">
                  <c:v>0.201159993587526</c:v>
                </c:pt>
              </c:numCache>
            </c:numRef>
          </c:yVal>
          <c:smooth val="0"/>
        </c:ser>
        <c:axId val="81588084"/>
        <c:axId val="34332298"/>
      </c:scatterChart>
      <c:valAx>
        <c:axId val="81588084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4332298"/>
        <c:crossesAt val="0"/>
        <c:crossBetween val="midCat"/>
      </c:valAx>
      <c:valAx>
        <c:axId val="3433229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Toll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1588084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33815372424723"/>
          <c:y val="0.901475237091675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Geneva"/>
              </a:rPr>
              <a:t>Comparison of Tolls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5760697305864"/>
          <c:y val="0.161327713382508"/>
          <c:w val="0.871087559429477"/>
          <c:h val="0.70126448893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'W-TollCompare'!$B$1</c:f>
              <c:strCache>
                <c:ptCount val="1"/>
                <c:pt idx="0">
                  <c:v>Toll (All-Tax)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'W-TollCompare'!$A$2:$A$11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'W-TollCompare'!$B$2:$B$11</c:f>
              <c:numCache>
                <c:formatCode>0.0000</c:formatCode>
                <c:ptCount val="10"/>
                <c:pt idx="0">
                  <c:v>0.588971896538099</c:v>
                </c:pt>
                <c:pt idx="1">
                  <c:v>0.597783901352811</c:v>
                </c:pt>
                <c:pt idx="2">
                  <c:v>0.622158718461377</c:v>
                </c:pt>
                <c:pt idx="3">
                  <c:v>0.653294561414047</c:v>
                </c:pt>
                <c:pt idx="4">
                  <c:v>0.685094261261858</c:v>
                </c:pt>
                <c:pt idx="5">
                  <c:v>0.699683740780015</c:v>
                </c:pt>
                <c:pt idx="6">
                  <c:v>0.700000223551214</c:v>
                </c:pt>
                <c:pt idx="7">
                  <c:v>0.700000930479081</c:v>
                </c:pt>
                <c:pt idx="8">
                  <c:v>0.700659084745567</c:v>
                </c:pt>
                <c:pt idx="9">
                  <c:v>0.700659084745583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'W-TollCompare'!$C$1</c:f>
              <c:strCache>
                <c:ptCount val="1"/>
                <c:pt idx="0">
                  <c:v>Toll (All-Toll)-Noncooperative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'W-TollCompare'!$A$2:$A$11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'W-TollCompare'!$C$2:$C$11</c:f>
              <c:numCache>
                <c:formatCode>0.0000</c:formatCode>
                <c:ptCount val="10"/>
                <c:pt idx="0">
                  <c:v>0.588869338714299</c:v>
                </c:pt>
                <c:pt idx="1">
                  <c:v>0.597430597149462</c:v>
                </c:pt>
                <c:pt idx="2">
                  <c:v>0.620765513567254</c:v>
                </c:pt>
                <c:pt idx="3">
                  <c:v>0.650784678032378</c:v>
                </c:pt>
                <c:pt idx="4">
                  <c:v>0.683115162720272</c:v>
                </c:pt>
                <c:pt idx="5">
                  <c:v>0.699598442039559</c:v>
                </c:pt>
                <c:pt idx="6">
                  <c:v>0.700000521562557</c:v>
                </c:pt>
                <c:pt idx="7">
                  <c:v>0.700659084745354</c:v>
                </c:pt>
                <c:pt idx="8">
                  <c:v>0.70065908474501</c:v>
                </c:pt>
                <c:pt idx="9">
                  <c:v>0.700659084745965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'W-TollCompare'!$D$1</c:f>
              <c:strCache>
                <c:ptCount val="1"/>
                <c:pt idx="0">
                  <c:v>Toll (All-Toll)-Cooperative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'W-TollCompare'!$A$2:$A$11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'W-TollCompare'!$D$2:$D$11</c:f>
              <c:numCache>
                <c:formatCode>0.0000</c:formatCode>
                <c:ptCount val="10"/>
                <c:pt idx="0">
                  <c:v>0.0889634490185383</c:v>
                </c:pt>
                <c:pt idx="1">
                  <c:v>0.0977818151727462</c:v>
                </c:pt>
                <c:pt idx="2">
                  <c:v>0.122450567347908</c:v>
                </c:pt>
                <c:pt idx="3">
                  <c:v>0.15441518101152</c:v>
                </c:pt>
                <c:pt idx="4">
                  <c:v>0.18637005171935</c:v>
                </c:pt>
                <c:pt idx="5">
                  <c:v>0.199749850156795</c:v>
                </c:pt>
                <c:pt idx="6">
                  <c:v>0.200002580758362</c:v>
                </c:pt>
                <c:pt idx="7">
                  <c:v>0.200002811538664</c:v>
                </c:pt>
                <c:pt idx="8">
                  <c:v>0.201159993587472</c:v>
                </c:pt>
                <c:pt idx="9">
                  <c:v>0.201159993587526</c:v>
                </c:pt>
              </c:numCache>
            </c:numRef>
          </c:yVal>
          <c:smooth val="0"/>
        </c:ser>
        <c:axId val="30144331"/>
        <c:axId val="82608956"/>
      </c:scatterChart>
      <c:valAx>
        <c:axId val="30144331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2608956"/>
        <c:crossesAt val="0"/>
        <c:crossBetween val="midCat"/>
      </c:valAx>
      <c:valAx>
        <c:axId val="8260895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Toll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0144331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33815372424723"/>
          <c:y val="0.901475237091675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Geneva"/>
              </a:rPr>
              <a:t>Comparison of Welfare with Toll Policies Under Cooperative and Non-Cooperative Equilibria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5760697305864"/>
          <c:y val="0.161854583772392"/>
          <c:w val="0.871087559429477"/>
          <c:h val="0.7008429926238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'W-TollCompare'!$G$1</c:f>
              <c:strCache>
                <c:ptCount val="1"/>
                <c:pt idx="0">
                  <c:v>W (All-Tax)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'W-TollCompare'!$F$2:$F$11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'W-TollCompare'!$G$2:$G$11</c:f>
              <c:numCache>
                <c:formatCode>0</c:formatCode>
                <c:ptCount val="10"/>
                <c:pt idx="0">
                  <c:v>916.113316207213</c:v>
                </c:pt>
                <c:pt idx="1">
                  <c:v>597.677184951796</c:v>
                </c:pt>
                <c:pt idx="2">
                  <c:v>412.169030434292</c:v>
                </c:pt>
                <c:pt idx="3">
                  <c:v>355.851348207362</c:v>
                </c:pt>
                <c:pt idx="4">
                  <c:v>331.327180222336</c:v>
                </c:pt>
                <c:pt idx="5">
                  <c:v>317.761588934224</c:v>
                </c:pt>
                <c:pt idx="6">
                  <c:v>313.213282321765</c:v>
                </c:pt>
                <c:pt idx="7">
                  <c:v>310.937123548173</c:v>
                </c:pt>
                <c:pt idx="8">
                  <c:v>309.571425629486</c:v>
                </c:pt>
                <c:pt idx="9">
                  <c:v>309.116193830237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'W-TollCompare'!$H$1</c:f>
              <c:strCache>
                <c:ptCount val="1"/>
                <c:pt idx="0">
                  <c:v>W (All-Toll)-Noncooperative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'W-TollCompare'!$F$2:$F$11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'W-TollCompare'!$H$2:$H$11</c:f>
              <c:numCache>
                <c:formatCode>0</c:formatCode>
                <c:ptCount val="10"/>
                <c:pt idx="0">
                  <c:v>-20.2245714377075</c:v>
                </c:pt>
                <c:pt idx="1">
                  <c:v>72.3526095937818</c:v>
                </c:pt>
                <c:pt idx="2">
                  <c:v>177.307286639362</c:v>
                </c:pt>
                <c:pt idx="3">
                  <c:v>236.703551577693</c:v>
                </c:pt>
                <c:pt idx="4">
                  <c:v>272.574855406395</c:v>
                </c:pt>
                <c:pt idx="5">
                  <c:v>294.37858234659</c:v>
                </c:pt>
                <c:pt idx="6">
                  <c:v>301.522113732881</c:v>
                </c:pt>
                <c:pt idx="7">
                  <c:v>305.087744184494</c:v>
                </c:pt>
                <c:pt idx="8">
                  <c:v>307.231674892392</c:v>
                </c:pt>
                <c:pt idx="9">
                  <c:v>307.946318461689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'W-TollCompare'!$I$1</c:f>
              <c:strCache>
                <c:ptCount val="1"/>
                <c:pt idx="0">
                  <c:v>W (All-Toll)-Cooperative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round/>
            </a:ln>
          </c:spPr>
          <c:marker>
            <c:symbol val="triangle"/>
            <c:size val="6"/>
            <c:spPr>
              <a:solidFill>
                <a:srgbClr val="1FB71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'W-TollCompare'!$F$2:$F$11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'W-TollCompare'!$I$2:$I$11</c:f>
              <c:numCache>
                <c:formatCode>0</c:formatCode>
                <c:ptCount val="10"/>
                <c:pt idx="0">
                  <c:v>70.7414254686023</c:v>
                </c:pt>
                <c:pt idx="1">
                  <c:v>167.575170679487</c:v>
                </c:pt>
                <c:pt idx="2">
                  <c:v>245.447658156122</c:v>
                </c:pt>
                <c:pt idx="3">
                  <c:v>276.902556331743</c:v>
                </c:pt>
                <c:pt idx="4">
                  <c:v>293.326873915134</c:v>
                </c:pt>
                <c:pt idx="5">
                  <c:v>302.66378126664</c:v>
                </c:pt>
                <c:pt idx="6">
                  <c:v>305.66393767058</c:v>
                </c:pt>
                <c:pt idx="7">
                  <c:v>307.162450634441</c:v>
                </c:pt>
                <c:pt idx="8">
                  <c:v>308.061549048978</c:v>
                </c:pt>
                <c:pt idx="9">
                  <c:v>308.361255539983</c:v>
                </c:pt>
              </c:numCache>
            </c:numRef>
          </c:yVal>
          <c:smooth val="0"/>
        </c:ser>
        <c:axId val="7170902"/>
        <c:axId val="73818704"/>
      </c:scatterChart>
      <c:valAx>
        <c:axId val="7170902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3818704"/>
        <c:crossesAt val="0"/>
        <c:crossBetween val="midCat"/>
      </c:valAx>
      <c:valAx>
        <c:axId val="7381870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Welfare (W)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170902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47929873217116"/>
          <c:y val="0.901475237091675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Welfare for Various Toll Spacings and Collection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6007604562738"/>
          <c:y val="0.173290106672244"/>
          <c:w val="0.932015209125475"/>
          <c:h val="0.665132817402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'WG-OptSize-Coop'!$B$68</c:f>
              <c:strCache>
                <c:ptCount val="1"/>
                <c:pt idx="0">
                  <c:v>[90, 0.08]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'WG-OptSize-Coop'!$A$69:$A$78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'WG-OptSize-Coop'!$B$69:$B$78</c:f>
              <c:numCache>
                <c:formatCode>0</c:formatCode>
                <c:ptCount val="10"/>
                <c:pt idx="0">
                  <c:v>8.18696179612607</c:v>
                </c:pt>
                <c:pt idx="1">
                  <c:v>142.746068034382</c:v>
                </c:pt>
                <c:pt idx="2">
                  <c:v>239.671063073712</c:v>
                </c:pt>
                <c:pt idx="3">
                  <c:v>275.023869350557</c:v>
                </c:pt>
                <c:pt idx="4">
                  <c:v>292.605137745504</c:v>
                </c:pt>
                <c:pt idx="5">
                  <c:v>302.392892648209</c:v>
                </c:pt>
                <c:pt idx="6">
                  <c:v>305.528552158987</c:v>
                </c:pt>
                <c:pt idx="7">
                  <c:v>307.094759095167</c:v>
                </c:pt>
                <c:pt idx="8">
                  <c:v>308.034480856659</c:v>
                </c:pt>
                <c:pt idx="9">
                  <c:v>308.347721443824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'WG-OptSize-Coop'!$C$68</c:f>
              <c:strCache>
                <c:ptCount val="1"/>
                <c:pt idx="0">
                  <c:v>[0, 0.08]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'WG-OptSize-Coop'!$A$69:$A$78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'WG-OptSize-Coop'!$C$69:$C$78</c:f>
              <c:numCache>
                <c:formatCode>0</c:formatCode>
                <c:ptCount val="10"/>
                <c:pt idx="0">
                  <c:v>98.186961796126</c:v>
                </c:pt>
                <c:pt idx="1">
                  <c:v>187.746068034382</c:v>
                </c:pt>
                <c:pt idx="2">
                  <c:v>257.671063073712</c:v>
                </c:pt>
                <c:pt idx="3">
                  <c:v>284.023869350557</c:v>
                </c:pt>
                <c:pt idx="4">
                  <c:v>297.105137745504</c:v>
                </c:pt>
                <c:pt idx="5">
                  <c:v>304.192892648209</c:v>
                </c:pt>
                <c:pt idx="6">
                  <c:v>306.428552158987</c:v>
                </c:pt>
                <c:pt idx="7">
                  <c:v>307.544759095167</c:v>
                </c:pt>
                <c:pt idx="8">
                  <c:v>308.214480856659</c:v>
                </c:pt>
                <c:pt idx="9">
                  <c:v>308.437721443824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'WG-OptSize-Coop'!$D$68</c:f>
              <c:strCache>
                <c:ptCount val="1"/>
                <c:pt idx="0">
                  <c:v>[90, 0]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'WG-OptSize-Coop'!$A$69:$A$78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'WG-OptSize-Coop'!$D$69:$D$78</c:f>
              <c:numCache>
                <c:formatCode>0</c:formatCode>
                <c:ptCount val="10"/>
                <c:pt idx="0">
                  <c:v>223.162184539246</c:v>
                </c:pt>
                <c:pt idx="1">
                  <c:v>268.137132893752</c:v>
                </c:pt>
                <c:pt idx="2">
                  <c:v>294.971641184696</c:v>
                </c:pt>
                <c:pt idx="3">
                  <c:v>303.49142883074</c:v>
                </c:pt>
                <c:pt idx="4">
                  <c:v>306.927524261369</c:v>
                </c:pt>
                <c:pt idx="5">
                  <c:v>308.104015020045</c:v>
                </c:pt>
                <c:pt idx="6">
                  <c:v>308.383611021376</c:v>
                </c:pt>
                <c:pt idx="7">
                  <c:v>308.522286983671</c:v>
                </c:pt>
                <c:pt idx="8">
                  <c:v>308.605492012061</c:v>
                </c:pt>
                <c:pt idx="9">
                  <c:v>308.633227021524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'WG-OptSize-Coop'!$E$68</c:f>
              <c:strCache>
                <c:ptCount val="1"/>
                <c:pt idx="0">
                  <c:v>[60, 0]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'WG-OptSize-Coop'!$A$69:$A$78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'WG-OptSize-Coop'!$E$69:$E$78</c:f>
              <c:numCache>
                <c:formatCode>0</c:formatCode>
                <c:ptCount val="10"/>
                <c:pt idx="0">
                  <c:v>253.162184539246</c:v>
                </c:pt>
                <c:pt idx="1">
                  <c:v>283.137132893752</c:v>
                </c:pt>
                <c:pt idx="2">
                  <c:v>300.971641184696</c:v>
                </c:pt>
                <c:pt idx="3">
                  <c:v>306.49142883074</c:v>
                </c:pt>
                <c:pt idx="4">
                  <c:v>308.427524261369</c:v>
                </c:pt>
                <c:pt idx="5">
                  <c:v>308.704015020045</c:v>
                </c:pt>
                <c:pt idx="6">
                  <c:v>308.683611021376</c:v>
                </c:pt>
                <c:pt idx="7">
                  <c:v>308.672286983671</c:v>
                </c:pt>
                <c:pt idx="8">
                  <c:v>308.665492012061</c:v>
                </c:pt>
                <c:pt idx="9">
                  <c:v>308.663227021524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'WG-OptSize-Coop'!$F$68</c:f>
              <c:strCache>
                <c:ptCount val="1"/>
                <c:pt idx="0">
                  <c:v>[45, 0]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'WG-OptSize-Coop'!$A$69:$A$78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'WG-OptSize-Coop'!$F$69:$F$78</c:f>
              <c:numCache>
                <c:formatCode>0</c:formatCode>
                <c:ptCount val="10"/>
                <c:pt idx="0">
                  <c:v>268.162184539246</c:v>
                </c:pt>
                <c:pt idx="1">
                  <c:v>290.637132893752</c:v>
                </c:pt>
                <c:pt idx="2">
                  <c:v>303.971641184696</c:v>
                </c:pt>
                <c:pt idx="3">
                  <c:v>307.99142883074</c:v>
                </c:pt>
                <c:pt idx="4">
                  <c:v>309.177524261369</c:v>
                </c:pt>
                <c:pt idx="5">
                  <c:v>309.004015020045</c:v>
                </c:pt>
                <c:pt idx="6">
                  <c:v>308.833611021376</c:v>
                </c:pt>
                <c:pt idx="7">
                  <c:v>308.747286983671</c:v>
                </c:pt>
                <c:pt idx="8">
                  <c:v>308.695492012061</c:v>
                </c:pt>
                <c:pt idx="9">
                  <c:v>308.678227021524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'WG-OptSize-Coop'!$G$68</c:f>
              <c:strCache>
                <c:ptCount val="1"/>
                <c:pt idx="0">
                  <c:v>[30, 0]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'WG-OptSize-Coop'!$A$69:$A$78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'WG-OptSize-Coop'!$G$69:$G$78</c:f>
              <c:numCache>
                <c:formatCode>0</c:formatCode>
                <c:ptCount val="10"/>
                <c:pt idx="0">
                  <c:v>283.162184539246</c:v>
                </c:pt>
                <c:pt idx="1">
                  <c:v>298.137132893752</c:v>
                </c:pt>
                <c:pt idx="2">
                  <c:v>306.971641184696</c:v>
                </c:pt>
                <c:pt idx="3">
                  <c:v>309.49142883074</c:v>
                </c:pt>
                <c:pt idx="4">
                  <c:v>309.927524261369</c:v>
                </c:pt>
                <c:pt idx="5">
                  <c:v>309.304015020045</c:v>
                </c:pt>
                <c:pt idx="6">
                  <c:v>308.983611021376</c:v>
                </c:pt>
                <c:pt idx="7">
                  <c:v>308.822286983671</c:v>
                </c:pt>
                <c:pt idx="8">
                  <c:v>308.725492012061</c:v>
                </c:pt>
                <c:pt idx="9">
                  <c:v>308.693227021524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'WG-OptSize-Coop'!$H$68</c:f>
              <c:strCache>
                <c:ptCount val="1"/>
                <c:pt idx="0">
                  <c:v>[0, 0]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'WG-OptSize-Coop'!$A$69:$A$78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'WG-OptSize-Coop'!$H$69:$H$78</c:f>
              <c:numCache>
                <c:formatCode>0</c:formatCode>
                <c:ptCount val="10"/>
                <c:pt idx="0">
                  <c:v>313.162184539246</c:v>
                </c:pt>
                <c:pt idx="1">
                  <c:v>313.137132893752</c:v>
                </c:pt>
                <c:pt idx="2">
                  <c:v>312.971641184696</c:v>
                </c:pt>
                <c:pt idx="3">
                  <c:v>312.49142883074</c:v>
                </c:pt>
                <c:pt idx="4">
                  <c:v>311.427524261369</c:v>
                </c:pt>
                <c:pt idx="5">
                  <c:v>309.904015020045</c:v>
                </c:pt>
                <c:pt idx="6">
                  <c:v>309.283611021376</c:v>
                </c:pt>
                <c:pt idx="7">
                  <c:v>308.972286983671</c:v>
                </c:pt>
                <c:pt idx="8">
                  <c:v>308.785492012061</c:v>
                </c:pt>
                <c:pt idx="9">
                  <c:v>308.723227021524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'WG-OptSize-Coop'!$I$68</c:f>
              <c:strCache>
                <c:ptCount val="1"/>
                <c:pt idx="0">
                  <c:v>TaxWelfare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marker>
            <c:symbol val="triangle"/>
            <c:size val="5"/>
            <c:spPr>
              <a:solidFill>
                <a:srgbClr val="00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'WG-OptSize-Coop'!$A$69:$A$78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'WG-OptSize-Coop'!$I$69:$I$78</c:f>
              <c:numCache>
                <c:formatCode>0</c:formatCode>
                <c:ptCount val="10"/>
                <c:pt idx="0">
                  <c:v>392.841224403075</c:v>
                </c:pt>
                <c:pt idx="1">
                  <c:v>392.841224403075</c:v>
                </c:pt>
                <c:pt idx="2">
                  <c:v>392.841224403075</c:v>
                </c:pt>
                <c:pt idx="3">
                  <c:v>392.841224403075</c:v>
                </c:pt>
                <c:pt idx="4">
                  <c:v>392.841224403075</c:v>
                </c:pt>
                <c:pt idx="5">
                  <c:v>392.841224403075</c:v>
                </c:pt>
                <c:pt idx="6">
                  <c:v>392.841224403075</c:v>
                </c:pt>
                <c:pt idx="7">
                  <c:v>392.841224403075</c:v>
                </c:pt>
                <c:pt idx="8">
                  <c:v>392.841224403075</c:v>
                </c:pt>
                <c:pt idx="9">
                  <c:v>392.841224403075</c:v>
                </c:pt>
              </c:numCache>
            </c:numRef>
          </c:yVal>
          <c:smooth val="1"/>
        </c:ser>
        <c:axId val="77945015"/>
        <c:axId val="8381111"/>
      </c:scatterChart>
      <c:valAx>
        <c:axId val="77945015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Spacing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in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381111"/>
        <c:crossesAt val="0"/>
        <c:crossBetween val="midCat"/>
      </c:valAx>
      <c:valAx>
        <c:axId val="8381111"/>
        <c:scaling>
          <c:orientation val="minMax"/>
          <c:max val="4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7945015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0207351077313055"/>
          <c:y val="0.876908596527923"/>
          <c:w val="0.98722433460076"/>
          <c:h val="0.084814892281949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Welfare for Various Toll Spacings and Collection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6007604562738"/>
          <c:y val="0.173290106672244"/>
          <c:w val="0.932015209125475"/>
          <c:h val="0.665132817402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'WG-OptSize-Nonc'!$B$68</c:f>
              <c:strCache>
                <c:ptCount val="1"/>
                <c:pt idx="0">
                  <c:v>[90, 0.08]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'WG-OptSize-Nonc'!$A$69:$A$78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'WG-OptSize-Nonc'!$B$69:$B$78</c:f>
              <c:numCache>
                <c:formatCode>0</c:formatCode>
                <c:ptCount val="10"/>
                <c:pt idx="0">
                  <c:v>-20.2324130598923</c:v>
                </c:pt>
                <c:pt idx="1">
                  <c:v>72.3159092315136</c:v>
                </c:pt>
                <c:pt idx="2">
                  <c:v>177.162528049033</c:v>
                </c:pt>
                <c:pt idx="3">
                  <c:v>236.522783253851</c:v>
                </c:pt>
                <c:pt idx="4">
                  <c:v>272.489382395423</c:v>
                </c:pt>
                <c:pt idx="5">
                  <c:v>294.367665247671</c:v>
                </c:pt>
                <c:pt idx="6">
                  <c:v>301.517354899989</c:v>
                </c:pt>
                <c:pt idx="7">
                  <c:v>305.089160190133</c:v>
                </c:pt>
                <c:pt idx="8">
                  <c:v>307.232241294646</c:v>
                </c:pt>
                <c:pt idx="9">
                  <c:v>307.946601662816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'WG-OptSize-Nonc'!$C$68</c:f>
              <c:strCache>
                <c:ptCount val="1"/>
                <c:pt idx="0">
                  <c:v>[0, 0.08]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'WG-OptSize-Nonc'!$A$69:$A$78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'WG-OptSize-Nonc'!$C$69:$C$78</c:f>
              <c:numCache>
                <c:formatCode>0</c:formatCode>
                <c:ptCount val="10"/>
                <c:pt idx="0">
                  <c:v>69.7675869400947</c:v>
                </c:pt>
                <c:pt idx="1">
                  <c:v>117.315909231508</c:v>
                </c:pt>
                <c:pt idx="2">
                  <c:v>195.162528049042</c:v>
                </c:pt>
                <c:pt idx="3">
                  <c:v>245.522783253892</c:v>
                </c:pt>
                <c:pt idx="4">
                  <c:v>276.989382395422</c:v>
                </c:pt>
                <c:pt idx="5">
                  <c:v>296.167665247671</c:v>
                </c:pt>
                <c:pt idx="6">
                  <c:v>302.417354899987</c:v>
                </c:pt>
                <c:pt idx="7">
                  <c:v>305.539160190133</c:v>
                </c:pt>
                <c:pt idx="8">
                  <c:v>307.412241294646</c:v>
                </c:pt>
                <c:pt idx="9">
                  <c:v>308.036601662817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'WG-OptSize-Nonc'!$D$68</c:f>
              <c:strCache>
                <c:ptCount val="1"/>
                <c:pt idx="0">
                  <c:v>[90, 0]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'WG-OptSize-Nonc'!$A$69:$A$78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'WG-OptSize-Nonc'!$D$69:$D$78</c:f>
              <c:numCache>
                <c:formatCode>0</c:formatCode>
                <c:ptCount val="10"/>
                <c:pt idx="0">
                  <c:v>-6.77166131945395</c:v>
                </c:pt>
                <c:pt idx="1">
                  <c:v>91.3956166437198</c:v>
                </c:pt>
                <c:pt idx="2">
                  <c:v>198.224446149217</c:v>
                </c:pt>
                <c:pt idx="3">
                  <c:v>252.766658335437</c:v>
                </c:pt>
                <c:pt idx="4">
                  <c:v>282.194005362905</c:v>
                </c:pt>
                <c:pt idx="5">
                  <c:v>298.371925344291</c:v>
                </c:pt>
                <c:pt idx="6">
                  <c:v>303.519534879396</c:v>
                </c:pt>
                <c:pt idx="7">
                  <c:v>306.090249958084</c:v>
                </c:pt>
                <c:pt idx="8">
                  <c:v>307.632677201826</c:v>
                </c:pt>
                <c:pt idx="9">
                  <c:v>308.146819616407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'WG-OptSize-Nonc'!$E$68</c:f>
              <c:strCache>
                <c:ptCount val="1"/>
                <c:pt idx="0">
                  <c:v>[60, 0]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'WG-OptSize-Nonc'!$A$69:$A$78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'WG-OptSize-Nonc'!$E$69:$E$78</c:f>
              <c:numCache>
                <c:formatCode>0</c:formatCode>
                <c:ptCount val="10"/>
                <c:pt idx="0">
                  <c:v>23.2283386805482</c:v>
                </c:pt>
                <c:pt idx="1">
                  <c:v>106.395616643707</c:v>
                </c:pt>
                <c:pt idx="2">
                  <c:v>204.224446149219</c:v>
                </c:pt>
                <c:pt idx="3">
                  <c:v>255.766658335437</c:v>
                </c:pt>
                <c:pt idx="4">
                  <c:v>283.694005362904</c:v>
                </c:pt>
                <c:pt idx="5">
                  <c:v>298.971925344291</c:v>
                </c:pt>
                <c:pt idx="6">
                  <c:v>303.819534879396</c:v>
                </c:pt>
                <c:pt idx="7">
                  <c:v>306.240249958084</c:v>
                </c:pt>
                <c:pt idx="8">
                  <c:v>307.692677201826</c:v>
                </c:pt>
                <c:pt idx="9">
                  <c:v>308.176819616407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'WG-OptSize-Nonc'!$F$68</c:f>
              <c:strCache>
                <c:ptCount val="1"/>
                <c:pt idx="0">
                  <c:v>[45, 0]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'WG-OptSize-Nonc'!$A$69:$A$78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'WG-OptSize-Nonc'!$F$69:$F$78</c:f>
              <c:numCache>
                <c:formatCode>0</c:formatCode>
                <c:ptCount val="10"/>
                <c:pt idx="0">
                  <c:v>38.2283386805493</c:v>
                </c:pt>
                <c:pt idx="1">
                  <c:v>113.895616643701</c:v>
                </c:pt>
                <c:pt idx="2">
                  <c:v>207.22444614922</c:v>
                </c:pt>
                <c:pt idx="3">
                  <c:v>257.266658335438</c:v>
                </c:pt>
                <c:pt idx="4">
                  <c:v>284.444005362904</c:v>
                </c:pt>
                <c:pt idx="5">
                  <c:v>299.271925344291</c:v>
                </c:pt>
                <c:pt idx="6">
                  <c:v>303.969534879397</c:v>
                </c:pt>
                <c:pt idx="7">
                  <c:v>306.315249958084</c:v>
                </c:pt>
                <c:pt idx="8">
                  <c:v>307.722677201826</c:v>
                </c:pt>
                <c:pt idx="9">
                  <c:v>308.191819616407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'WG-OptSize-Nonc'!$G$68</c:f>
              <c:strCache>
                <c:ptCount val="1"/>
                <c:pt idx="0">
                  <c:v>[30, 0]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'WG-OptSize-Nonc'!$A$69:$A$78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'WG-OptSize-Nonc'!$G$69:$G$78</c:f>
              <c:numCache>
                <c:formatCode>0</c:formatCode>
                <c:ptCount val="10"/>
                <c:pt idx="0">
                  <c:v>53.2283386805503</c:v>
                </c:pt>
                <c:pt idx="1">
                  <c:v>121.395616643695</c:v>
                </c:pt>
                <c:pt idx="2">
                  <c:v>210.224446149221</c:v>
                </c:pt>
                <c:pt idx="3">
                  <c:v>258.766658335438</c:v>
                </c:pt>
                <c:pt idx="4">
                  <c:v>285.194005362904</c:v>
                </c:pt>
                <c:pt idx="5">
                  <c:v>299.571925344291</c:v>
                </c:pt>
                <c:pt idx="6">
                  <c:v>304.119534879397</c:v>
                </c:pt>
                <c:pt idx="7">
                  <c:v>306.390249958084</c:v>
                </c:pt>
                <c:pt idx="8">
                  <c:v>307.752677201827</c:v>
                </c:pt>
                <c:pt idx="9">
                  <c:v>308.206819616407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'WG-OptSize-Nonc'!$H$68</c:f>
              <c:strCache>
                <c:ptCount val="1"/>
                <c:pt idx="0">
                  <c:v>[0, 0]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'WG-OptSize-Nonc'!$A$69:$A$78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'WG-OptSize-Nonc'!$H$69:$H$78</c:f>
              <c:numCache>
                <c:formatCode>0</c:formatCode>
                <c:ptCount val="10"/>
                <c:pt idx="0">
                  <c:v>83.2283386805525</c:v>
                </c:pt>
                <c:pt idx="1">
                  <c:v>136.395616643682</c:v>
                </c:pt>
                <c:pt idx="2">
                  <c:v>216.224446149224</c:v>
                </c:pt>
                <c:pt idx="3">
                  <c:v>261.766658335438</c:v>
                </c:pt>
                <c:pt idx="4">
                  <c:v>286.694005362903</c:v>
                </c:pt>
                <c:pt idx="5">
                  <c:v>300.171925344291</c:v>
                </c:pt>
                <c:pt idx="6">
                  <c:v>304.419534879397</c:v>
                </c:pt>
                <c:pt idx="7">
                  <c:v>306.540249958084</c:v>
                </c:pt>
                <c:pt idx="8">
                  <c:v>307.812677201827</c:v>
                </c:pt>
                <c:pt idx="9">
                  <c:v>308.236819616407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'WG-OptSize-Nonc'!$I$68</c:f>
              <c:strCache>
                <c:ptCount val="1"/>
                <c:pt idx="0">
                  <c:v>TaxWelfare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marker>
            <c:symbol val="triangle"/>
            <c:size val="5"/>
            <c:spPr>
              <a:solidFill>
                <a:srgbClr val="00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'WG-OptSize-Nonc'!$A$69:$A$78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'WG-OptSize-Nonc'!$I$69:$I$78</c:f>
              <c:numCache>
                <c:formatCode>0</c:formatCode>
                <c:ptCount val="10"/>
                <c:pt idx="0">
                  <c:v>392.841224403075</c:v>
                </c:pt>
                <c:pt idx="1">
                  <c:v>392.841224403075</c:v>
                </c:pt>
                <c:pt idx="2">
                  <c:v>392.841224403075</c:v>
                </c:pt>
                <c:pt idx="3">
                  <c:v>392.841224403075</c:v>
                </c:pt>
                <c:pt idx="4">
                  <c:v>392.841224403075</c:v>
                </c:pt>
                <c:pt idx="5">
                  <c:v>392.841224403075</c:v>
                </c:pt>
                <c:pt idx="6">
                  <c:v>392.841224403075</c:v>
                </c:pt>
                <c:pt idx="7">
                  <c:v>392.841224403075</c:v>
                </c:pt>
                <c:pt idx="8">
                  <c:v>392.841224403075</c:v>
                </c:pt>
                <c:pt idx="9">
                  <c:v>392.841224403075</c:v>
                </c:pt>
              </c:numCache>
            </c:numRef>
          </c:yVal>
          <c:smooth val="1"/>
        </c:ser>
        <c:axId val="55770061"/>
        <c:axId val="54924351"/>
      </c:scatterChart>
      <c:valAx>
        <c:axId val="55770061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Spacing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in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4924351"/>
        <c:crossesAt val="0"/>
        <c:crossBetween val="midCat"/>
      </c:valAx>
      <c:valAx>
        <c:axId val="54924351"/>
        <c:scaling>
          <c:orientation val="minMax"/>
          <c:max val="4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5770061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0248415716096324"/>
          <c:y val="0.876908596527923"/>
          <c:w val="0.98722433460076"/>
          <c:h val="0.084814892281949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Optimal Spacing of Tolls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499511650620901"/>
          <c:y val="0.178760476400529"/>
          <c:w val="0.825263941212037"/>
          <c:h val="0.726731363034848"/>
        </c:manualLayout>
      </c:layout>
      <c:lineChart>
        <c:grouping val="standard"/>
        <c:varyColors val="0"/>
        <c:ser>
          <c:idx val="0"/>
          <c:order val="0"/>
          <c:tx>
            <c:strRef>
              <c:f>'WG-OptSize (3)'!$B$24</c:f>
              <c:strCache>
                <c:ptCount val="1"/>
                <c:pt idx="0">
                  <c:v>Theta=0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'WG-OptSize (3)'!$A$25:$A$29</c:f>
              <c:strCache>
                <c:ptCount val="5"/>
                <c:pt idx="0">
                  <c:v>0</c:v>
                </c:pt>
                <c:pt idx="1">
                  <c:v>15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</c:strCache>
            </c:strRef>
          </c:cat>
          <c:val>
            <c:numRef>
              <c:f>'WG-OptSize (3)'!$B$25:$B$29</c:f>
              <c:numCache>
                <c:formatCode>General</c:formatCode>
                <c:ptCount val="5"/>
                <c:pt idx="0">
                  <c:v>5.87157621694293</c:v>
                </c:pt>
                <c:pt idx="1">
                  <c:v>10.2918045434737</c:v>
                </c:pt>
                <c:pt idx="2">
                  <c:v>26.6</c:v>
                </c:pt>
                <c:pt idx="3">
                  <c:v>103.4</c:v>
                </c:pt>
                <c:pt idx="4">
                  <c:v>6554.6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989953"/>
        <c:axId val="48414619"/>
      </c:lineChart>
      <c:catAx>
        <c:axId val="649899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Fixed Collection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8414619"/>
        <c:crossesAt val="1"/>
        <c:auto val="1"/>
        <c:lblAlgn val="ctr"/>
        <c:lblOffset val="100"/>
        <c:noMultiLvlLbl val="0"/>
      </c:catAx>
      <c:valAx>
        <c:axId val="48414619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Spacing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in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4989953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76052276638296"/>
          <c:y val="0.47353330392589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Optimal Spacing of Tolls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58238562600613"/>
          <c:y val="0.178760476400529"/>
          <c:w val="0.805369476034689"/>
          <c:h val="0.726731363034848"/>
        </c:manualLayout>
      </c:layout>
      <c:lineChart>
        <c:grouping val="standard"/>
        <c:varyColors val="0"/>
        <c:ser>
          <c:idx val="0"/>
          <c:order val="0"/>
          <c:tx>
            <c:strRef>
              <c:f>'WG-OptSize-OLD'!$B$24</c:f>
              <c:strCache>
                <c:ptCount val="1"/>
                <c:pt idx="0">
                  <c:v>Theta=0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'WG-OptSize-OLD'!$A$25:$A$29</c:f>
              <c:strCache>
                <c:ptCount val="5"/>
                <c:pt idx="0">
                  <c:v>0</c:v>
                </c:pt>
                <c:pt idx="1">
                  <c:v>15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</c:strCache>
            </c:strRef>
          </c:cat>
          <c:val>
            <c:numRef>
              <c:f>'WG-OptSize-OLD'!$B$25:$B$29</c:f>
              <c:numCache>
                <c:formatCode>General</c:formatCode>
                <c:ptCount val="5"/>
                <c:pt idx="0">
                  <c:v>5.87157621694293</c:v>
                </c:pt>
                <c:pt idx="1">
                  <c:v>10.2918045434737</c:v>
                </c:pt>
                <c:pt idx="2">
                  <c:v>26.6</c:v>
                </c:pt>
                <c:pt idx="3">
                  <c:v>103.4</c:v>
                </c:pt>
                <c:pt idx="4">
                  <c:v>6554.6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859268"/>
        <c:axId val="27339269"/>
      </c:lineChart>
      <c:catAx>
        <c:axId val="788592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Fixed Collection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7339269"/>
        <c:crossesAt val="1"/>
        <c:auto val="1"/>
        <c:lblAlgn val="ctr"/>
        <c:lblOffset val="100"/>
        <c:noMultiLvlLbl val="0"/>
      </c:catAx>
      <c:valAx>
        <c:axId val="27339269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Spacing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in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8859268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61868411486732"/>
          <c:y val="0.47353330392589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Geneva"/>
              </a:rPr>
              <a:t>"Perfect" Tolls &amp; Odometer Taxes: Welfare in 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vs. Tollbooth Spacing/Jurisdiction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55012099057818"/>
          <c:y val="0.154890769533556"/>
          <c:w val="0.779591206301807"/>
          <c:h val="0.7191497736666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'W-AlmostPerfect-Coop'!$AA$1</c:f>
              <c:strCache>
                <c:ptCount val="1"/>
                <c:pt idx="0">
                  <c:v>W-"Perfect Toll"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'W-AlmostPerfect-Coop'!$Z$2:$Z$10</c:f>
              <c:numCache>
                <c:formatCode>0.00000</c:formatCode>
                <c:ptCount val="9"/>
                <c:pt idx="0">
                  <c:v>1E-005</c:v>
                </c:pt>
                <c:pt idx="1">
                  <c:v>0.0001</c:v>
                </c:pt>
                <c:pt idx="2">
                  <c:v>0.001</c:v>
                </c:pt>
                <c:pt idx="3">
                  <c:v>0.01</c:v>
                </c:pt>
                <c:pt idx="4">
                  <c:v>0.1</c:v>
                </c:pt>
                <c:pt idx="5">
                  <c:v>1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</c:numCache>
            </c:numRef>
          </c:xVal>
          <c:yVal>
            <c:numRef>
              <c:f>'W-AlmostPerfect-Coop'!$AA$2:$AA$10</c:f>
              <c:numCache>
                <c:formatCode>0.00</c:formatCode>
                <c:ptCount val="9"/>
                <c:pt idx="0">
                  <c:v>313.170504329987</c:v>
                </c:pt>
                <c:pt idx="1">
                  <c:v>313.170618945435</c:v>
                </c:pt>
                <c:pt idx="2">
                  <c:v>313.170618935415</c:v>
                </c:pt>
                <c:pt idx="3">
                  <c:v>313.170618098228</c:v>
                </c:pt>
                <c:pt idx="4">
                  <c:v>313.170534389838</c:v>
                </c:pt>
                <c:pt idx="5">
                  <c:v>313.162184539246</c:v>
                </c:pt>
                <c:pt idx="6">
                  <c:v>312.491428787338</c:v>
                </c:pt>
                <c:pt idx="7">
                  <c:v>309.283611021385</c:v>
                </c:pt>
                <c:pt idx="8">
                  <c:v>308.723227021524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'W-AlmostPerfect-Coop'!$AB$1</c:f>
              <c:strCache>
                <c:ptCount val="1"/>
                <c:pt idx="0">
                  <c:v>W-Odometer Tax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'W-AlmostPerfect-Coop'!$Z$2:$Z$10</c:f>
              <c:numCache>
                <c:formatCode>0.00000</c:formatCode>
                <c:ptCount val="9"/>
                <c:pt idx="0">
                  <c:v>1E-005</c:v>
                </c:pt>
                <c:pt idx="1">
                  <c:v>0.0001</c:v>
                </c:pt>
                <c:pt idx="2">
                  <c:v>0.001</c:v>
                </c:pt>
                <c:pt idx="3">
                  <c:v>0.01</c:v>
                </c:pt>
                <c:pt idx="4">
                  <c:v>0.1</c:v>
                </c:pt>
                <c:pt idx="5">
                  <c:v>1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</c:numCache>
            </c:numRef>
          </c:xVal>
          <c:yVal>
            <c:numRef>
              <c:f>'W-AlmostPerfect-Coop'!$AB$2:$AB$10</c:f>
              <c:numCache>
                <c:formatCode>0.00</c:formatCode>
                <c:ptCount val="9"/>
                <c:pt idx="0">
                  <c:v>313.170618943778</c:v>
                </c:pt>
                <c:pt idx="1">
                  <c:v>313.170618943778</c:v>
                </c:pt>
                <c:pt idx="2">
                  <c:v>313.170618943778</c:v>
                </c:pt>
                <c:pt idx="3">
                  <c:v>313.170618943778</c:v>
                </c:pt>
                <c:pt idx="4">
                  <c:v>313.170618943778</c:v>
                </c:pt>
                <c:pt idx="5">
                  <c:v>313.170618943778</c:v>
                </c:pt>
                <c:pt idx="6">
                  <c:v>313.170618943778</c:v>
                </c:pt>
                <c:pt idx="7">
                  <c:v>313.170618943778</c:v>
                </c:pt>
                <c:pt idx="8">
                  <c:v>313.170618943778</c:v>
                </c:pt>
              </c:numCache>
            </c:numRef>
          </c:yVal>
          <c:smooth val="0"/>
        </c:ser>
        <c:axId val="12127752"/>
        <c:axId val="19087323"/>
      </c:scatterChart>
      <c:valAx>
        <c:axId val="12127752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uFillTx/>
                    <a:latin typeface="Geneva"/>
                  </a:rPr>
                  <a:t>Tollbooth Spacing (</a:t>
                </a:r>
                <a:r>
                  <a:rPr sz="900" b="1" u="none" strike="noStrike">
                    <a:uFillTx/>
                    <a:latin typeface="Symbol"/>
                  </a:rPr>
                  <a:t>p</a:t>
                </a:r>
                <a:r>
                  <a:rPr sz="900" b="1" u="none" strike="noStrike">
                    <a:uFillTx/>
                    <a:latin typeface="Geneva"/>
                  </a:rPr>
                  <a:t>)/Jurisdiction Size (</a:t>
                </a:r>
                <a:r>
                  <a:rPr sz="900" b="1" u="none" strike="noStrike">
                    <a:uFillTx/>
                    <a:latin typeface="Symbol"/>
                  </a:rPr>
                  <a:t>w</a:t>
                </a:r>
                <a:r>
                  <a:rPr sz="900" b="1" u="none" strike="noStrike">
                    <a:uFillTx/>
                    <a:latin typeface="Geneva"/>
                  </a:rPr>
                  <a:t>)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9087323"/>
        <c:crossesAt val="0"/>
        <c:crossBetween val="midCat"/>
      </c:valAx>
      <c:valAx>
        <c:axId val="190873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(W*)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2127752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794933841322144"/>
          <c:y val="0.42560519582759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Geneva"/>
              </a:rPr>
              <a:t>"Perfect" Tolls &amp; Odometer Taxes: Tax/Toll in 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vs. Tollbooth Spacing/Jurisdiction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55012099057818"/>
          <c:y val="0.154890769533556"/>
          <c:w val="0.779591206301807"/>
          <c:h val="0.7191497736666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'W-AlmostPerfect-Coop'!$AF$1</c:f>
              <c:strCache>
                <c:ptCount val="1"/>
                <c:pt idx="0">
                  <c:v>Odometer Tax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'W-AlmostPerfect-Coop'!$AE$2:$AE$10</c:f>
              <c:numCache>
                <c:formatCode>0.00000</c:formatCode>
                <c:ptCount val="9"/>
                <c:pt idx="0">
                  <c:v>1E-005</c:v>
                </c:pt>
                <c:pt idx="1">
                  <c:v>0.0001</c:v>
                </c:pt>
                <c:pt idx="2">
                  <c:v>0.001</c:v>
                </c:pt>
                <c:pt idx="3">
                  <c:v>0.01</c:v>
                </c:pt>
                <c:pt idx="4">
                  <c:v>0.1</c:v>
                </c:pt>
                <c:pt idx="5">
                  <c:v>1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</c:numCache>
            </c:numRef>
          </c:xVal>
          <c:yVal>
            <c:numRef>
              <c:f>'W-AlmostPerfect-Coop'!$AF$2:$AF$10</c:f>
              <c:numCache>
                <c:formatCode>General</c:formatCode>
                <c:ptCount val="9"/>
                <c:pt idx="0">
                  <c:v>0.018</c:v>
                </c:pt>
                <c:pt idx="1">
                  <c:v>0.018</c:v>
                </c:pt>
                <c:pt idx="2">
                  <c:v>0.018</c:v>
                </c:pt>
                <c:pt idx="3">
                  <c:v>0.018</c:v>
                </c:pt>
                <c:pt idx="4">
                  <c:v>0.018</c:v>
                </c:pt>
                <c:pt idx="5">
                  <c:v>0.018</c:v>
                </c:pt>
                <c:pt idx="6">
                  <c:v>0.018</c:v>
                </c:pt>
                <c:pt idx="7">
                  <c:v>0.018</c:v>
                </c:pt>
                <c:pt idx="8">
                  <c:v>0.018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'W-AlmostPerfect-Coop'!$AG$1</c:f>
              <c:strCache>
                <c:ptCount val="1"/>
                <c:pt idx="0">
                  <c:v>Toll/Size ($/km)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'W-AlmostPerfect-Coop'!$AE$2:$AE$10</c:f>
              <c:numCache>
                <c:formatCode>0.00000</c:formatCode>
                <c:ptCount val="9"/>
                <c:pt idx="0">
                  <c:v>1E-005</c:v>
                </c:pt>
                <c:pt idx="1">
                  <c:v>0.0001</c:v>
                </c:pt>
                <c:pt idx="2">
                  <c:v>0.001</c:v>
                </c:pt>
                <c:pt idx="3">
                  <c:v>0.01</c:v>
                </c:pt>
                <c:pt idx="4">
                  <c:v>0.1</c:v>
                </c:pt>
                <c:pt idx="5">
                  <c:v>1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</c:numCache>
            </c:numRef>
          </c:xVal>
          <c:yVal>
            <c:numRef>
              <c:f>'W-AlmostPerfect-Coop'!$AG$2:$AG$10</c:f>
              <c:numCache>
                <c:formatCode>General</c:formatCode>
                <c:ptCount val="9"/>
                <c:pt idx="0">
                  <c:v>0.0178984304398542</c:v>
                </c:pt>
                <c:pt idx="1">
                  <c:v>0.0179997470077471</c:v>
                </c:pt>
                <c:pt idx="2">
                  <c:v>0.0179999506783849</c:v>
                </c:pt>
                <c:pt idx="3">
                  <c:v>0.0179999963071622</c:v>
                </c:pt>
                <c:pt idx="4">
                  <c:v>0.0179996220068042</c:v>
                </c:pt>
                <c:pt idx="5">
                  <c:v>0.0179623114357856</c:v>
                </c:pt>
                <c:pt idx="6">
                  <c:v>0.0150596452695063</c:v>
                </c:pt>
                <c:pt idx="7">
                  <c:v>0.00240142085089</c:v>
                </c:pt>
                <c:pt idx="8">
                  <c:v>0.00024014243674123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'W-AlmostPerfect-Coop'!$AH$1</c:f>
              <c:strCache>
                <c:ptCount val="1"/>
                <c:pt idx="0">
                  <c:v>Toll ($/Crossing)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'W-AlmostPerfect-Coop'!$AE$2:$AE$10</c:f>
              <c:numCache>
                <c:formatCode>0.00000</c:formatCode>
                <c:ptCount val="9"/>
                <c:pt idx="0">
                  <c:v>1E-005</c:v>
                </c:pt>
                <c:pt idx="1">
                  <c:v>0.0001</c:v>
                </c:pt>
                <c:pt idx="2">
                  <c:v>0.001</c:v>
                </c:pt>
                <c:pt idx="3">
                  <c:v>0.01</c:v>
                </c:pt>
                <c:pt idx="4">
                  <c:v>0.1</c:v>
                </c:pt>
                <c:pt idx="5">
                  <c:v>1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</c:numCache>
            </c:numRef>
          </c:xVal>
          <c:yVal>
            <c:numRef>
              <c:f>'W-AlmostPerfect-Coop'!$AH$2:$AH$10</c:f>
              <c:numCache>
                <c:formatCode>General</c:formatCode>
                <c:ptCount val="9"/>
                <c:pt idx="0">
                  <c:v>8.94921521992709E-008</c:v>
                </c:pt>
                <c:pt idx="1">
                  <c:v>8.99987350387353E-007</c:v>
                </c:pt>
                <c:pt idx="2">
                  <c:v>8.99997533919245E-006</c:v>
                </c:pt>
                <c:pt idx="3">
                  <c:v>8.99999815358111E-005</c:v>
                </c:pt>
                <c:pt idx="4">
                  <c:v>0.00089998110034021</c:v>
                </c:pt>
                <c:pt idx="5">
                  <c:v>0.00898115571789278</c:v>
                </c:pt>
                <c:pt idx="6">
                  <c:v>0.0752982263475313</c:v>
                </c:pt>
                <c:pt idx="7">
                  <c:v>0.1200710425445</c:v>
                </c:pt>
                <c:pt idx="8">
                  <c:v>0.120071218370615</c:v>
                </c:pt>
              </c:numCache>
            </c:numRef>
          </c:yVal>
          <c:smooth val="0"/>
        </c:ser>
        <c:axId val="59562615"/>
        <c:axId val="25479597"/>
      </c:scatterChart>
      <c:valAx>
        <c:axId val="59562615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uFillTx/>
                    <a:latin typeface="Geneva"/>
                  </a:rPr>
                  <a:t>Tollbooth Spacing (</a:t>
                </a:r>
                <a:r>
                  <a:rPr sz="900" b="1" u="none" strike="noStrike">
                    <a:uFillTx/>
                    <a:latin typeface="Symbol"/>
                  </a:rPr>
                  <a:t>p</a:t>
                </a:r>
                <a:r>
                  <a:rPr sz="900" b="1" u="none" strike="noStrike">
                    <a:uFillTx/>
                    <a:latin typeface="Geneva"/>
                  </a:rPr>
                  <a:t>)/Jurisdiction Size (</a:t>
                </a:r>
                <a:r>
                  <a:rPr sz="900" b="1" u="none" strike="noStrike">
                    <a:uFillTx/>
                    <a:latin typeface="Symbol"/>
                  </a:rPr>
                  <a:t>w</a:t>
                </a:r>
                <a:r>
                  <a:rPr sz="900" b="1" u="none" strike="noStrike">
                    <a:uFillTx/>
                    <a:latin typeface="Geneva"/>
                  </a:rPr>
                  <a:t>)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5479597"/>
        <c:crossesAt val="0"/>
        <c:crossBetween val="midCat"/>
      </c:valAx>
      <c:valAx>
        <c:axId val="2547959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Tax/toll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9562615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793234824692375"/>
          <c:y val="0.40179098602637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Geneva"/>
              </a:rPr>
              <a:t>"Perfect" Tolls &amp; Odometer Taxes: Tax/Toll in 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vs. Tollbooth Spacing/Jurisdiction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55012099057818"/>
          <c:y val="0.154890769533556"/>
          <c:w val="0.913556093291459"/>
          <c:h val="0.67230860066916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'W-AlmostPerfect-Coop'!$AF$1</c:f>
              <c:strCache>
                <c:ptCount val="1"/>
                <c:pt idx="0">
                  <c:v>Odometer Tax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'W-AlmostPerfect-Coop'!$AE$2:$AE$10</c:f>
              <c:numCache>
                <c:formatCode>0.00000</c:formatCode>
                <c:ptCount val="9"/>
                <c:pt idx="0">
                  <c:v>1E-005</c:v>
                </c:pt>
                <c:pt idx="1">
                  <c:v>0.0001</c:v>
                </c:pt>
                <c:pt idx="2">
                  <c:v>0.001</c:v>
                </c:pt>
                <c:pt idx="3">
                  <c:v>0.01</c:v>
                </c:pt>
                <c:pt idx="4">
                  <c:v>0.1</c:v>
                </c:pt>
                <c:pt idx="5">
                  <c:v>1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</c:numCache>
            </c:numRef>
          </c:xVal>
          <c:yVal>
            <c:numRef>
              <c:f>'W-AlmostPerfect-Coop'!$AF$2:$AF$10</c:f>
              <c:numCache>
                <c:formatCode>General</c:formatCode>
                <c:ptCount val="9"/>
                <c:pt idx="0">
                  <c:v>0.018</c:v>
                </c:pt>
                <c:pt idx="1">
                  <c:v>0.018</c:v>
                </c:pt>
                <c:pt idx="2">
                  <c:v>0.018</c:v>
                </c:pt>
                <c:pt idx="3">
                  <c:v>0.018</c:v>
                </c:pt>
                <c:pt idx="4">
                  <c:v>0.018</c:v>
                </c:pt>
                <c:pt idx="5">
                  <c:v>0.018</c:v>
                </c:pt>
                <c:pt idx="6">
                  <c:v>0.018</c:v>
                </c:pt>
                <c:pt idx="7">
                  <c:v>0.018</c:v>
                </c:pt>
                <c:pt idx="8">
                  <c:v>0.018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'W-AlmostPerfect-Coop'!$AG$1</c:f>
              <c:strCache>
                <c:ptCount val="1"/>
                <c:pt idx="0">
                  <c:v>Toll/Size ($/km)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'W-AlmostPerfect-Coop'!$AE$2:$AE$10</c:f>
              <c:numCache>
                <c:formatCode>0.00000</c:formatCode>
                <c:ptCount val="9"/>
                <c:pt idx="0">
                  <c:v>1E-005</c:v>
                </c:pt>
                <c:pt idx="1">
                  <c:v>0.0001</c:v>
                </c:pt>
                <c:pt idx="2">
                  <c:v>0.001</c:v>
                </c:pt>
                <c:pt idx="3">
                  <c:v>0.01</c:v>
                </c:pt>
                <c:pt idx="4">
                  <c:v>0.1</c:v>
                </c:pt>
                <c:pt idx="5">
                  <c:v>1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</c:numCache>
            </c:numRef>
          </c:xVal>
          <c:yVal>
            <c:numRef>
              <c:f>'W-AlmostPerfect-Coop'!$AG$2:$AG$10</c:f>
              <c:numCache>
                <c:formatCode>General</c:formatCode>
                <c:ptCount val="9"/>
                <c:pt idx="0">
                  <c:v>0.0178984304398542</c:v>
                </c:pt>
                <c:pt idx="1">
                  <c:v>0.0179997470077471</c:v>
                </c:pt>
                <c:pt idx="2">
                  <c:v>0.0179999506783849</c:v>
                </c:pt>
                <c:pt idx="3">
                  <c:v>0.0179999963071622</c:v>
                </c:pt>
                <c:pt idx="4">
                  <c:v>0.0179996220068042</c:v>
                </c:pt>
                <c:pt idx="5">
                  <c:v>0.0179623114357856</c:v>
                </c:pt>
                <c:pt idx="6">
                  <c:v>0.0150596452695063</c:v>
                </c:pt>
                <c:pt idx="7">
                  <c:v>0.00240142085089</c:v>
                </c:pt>
                <c:pt idx="8">
                  <c:v>0.00024014243674123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'W-AlmostPerfect-Coop'!$AH$1</c:f>
              <c:strCache>
                <c:ptCount val="1"/>
                <c:pt idx="0">
                  <c:v>Toll ($/Crossing)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'W-AlmostPerfect-Coop'!$AE$2:$AE$10</c:f>
              <c:numCache>
                <c:formatCode>0.00000</c:formatCode>
                <c:ptCount val="9"/>
                <c:pt idx="0">
                  <c:v>1E-005</c:v>
                </c:pt>
                <c:pt idx="1">
                  <c:v>0.0001</c:v>
                </c:pt>
                <c:pt idx="2">
                  <c:v>0.001</c:v>
                </c:pt>
                <c:pt idx="3">
                  <c:v>0.01</c:v>
                </c:pt>
                <c:pt idx="4">
                  <c:v>0.1</c:v>
                </c:pt>
                <c:pt idx="5">
                  <c:v>1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</c:numCache>
            </c:numRef>
          </c:xVal>
          <c:yVal>
            <c:numRef>
              <c:f>'W-AlmostPerfect-Coop'!$AH$2:$AH$10</c:f>
              <c:numCache>
                <c:formatCode>General</c:formatCode>
                <c:ptCount val="9"/>
                <c:pt idx="0">
                  <c:v>8.94921521992709E-008</c:v>
                </c:pt>
                <c:pt idx="1">
                  <c:v>8.99987350387353E-007</c:v>
                </c:pt>
                <c:pt idx="2">
                  <c:v>8.99997533919245E-006</c:v>
                </c:pt>
                <c:pt idx="3">
                  <c:v>8.99999815358111E-005</c:v>
                </c:pt>
                <c:pt idx="4">
                  <c:v>0.00089998110034021</c:v>
                </c:pt>
                <c:pt idx="5">
                  <c:v>0.00898115571789278</c:v>
                </c:pt>
                <c:pt idx="6">
                  <c:v>0.0752982263475313</c:v>
                </c:pt>
                <c:pt idx="7">
                  <c:v>0.1200710425445</c:v>
                </c:pt>
                <c:pt idx="8">
                  <c:v>0.120071218370615</c:v>
                </c:pt>
              </c:numCache>
            </c:numRef>
          </c:yVal>
          <c:smooth val="0"/>
        </c:ser>
        <c:axId val="59688349"/>
        <c:axId val="12583119"/>
      </c:scatterChart>
      <c:valAx>
        <c:axId val="59688349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uFillTx/>
                    <a:latin typeface="Geneva"/>
                  </a:rPr>
                  <a:t>Tollbooth Spacing (</a:t>
                </a:r>
                <a:r>
                  <a:rPr sz="900" b="1" u="none" strike="noStrike">
                    <a:uFillTx/>
                    <a:latin typeface="Symbol"/>
                  </a:rPr>
                  <a:t>p</a:t>
                </a:r>
                <a:r>
                  <a:rPr sz="900" b="1" u="none" strike="noStrike">
                    <a:uFillTx/>
                    <a:latin typeface="Geneva"/>
                  </a:rPr>
                  <a:t>)/Jurisdiction Size (</a:t>
                </a:r>
                <a:r>
                  <a:rPr sz="900" b="1" u="none" strike="noStrike">
                    <a:uFillTx/>
                    <a:latin typeface="Symbol"/>
                  </a:rPr>
                  <a:t>w</a:t>
                </a:r>
                <a:r>
                  <a:rPr sz="900" b="1" u="none" strike="noStrike">
                    <a:uFillTx/>
                    <a:latin typeface="Geneva"/>
                  </a:rPr>
                  <a:t>)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2583119"/>
        <c:crossesAt val="0"/>
        <c:crossBetween val="midCat"/>
      </c:valAx>
      <c:valAx>
        <c:axId val="1258311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Tax/toll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9688349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19430572002265"/>
          <c:y val="0.86705372958079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Geneva"/>
              </a:rPr>
              <a:t>"Perfect" Tolls &amp; Odometer Taxes: Welfare in 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vs. Tollbooth Spacing/Jurisdiction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55012099057818"/>
          <c:y val="0.154890769533556"/>
          <c:w val="0.925500695052258"/>
          <c:h val="0.651643377287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'W-AlmostPerfect-Coop'!$AA$1</c:f>
              <c:strCache>
                <c:ptCount val="1"/>
                <c:pt idx="0">
                  <c:v>W-"Perfect Toll"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'W-AlmostPerfect-Coop'!$Z$2:$Z$10</c:f>
              <c:numCache>
                <c:formatCode>0.00000</c:formatCode>
                <c:ptCount val="9"/>
                <c:pt idx="0">
                  <c:v>1E-005</c:v>
                </c:pt>
                <c:pt idx="1">
                  <c:v>0.0001</c:v>
                </c:pt>
                <c:pt idx="2">
                  <c:v>0.001</c:v>
                </c:pt>
                <c:pt idx="3">
                  <c:v>0.01</c:v>
                </c:pt>
                <c:pt idx="4">
                  <c:v>0.1</c:v>
                </c:pt>
                <c:pt idx="5">
                  <c:v>1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</c:numCache>
            </c:numRef>
          </c:xVal>
          <c:yVal>
            <c:numRef>
              <c:f>'W-AlmostPerfect-Coop'!$AA$2:$AA$10</c:f>
              <c:numCache>
                <c:formatCode>0.00</c:formatCode>
                <c:ptCount val="9"/>
                <c:pt idx="0">
                  <c:v>313.170504329987</c:v>
                </c:pt>
                <c:pt idx="1">
                  <c:v>313.170618945435</c:v>
                </c:pt>
                <c:pt idx="2">
                  <c:v>313.170618935415</c:v>
                </c:pt>
                <c:pt idx="3">
                  <c:v>313.170618098228</c:v>
                </c:pt>
                <c:pt idx="4">
                  <c:v>313.170534389838</c:v>
                </c:pt>
                <c:pt idx="5">
                  <c:v>313.162184539246</c:v>
                </c:pt>
                <c:pt idx="6">
                  <c:v>312.491428787338</c:v>
                </c:pt>
                <c:pt idx="7">
                  <c:v>309.283611021385</c:v>
                </c:pt>
                <c:pt idx="8">
                  <c:v>308.723227021524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'W-AlmostPerfect-Coop'!$AB$1</c:f>
              <c:strCache>
                <c:ptCount val="1"/>
                <c:pt idx="0">
                  <c:v>W-Odometer Tax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'W-AlmostPerfect-Coop'!$Z$2:$Z$10</c:f>
              <c:numCache>
                <c:formatCode>0.00000</c:formatCode>
                <c:ptCount val="9"/>
                <c:pt idx="0">
                  <c:v>1E-005</c:v>
                </c:pt>
                <c:pt idx="1">
                  <c:v>0.0001</c:v>
                </c:pt>
                <c:pt idx="2">
                  <c:v>0.001</c:v>
                </c:pt>
                <c:pt idx="3">
                  <c:v>0.01</c:v>
                </c:pt>
                <c:pt idx="4">
                  <c:v>0.1</c:v>
                </c:pt>
                <c:pt idx="5">
                  <c:v>1</c:v>
                </c:pt>
                <c:pt idx="6">
                  <c:v>10</c:v>
                </c:pt>
                <c:pt idx="7">
                  <c:v>100</c:v>
                </c:pt>
                <c:pt idx="8">
                  <c:v>1000</c:v>
                </c:pt>
              </c:numCache>
            </c:numRef>
          </c:xVal>
          <c:yVal>
            <c:numRef>
              <c:f>'W-AlmostPerfect-Coop'!$AB$2:$AB$10</c:f>
              <c:numCache>
                <c:formatCode>0.00</c:formatCode>
                <c:ptCount val="9"/>
                <c:pt idx="0">
                  <c:v>313.170618943778</c:v>
                </c:pt>
                <c:pt idx="1">
                  <c:v>313.170618943778</c:v>
                </c:pt>
                <c:pt idx="2">
                  <c:v>313.170618943778</c:v>
                </c:pt>
                <c:pt idx="3">
                  <c:v>313.170618943778</c:v>
                </c:pt>
                <c:pt idx="4">
                  <c:v>313.170618943778</c:v>
                </c:pt>
                <c:pt idx="5">
                  <c:v>313.170618943778</c:v>
                </c:pt>
                <c:pt idx="6">
                  <c:v>313.170618943778</c:v>
                </c:pt>
                <c:pt idx="7">
                  <c:v>313.170618943778</c:v>
                </c:pt>
                <c:pt idx="8">
                  <c:v>313.170618943778</c:v>
                </c:pt>
              </c:numCache>
            </c:numRef>
          </c:yVal>
          <c:smooth val="0"/>
        </c:ser>
        <c:axId val="85960389"/>
        <c:axId val="86094746"/>
      </c:scatterChart>
      <c:valAx>
        <c:axId val="85960389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uFillTx/>
                    <a:latin typeface="Geneva"/>
                  </a:rPr>
                  <a:t>Tollbooth Spacing (</a:t>
                </a:r>
                <a:r>
                  <a:rPr sz="900" b="1" u="none" strike="noStrike">
                    <a:uFillTx/>
                    <a:latin typeface="Symbol"/>
                  </a:rPr>
                  <a:t>p</a:t>
                </a:r>
                <a:r>
                  <a:rPr sz="900" b="1" u="none" strike="noStrike">
                    <a:uFillTx/>
                    <a:latin typeface="Geneva"/>
                  </a:rPr>
                  <a:t>)/Jurisdiction Size (</a:t>
                </a:r>
                <a:r>
                  <a:rPr sz="900" b="1" u="none" strike="noStrike">
                    <a:uFillTx/>
                    <a:latin typeface="Symbol"/>
                  </a:rPr>
                  <a:t>w</a:t>
                </a:r>
                <a:r>
                  <a:rPr sz="900" b="1" u="none" strike="noStrike">
                    <a:uFillTx/>
                    <a:latin typeface="Geneva"/>
                  </a:rPr>
                  <a:t>)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6094746"/>
        <c:crossesAt val="0"/>
        <c:crossBetween val="midCat"/>
      </c:valAx>
      <c:valAx>
        <c:axId val="860947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(W*)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5960389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44848890490655"/>
          <c:y val="0.84343633143082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chart" Target="../charts/chart23.xml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chart" Target="../charts/chart24.xml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chart" Target="../charts/chart25.xml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chart" Target="../charts/chart26.xml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Relationship Id="rId4" Type="http://schemas.openxmlformats.org/officeDocument/2006/relationships/chart" Target="../charts/chart3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84240</xdr:colOff>
      <xdr:row>11</xdr:row>
      <xdr:rowOff>25200</xdr:rowOff>
    </xdr:from>
    <xdr:to>
      <xdr:col>10</xdr:col>
      <xdr:colOff>603720</xdr:colOff>
      <xdr:row>33</xdr:row>
      <xdr:rowOff>51120</xdr:rowOff>
    </xdr:to>
    <xdr:graphicFrame>
      <xdr:nvGraphicFramePr>
        <xdr:cNvPr id="1" name="Chart 3"/>
        <xdr:cNvGraphicFramePr/>
      </xdr:nvGraphicFramePr>
      <xdr:xfrm>
        <a:off x="84240" y="1841400"/>
        <a:ext cx="6352560" cy="365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84240</xdr:colOff>
      <xdr:row>11</xdr:row>
      <xdr:rowOff>25200</xdr:rowOff>
    </xdr:from>
    <xdr:to>
      <xdr:col>10</xdr:col>
      <xdr:colOff>603720</xdr:colOff>
      <xdr:row>33</xdr:row>
      <xdr:rowOff>51120</xdr:rowOff>
    </xdr:to>
    <xdr:graphicFrame>
      <xdr:nvGraphicFramePr>
        <xdr:cNvPr id="2" name="Chart 3"/>
        <xdr:cNvGraphicFramePr/>
      </xdr:nvGraphicFramePr>
      <xdr:xfrm>
        <a:off x="84240" y="1841400"/>
        <a:ext cx="6352560" cy="365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13</xdr:col>
      <xdr:colOff>687600</xdr:colOff>
      <xdr:row>60</xdr:row>
      <xdr:rowOff>164880</xdr:rowOff>
    </xdr:to>
    <xdr:graphicFrame>
      <xdr:nvGraphicFramePr>
        <xdr:cNvPr id="5" name="Chart 4"/>
        <xdr:cNvGraphicFramePr/>
      </xdr:nvGraphicFramePr>
      <xdr:xfrm>
        <a:off x="0" y="5778360"/>
        <a:ext cx="8618040" cy="429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0.00374001246670822</cdr:x>
      <cdr:y>0.882798661680772</cdr:y>
    </cdr:from>
    <cdr:to>
      <cdr:x>0.269224230747436</cdr:x>
      <cdr:y>1.00029521747687</cdr:y>
    </cdr:to>
    <cdr:sp>
      <cdr:nvSpPr>
        <cdr:cNvPr id="3" name="Text 1"/>
        <cdr:cNvSpPr/>
      </cdr:nvSpPr>
      <cdr:spPr>
        <a:xfrm>
          <a:off x="23760" y="3229560"/>
          <a:ext cx="1686600" cy="4298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Non-cooperative Equilibrium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0.522751742505808</cdr:x>
      <cdr:y>0.413206061798859</cdr:y>
    </cdr:from>
    <cdr:to>
      <cdr:x>0.899756332521108</cdr:x>
      <cdr:y>0.690710490061012</cdr:y>
    </cdr:to>
    <cdr:sp>
      <cdr:nvSpPr>
        <cdr:cNvPr id="4" name="Text 2"/>
        <cdr:cNvSpPr/>
      </cdr:nvSpPr>
      <cdr:spPr>
        <a:xfrm>
          <a:off x="3321000" y="1511640"/>
          <a:ext cx="2395080" cy="1015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400" b="0" u="none" strike="noStrike">
              <a:effectLst/>
              <a:uFillTx/>
              <a:latin typeface="Geneva"/>
            </a:rPr>
            <a:t>W* Reaches a Maximum for Small Jur.</a:t>
          </a:r>
          <a:endParaRPr sz="1400" b="0" u="none" strike="noStrike">
            <a:effectLst/>
            <a:uFillTx/>
            <a:latin typeface="Times New Roman"/>
          </a:endParaRPr>
        </a:p>
        <a:p>
          <a:r>
            <a:rPr sz="1400" b="0" u="none" strike="noStrike">
              <a:effectLst/>
              <a:uFillTx/>
              <a:latin typeface="Geneva"/>
            </a:rPr>
            <a:t>Policies Converge in Welfare for Large Jur.</a:t>
          </a:r>
          <a:endParaRPr sz="14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84240</xdr:colOff>
      <xdr:row>11</xdr:row>
      <xdr:rowOff>25200</xdr:rowOff>
    </xdr:from>
    <xdr:to>
      <xdr:col>10</xdr:col>
      <xdr:colOff>603720</xdr:colOff>
      <xdr:row>33</xdr:row>
      <xdr:rowOff>51120</xdr:rowOff>
    </xdr:to>
    <xdr:graphicFrame>
      <xdr:nvGraphicFramePr>
        <xdr:cNvPr id="6" name="Chart 3"/>
        <xdr:cNvGraphicFramePr/>
      </xdr:nvGraphicFramePr>
      <xdr:xfrm>
        <a:off x="84240" y="1841400"/>
        <a:ext cx="6352560" cy="365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0.0057233524111747</cdr:x>
      <cdr:y>0.90395591419012</cdr:y>
    </cdr:from>
    <cdr:to>
      <cdr:x>0.353771179237264</cdr:x>
      <cdr:y>0.993013186380634</cdr:y>
    </cdr:to>
    <cdr:sp>
      <cdr:nvSpPr>
        <cdr:cNvPr id="7" name="Text 1"/>
        <cdr:cNvSpPr/>
      </cdr:nvSpPr>
      <cdr:spPr>
        <a:xfrm>
          <a:off x="36360" y="3306960"/>
          <a:ext cx="2211120" cy="3258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Non-cooperative Equilibrium Tolls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84240</xdr:colOff>
      <xdr:row>11</xdr:row>
      <xdr:rowOff>25200</xdr:rowOff>
    </xdr:from>
    <xdr:to>
      <xdr:col>11</xdr:col>
      <xdr:colOff>567360</xdr:colOff>
      <xdr:row>33</xdr:row>
      <xdr:rowOff>51120</xdr:rowOff>
    </xdr:to>
    <xdr:graphicFrame>
      <xdr:nvGraphicFramePr>
        <xdr:cNvPr id="8" name="Chart 3"/>
        <xdr:cNvGraphicFramePr/>
      </xdr:nvGraphicFramePr>
      <xdr:xfrm>
        <a:off x="84240" y="1841400"/>
        <a:ext cx="7015320" cy="365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0.00697865353037767</cdr:x>
      <cdr:y>0.90375910253887</cdr:y>
    </cdr:from>
    <cdr:to>
      <cdr:x>0.370484400656814</cdr:x>
      <cdr:y>0.989273765006889</cdr:y>
    </cdr:to>
    <cdr:sp>
      <cdr:nvSpPr>
        <cdr:cNvPr id="9" name="Text 1"/>
        <cdr:cNvSpPr/>
      </cdr:nvSpPr>
      <cdr:spPr>
        <a:xfrm>
          <a:off x="48960" y="3306240"/>
          <a:ext cx="2550240" cy="3128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Cooperative Equilibrium Tolls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84240</xdr:colOff>
      <xdr:row>11</xdr:row>
      <xdr:rowOff>25200</xdr:rowOff>
    </xdr:from>
    <xdr:to>
      <xdr:col>11</xdr:col>
      <xdr:colOff>615240</xdr:colOff>
      <xdr:row>33</xdr:row>
      <xdr:rowOff>51120</xdr:rowOff>
    </xdr:to>
    <xdr:graphicFrame>
      <xdr:nvGraphicFramePr>
        <xdr:cNvPr id="10" name="Chart 3"/>
        <xdr:cNvGraphicFramePr/>
      </xdr:nvGraphicFramePr>
      <xdr:xfrm>
        <a:off x="84240" y="1841400"/>
        <a:ext cx="7063200" cy="365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84240</xdr:colOff>
      <xdr:row>35</xdr:row>
      <xdr:rowOff>25200</xdr:rowOff>
    </xdr:from>
    <xdr:to>
      <xdr:col>14</xdr:col>
      <xdr:colOff>720</xdr:colOff>
      <xdr:row>60</xdr:row>
      <xdr:rowOff>139680</xdr:rowOff>
    </xdr:to>
    <xdr:graphicFrame>
      <xdr:nvGraphicFramePr>
        <xdr:cNvPr id="13" name="Chart 4"/>
        <xdr:cNvGraphicFramePr/>
      </xdr:nvGraphicFramePr>
      <xdr:xfrm>
        <a:off x="84240" y="5803560"/>
        <a:ext cx="8546040" cy="424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</cdr:x>
      <cdr:y>0.876008659712655</cdr:y>
    </cdr:from>
    <cdr:to>
      <cdr:x>0.373018704449315</cdr:x>
      <cdr:y>0.954241291084432</cdr:y>
    </cdr:to>
    <cdr:sp>
      <cdr:nvSpPr>
        <cdr:cNvPr id="11" name="Text 1"/>
        <cdr:cNvSpPr/>
      </cdr:nvSpPr>
      <cdr:spPr>
        <a:xfrm>
          <a:off x="0" y="3204720"/>
          <a:ext cx="2634840" cy="286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Non-Cooperative Equilibrium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0.587227970032109</cdr:x>
      <cdr:y>0.464967526077544</cdr:y>
    </cdr:from>
    <cdr:to>
      <cdr:x>0.92222618622904</cdr:x>
      <cdr:y>0.703503247392246</cdr:y>
    </cdr:to>
    <cdr:sp>
      <cdr:nvSpPr>
        <cdr:cNvPr id="12" name="Text 2"/>
        <cdr:cNvSpPr/>
      </cdr:nvSpPr>
      <cdr:spPr>
        <a:xfrm>
          <a:off x="4147920" y="1701000"/>
          <a:ext cx="2366280" cy="8726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400" b="0" u="none" strike="noStrike">
              <a:effectLst/>
              <a:uFillTx/>
              <a:latin typeface="Arial"/>
            </a:rPr>
            <a:t>Welfare under Toll Policy &gt; Welfare under Tax Policy. </a:t>
          </a:r>
          <a:endParaRPr sz="1400" b="0" u="none" strike="noStrike">
            <a:effectLst/>
            <a:uFillTx/>
            <a:latin typeface="Times New Roman"/>
          </a:endParaRPr>
        </a:p>
        <a:p>
          <a:r>
            <a:rPr sz="1400" b="0" u="none" strike="noStrike">
              <a:effectLst/>
              <a:uFillTx/>
              <a:latin typeface="Arial"/>
            </a:rPr>
            <a:t>Profit under Toll Policy between ~ 5 &amp; 20 km.</a:t>
          </a:r>
          <a:endParaRPr sz="14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111960</xdr:colOff>
      <xdr:row>6</xdr:row>
      <xdr:rowOff>37800</xdr:rowOff>
    </xdr:from>
    <xdr:to>
      <xdr:col>7</xdr:col>
      <xdr:colOff>835200</xdr:colOff>
      <xdr:row>26</xdr:row>
      <xdr:rowOff>152280</xdr:rowOff>
    </xdr:to>
    <xdr:graphicFrame>
      <xdr:nvGraphicFramePr>
        <xdr:cNvPr id="14" name="Chart 1"/>
        <xdr:cNvGraphicFramePr/>
      </xdr:nvGraphicFramePr>
      <xdr:xfrm>
        <a:off x="111960" y="1028520"/>
        <a:ext cx="7257240" cy="341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0.413244047619048</cdr:x>
      <cdr:y>0.446528289958908</cdr:y>
    </cdr:from>
    <cdr:to>
      <cdr:x>0.536507936507937</cdr:x>
      <cdr:y>0.54578021283321</cdr:y>
    </cdr:to>
    <cdr:sp>
      <cdr:nvSpPr>
        <cdr:cNvPr id="15" name="Text 1"/>
        <cdr:cNvSpPr/>
      </cdr:nvSpPr>
      <cdr:spPr>
        <a:xfrm>
          <a:off x="2999160" y="1525680"/>
          <a:ext cx="894600" cy="3391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Always Tax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0.41875</cdr:x>
      <cdr:y>0.629754504267201</cdr:y>
    </cdr:from>
    <cdr:to>
      <cdr:x>0.540228174603175</cdr:x>
      <cdr:y>0.717521862817406</cdr:y>
    </cdr:to>
    <cdr:sp>
      <cdr:nvSpPr>
        <cdr:cNvPr id="16" name="Text 2"/>
        <cdr:cNvSpPr/>
      </cdr:nvSpPr>
      <cdr:spPr>
        <a:xfrm>
          <a:off x="3039120" y="2151720"/>
          <a:ext cx="881640" cy="299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Always Toll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84240</xdr:colOff>
      <xdr:row>11</xdr:row>
      <xdr:rowOff>25200</xdr:rowOff>
    </xdr:from>
    <xdr:to>
      <xdr:col>10</xdr:col>
      <xdr:colOff>603720</xdr:colOff>
      <xdr:row>33</xdr:row>
      <xdr:rowOff>51120</xdr:rowOff>
    </xdr:to>
    <xdr:graphicFrame>
      <xdr:nvGraphicFramePr>
        <xdr:cNvPr id="17" name="Chart 3"/>
        <xdr:cNvGraphicFramePr/>
      </xdr:nvGraphicFramePr>
      <xdr:xfrm>
        <a:off x="84240" y="1841400"/>
        <a:ext cx="6352560" cy="365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0.0057233524111747</cdr:x>
      <cdr:y>0.907498523912616</cdr:y>
    </cdr:from>
    <cdr:to>
      <cdr:x>0.367257890859636</cdr:x>
      <cdr:y>0.985731155284393</cdr:y>
    </cdr:to>
    <cdr:sp>
      <cdr:nvSpPr>
        <cdr:cNvPr id="18" name="Text 1"/>
        <cdr:cNvSpPr/>
      </cdr:nvSpPr>
      <cdr:spPr>
        <a:xfrm>
          <a:off x="36360" y="3319920"/>
          <a:ext cx="2296800" cy="286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Cooperative Equilibrium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63360</xdr:rowOff>
    </xdr:from>
    <xdr:to>
      <xdr:col>7</xdr:col>
      <xdr:colOff>660960</xdr:colOff>
      <xdr:row>33</xdr:row>
      <xdr:rowOff>140040</xdr:rowOff>
    </xdr:to>
    <xdr:graphicFrame>
      <xdr:nvGraphicFramePr>
        <xdr:cNvPr id="19" name="Chart 1"/>
        <xdr:cNvGraphicFramePr/>
      </xdr:nvGraphicFramePr>
      <xdr:xfrm>
        <a:off x="0" y="2044440"/>
        <a:ext cx="7165800" cy="354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37440</xdr:colOff>
      <xdr:row>12</xdr:row>
      <xdr:rowOff>38160</xdr:rowOff>
    </xdr:from>
    <xdr:to>
      <xdr:col>27</xdr:col>
      <xdr:colOff>809280</xdr:colOff>
      <xdr:row>34</xdr:row>
      <xdr:rowOff>63000</xdr:rowOff>
    </xdr:to>
    <xdr:graphicFrame>
      <xdr:nvGraphicFramePr>
        <xdr:cNvPr id="25" name="Chart 10"/>
        <xdr:cNvGraphicFramePr/>
      </xdr:nvGraphicFramePr>
      <xdr:xfrm>
        <a:off x="18501840" y="2019240"/>
        <a:ext cx="7306200" cy="365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0.773736561840651</cdr:x>
      <cdr:y>0.261757237176232</cdr:y>
    </cdr:from>
    <cdr:to>
      <cdr:x>0.884004822666533</cdr:x>
      <cdr:y>0.32798374809548</cdr:y>
    </cdr:to>
    <cdr:sp>
      <cdr:nvSpPr>
        <cdr:cNvPr id="20" name="Text 8"/>
        <cdr:cNvSpPr/>
      </cdr:nvSpPr>
      <cdr:spPr>
        <a:xfrm>
          <a:off x="5544720" y="927720"/>
          <a:ext cx="790200" cy="2347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Always Tax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0.498241736159952</cdr:x>
      <cdr:y>0.718029456576943</cdr:y>
    </cdr:from>
    <cdr:to>
      <cdr:x>0.610268260825882</cdr:x>
      <cdr:y>0.780497714575927</cdr:y>
    </cdr:to>
    <cdr:sp>
      <cdr:nvSpPr>
        <cdr:cNvPr id="21" name="Text 10"/>
        <cdr:cNvSpPr/>
      </cdr:nvSpPr>
      <cdr:spPr>
        <a:xfrm>
          <a:off x="3570480" y="2544840"/>
          <a:ext cx="802800" cy="221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Always Toll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0.249020395860545</cdr:x>
      <cdr:y>0.348298628745556</cdr:y>
    </cdr:from>
    <cdr:to>
      <cdr:x>0.427760474228876</cdr:x>
      <cdr:y>0.543016759776536</cdr:y>
    </cdr:to>
    <cdr:sp>
      <cdr:nvSpPr>
        <cdr:cNvPr id="22" name="Text 11"/>
        <cdr:cNvSpPr/>
      </cdr:nvSpPr>
      <cdr:spPr>
        <a:xfrm>
          <a:off x="1784520" y="1234440"/>
          <a:ext cx="1280880" cy="6901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Toll if Environment 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All-Tax, 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Tax if Environment 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All-Cordon Toll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0.00226062493720486</cdr:x>
      <cdr:y>0.871000507872016</cdr:y>
    </cdr:from>
    <cdr:to>
      <cdr:x>0.212498744097257</cdr:x>
      <cdr:y>0.973996952767902</cdr:y>
    </cdr:to>
    <cdr:sp>
      <cdr:nvSpPr>
        <cdr:cNvPr id="23" name="Text 12"/>
        <cdr:cNvSpPr/>
      </cdr:nvSpPr>
      <cdr:spPr>
        <a:xfrm>
          <a:off x="16200" y="3087000"/>
          <a:ext cx="1506600" cy="3650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Non-cooperative Equilibrium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0.131015774138451</cdr:x>
      <cdr:y>0.452513966480447</cdr:y>
    </cdr:from>
    <cdr:to>
      <cdr:x>0.247262132020496</cdr:x>
      <cdr:y>0.606500761808024</cdr:y>
    </cdr:to>
    <cdr:sp>
      <cdr:nvSpPr>
        <cdr:cNvPr id="24" name="Line 14"/>
        <cdr:cNvSpPr/>
      </cdr:nvSpPr>
      <cdr:spPr>
        <a:xfrm flipH="1">
          <a:off x="938880" y="1603800"/>
          <a:ext cx="833040" cy="54576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63360</xdr:rowOff>
    </xdr:from>
    <xdr:to>
      <xdr:col>7</xdr:col>
      <xdr:colOff>710280</xdr:colOff>
      <xdr:row>33</xdr:row>
      <xdr:rowOff>140040</xdr:rowOff>
    </xdr:to>
    <xdr:graphicFrame>
      <xdr:nvGraphicFramePr>
        <xdr:cNvPr id="26" name="Chart 1"/>
        <xdr:cNvGraphicFramePr/>
      </xdr:nvGraphicFramePr>
      <xdr:xfrm>
        <a:off x="0" y="2044440"/>
        <a:ext cx="7215120" cy="354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37440</xdr:colOff>
      <xdr:row>12</xdr:row>
      <xdr:rowOff>38160</xdr:rowOff>
    </xdr:from>
    <xdr:to>
      <xdr:col>27</xdr:col>
      <xdr:colOff>809280</xdr:colOff>
      <xdr:row>34</xdr:row>
      <xdr:rowOff>63000</xdr:rowOff>
    </xdr:to>
    <xdr:graphicFrame>
      <xdr:nvGraphicFramePr>
        <xdr:cNvPr id="32" name="Chart 10"/>
        <xdr:cNvGraphicFramePr/>
      </xdr:nvGraphicFramePr>
      <xdr:xfrm>
        <a:off x="18501840" y="2019240"/>
        <a:ext cx="7306200" cy="365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0.773985930249963</cdr:x>
      <cdr:y>0.261757237176232</cdr:y>
    </cdr:from>
    <cdr:to>
      <cdr:x>0.87651549169286</cdr:x>
      <cdr:y>0.309497206703911</cdr:y>
    </cdr:to>
    <cdr:sp>
      <cdr:nvSpPr>
        <cdr:cNvPr id="27" name="Text 8"/>
        <cdr:cNvSpPr/>
      </cdr:nvSpPr>
      <cdr:spPr>
        <a:xfrm>
          <a:off x="5584680" y="927720"/>
          <a:ext cx="739800" cy="169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Always Tax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0.498228808062665</cdr:x>
      <cdr:y>0.718029456576943</cdr:y>
    </cdr:from>
    <cdr:to>
      <cdr:x>0.605997106221624</cdr:x>
      <cdr:y>0.787709497206704</cdr:y>
    </cdr:to>
    <cdr:sp>
      <cdr:nvSpPr>
        <cdr:cNvPr id="28" name="Text 10"/>
        <cdr:cNvSpPr/>
      </cdr:nvSpPr>
      <cdr:spPr>
        <a:xfrm>
          <a:off x="3594960" y="2544840"/>
          <a:ext cx="777600" cy="246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Always Toll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0.239235643366761</cdr:x>
      <cdr:y>0.355205688166582</cdr:y>
    </cdr:from>
    <cdr:to>
      <cdr:x>0.437509354886993</cdr:x>
      <cdr:y>0.557541899441341</cdr:y>
    </cdr:to>
    <cdr:sp>
      <cdr:nvSpPr>
        <cdr:cNvPr id="29" name="Text 11"/>
        <cdr:cNvSpPr/>
      </cdr:nvSpPr>
      <cdr:spPr>
        <a:xfrm>
          <a:off x="1726200" y="1258920"/>
          <a:ext cx="1430640" cy="7171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Toll if environment 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all-tax, 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Tax if environment 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all-cordon toll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0.00249463653145737</cdr:x>
      <cdr:y>0.871000507872016</cdr:y>
    </cdr:from>
    <cdr:to>
      <cdr:x>0.183255999600858</cdr:x>
      <cdr:y>0.973996952767902</cdr:y>
    </cdr:to>
    <cdr:sp>
      <cdr:nvSpPr>
        <cdr:cNvPr id="30" name="Text 12"/>
        <cdr:cNvSpPr/>
      </cdr:nvSpPr>
      <cdr:spPr>
        <a:xfrm>
          <a:off x="18000" y="3087000"/>
          <a:ext cx="1304280" cy="3650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Cooperative Equilibrium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0.142493638676845</cdr:x>
      <cdr:y>0.422752666328085</cdr:y>
    </cdr:from>
    <cdr:to>
      <cdr:x>0.238487252407324</cdr:x>
      <cdr:y>0.577247333671915</cdr:y>
    </cdr:to>
    <cdr:sp>
      <cdr:nvSpPr>
        <cdr:cNvPr id="31" name="Line 13"/>
        <cdr:cNvSpPr/>
      </cdr:nvSpPr>
      <cdr:spPr>
        <a:xfrm flipH="1">
          <a:off x="1028160" y="1498320"/>
          <a:ext cx="692640" cy="54756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211320</xdr:colOff>
      <xdr:row>11</xdr:row>
      <xdr:rowOff>152280</xdr:rowOff>
    </xdr:from>
    <xdr:to>
      <xdr:col>8</xdr:col>
      <xdr:colOff>1080</xdr:colOff>
      <xdr:row>33</xdr:row>
      <xdr:rowOff>165240</xdr:rowOff>
    </xdr:to>
    <xdr:graphicFrame>
      <xdr:nvGraphicFramePr>
        <xdr:cNvPr id="33" name="Chart 11"/>
        <xdr:cNvGraphicFramePr/>
      </xdr:nvGraphicFramePr>
      <xdr:xfrm>
        <a:off x="211320" y="1968480"/>
        <a:ext cx="7257240" cy="364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920880</xdr:colOff>
      <xdr:row>12</xdr:row>
      <xdr:rowOff>25200</xdr:rowOff>
    </xdr:from>
    <xdr:to>
      <xdr:col>26</xdr:col>
      <xdr:colOff>25560</xdr:colOff>
      <xdr:row>35</xdr:row>
      <xdr:rowOff>63360</xdr:rowOff>
    </xdr:to>
    <xdr:graphicFrame>
      <xdr:nvGraphicFramePr>
        <xdr:cNvPr id="39" name="Chart 12"/>
        <xdr:cNvGraphicFramePr/>
      </xdr:nvGraphicFramePr>
      <xdr:xfrm>
        <a:off x="16760160" y="2006280"/>
        <a:ext cx="7506000" cy="383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0.364484126984127</cdr:x>
      <cdr:y>0.244025281453684</cdr:y>
    </cdr:from>
    <cdr:to>
      <cdr:x>0.482490079365079</cdr:x>
      <cdr:y>0.322536045822635</cdr:y>
    </cdr:to>
    <cdr:sp>
      <cdr:nvSpPr>
        <cdr:cNvPr id="34" name="Text 1"/>
        <cdr:cNvSpPr/>
      </cdr:nvSpPr>
      <cdr:spPr>
        <a:xfrm>
          <a:off x="2645280" y="889560"/>
          <a:ext cx="856440" cy="286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solidFill>
                <a:srgbClr val="000000"/>
              </a:solidFill>
              <a:effectLst/>
              <a:uFillTx/>
              <a:latin typeface="Geneva"/>
            </a:rPr>
            <a:t>Always Tax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0.451240079365079</cdr:x>
      <cdr:y>0.376752913292514</cdr:y>
    </cdr:from>
    <cdr:to>
      <cdr:x>0.70297619047619</cdr:x>
      <cdr:y>0.480248864309698</cdr:y>
    </cdr:to>
    <cdr:sp>
      <cdr:nvSpPr>
        <cdr:cNvPr id="35" name="Text 2"/>
        <cdr:cNvSpPr/>
      </cdr:nvSpPr>
      <cdr:spPr>
        <a:xfrm>
          <a:off x="3274920" y="1373400"/>
          <a:ext cx="1827000" cy="3772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Tax if Environment All-Tax, 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Toll if Environment All Toll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0.23452380952381</cdr:x>
      <cdr:y>0.651984989136875</cdr:y>
    </cdr:from>
    <cdr:to>
      <cdr:x>0.35952380952381</cdr:x>
      <cdr:y>0.737704918032787</cdr:y>
    </cdr:to>
    <cdr:sp>
      <cdr:nvSpPr>
        <cdr:cNvPr id="36" name="Text 3"/>
        <cdr:cNvSpPr/>
      </cdr:nvSpPr>
      <cdr:spPr>
        <a:xfrm>
          <a:off x="1702080" y="2376720"/>
          <a:ext cx="907200" cy="3124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Always Toll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0.00297619047619048</cdr:x>
      <cdr:y>0.863519652380012</cdr:y>
    </cdr:from>
    <cdr:to>
      <cdr:x>0.313740079365079</cdr:x>
      <cdr:y>0.945783132530121</cdr:y>
    </cdr:to>
    <cdr:sp>
      <cdr:nvSpPr>
        <cdr:cNvPr id="37" name="Text 4"/>
        <cdr:cNvSpPr/>
      </cdr:nvSpPr>
      <cdr:spPr>
        <a:xfrm>
          <a:off x="21600" y="3147840"/>
          <a:ext cx="2255400" cy="299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Non-cooperative equilibrium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0.283928571428571</cdr:x>
      <cdr:y>0.421291724274146</cdr:y>
    </cdr:from>
    <cdr:to>
      <cdr:x>0.449950396825397</cdr:x>
      <cdr:y>0.494963460398973</cdr:y>
    </cdr:to>
    <cdr:sp>
      <cdr:nvSpPr>
        <cdr:cNvPr id="38" name="Line 6"/>
        <cdr:cNvSpPr/>
      </cdr:nvSpPr>
      <cdr:spPr>
        <a:xfrm flipH="1">
          <a:off x="2060640" y="1535760"/>
          <a:ext cx="1204920" cy="26856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2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0.395520598532445</cdr:x>
      <cdr:y>0.281276396058189</cdr:y>
    </cdr:from>
    <cdr:to>
      <cdr:x>0.75123495276006</cdr:x>
      <cdr:y>0.4</cdr:y>
    </cdr:to>
    <cdr:sp>
      <cdr:nvSpPr>
        <cdr:cNvPr id="40" name="Text 1"/>
        <cdr:cNvSpPr/>
      </cdr:nvSpPr>
      <cdr:spPr>
        <a:xfrm>
          <a:off x="2968920" y="1078920"/>
          <a:ext cx="2670120" cy="455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[B, B]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0.11726056304254</cdr:x>
      <cdr:y>0.528953542937588</cdr:y>
    </cdr:from>
    <cdr:to>
      <cdr:x>0.249772193180183</cdr:x>
      <cdr:y>0.596715157203191</cdr:y>
    </cdr:to>
    <cdr:sp>
      <cdr:nvSpPr>
        <cdr:cNvPr id="41" name="Text 2"/>
        <cdr:cNvSpPr/>
      </cdr:nvSpPr>
      <cdr:spPr>
        <a:xfrm>
          <a:off x="880200" y="2028960"/>
          <a:ext cx="994680" cy="259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[B, B'], [B,B']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0.520023020478634</cdr:x>
      <cdr:y>0.702017832003754</cdr:y>
    </cdr:from>
    <cdr:to>
      <cdr:x>0.719773631960098</cdr:x>
      <cdr:y>0.766494603472548</cdr:y>
    </cdr:to>
    <cdr:sp>
      <cdr:nvSpPr>
        <cdr:cNvPr id="42" name="Text 3"/>
        <cdr:cNvSpPr/>
      </cdr:nvSpPr>
      <cdr:spPr>
        <a:xfrm>
          <a:off x="3903480" y="2692800"/>
          <a:ext cx="1499400" cy="247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[D∞, B'][B', D∞]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0.428228861925088</cdr:x>
      <cdr:y>0.325668700140779</cdr:y>
    </cdr:from>
    <cdr:to>
      <cdr:x>0.428228861925088</cdr:x>
      <cdr:y>0.596433599249179</cdr:y>
    </cdr:to>
    <cdr:sp>
      <cdr:nvSpPr>
        <cdr:cNvPr id="43" name="Line 4"/>
        <cdr:cNvSpPr/>
      </cdr:nvSpPr>
      <cdr:spPr>
        <a:xfrm flipV="1">
          <a:off x="3214440" y="1249200"/>
          <a:ext cx="0" cy="103860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0.214234329288763</cdr:x>
      <cdr:y>0.46100422336931</cdr:y>
    </cdr:from>
    <cdr:to>
      <cdr:x>0.214234329288763</cdr:x>
      <cdr:y>0.525480994838104</cdr:y>
    </cdr:to>
    <cdr:sp>
      <cdr:nvSpPr>
        <cdr:cNvPr id="44" name="Line 5"/>
        <cdr:cNvSpPr/>
      </cdr:nvSpPr>
      <cdr:spPr>
        <a:xfrm>
          <a:off x="1608120" y="1768320"/>
          <a:ext cx="0" cy="24732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0.219270058989977</cdr:x>
      <cdr:y>0.586109807602065</cdr:y>
    </cdr:from>
    <cdr:to>
      <cdr:x>0.219270058989977</cdr:x>
      <cdr:y>0.72491787893008</cdr:y>
    </cdr:to>
    <cdr:sp>
      <cdr:nvSpPr>
        <cdr:cNvPr id="45" name="Line 6"/>
        <cdr:cNvSpPr/>
      </cdr:nvSpPr>
      <cdr:spPr>
        <a:xfrm flipV="1">
          <a:off x="1645920" y="2248200"/>
          <a:ext cx="0" cy="53244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0.597765095199271</cdr:x>
      <cdr:y>0.668043172219615</cdr:y>
    </cdr:from>
    <cdr:to>
      <cdr:x>0.597765095199271</cdr:x>
      <cdr:y>0.704739558892539</cdr:y>
    </cdr:to>
    <cdr:sp>
      <cdr:nvSpPr>
        <cdr:cNvPr id="46" name="Line 7"/>
        <cdr:cNvSpPr/>
      </cdr:nvSpPr>
      <cdr:spPr>
        <a:xfrm>
          <a:off x="4487040" y="2562480"/>
          <a:ext cx="0" cy="14076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</cdr:x>
      <cdr:y>0.81698732989207</cdr:y>
    </cdr:from>
    <cdr:to>
      <cdr:x>0.16450050357297</cdr:x>
      <cdr:y>0.959267949319568</cdr:y>
    </cdr:to>
    <cdr:sp>
      <cdr:nvSpPr>
        <cdr:cNvPr id="47" name="Text 8"/>
        <cdr:cNvSpPr/>
      </cdr:nvSpPr>
      <cdr:spPr>
        <a:xfrm>
          <a:off x="0" y="3133800"/>
          <a:ext cx="1234800" cy="545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Noncooperative Equilibria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211320</xdr:colOff>
      <xdr:row>11</xdr:row>
      <xdr:rowOff>152280</xdr:rowOff>
    </xdr:from>
    <xdr:to>
      <xdr:col>8</xdr:col>
      <xdr:colOff>1080</xdr:colOff>
      <xdr:row>33</xdr:row>
      <xdr:rowOff>165240</xdr:rowOff>
    </xdr:to>
    <xdr:graphicFrame>
      <xdr:nvGraphicFramePr>
        <xdr:cNvPr id="48" name="Chart 11"/>
        <xdr:cNvGraphicFramePr/>
      </xdr:nvGraphicFramePr>
      <xdr:xfrm>
        <a:off x="211320" y="1968480"/>
        <a:ext cx="7257240" cy="364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920880</xdr:colOff>
      <xdr:row>12</xdr:row>
      <xdr:rowOff>25200</xdr:rowOff>
    </xdr:from>
    <xdr:to>
      <xdr:col>26</xdr:col>
      <xdr:colOff>25560</xdr:colOff>
      <xdr:row>35</xdr:row>
      <xdr:rowOff>63360</xdr:rowOff>
    </xdr:to>
    <xdr:graphicFrame>
      <xdr:nvGraphicFramePr>
        <xdr:cNvPr id="54" name="Chart 12"/>
        <xdr:cNvGraphicFramePr/>
      </xdr:nvGraphicFramePr>
      <xdr:xfrm>
        <a:off x="16760160" y="2006280"/>
        <a:ext cx="7506000" cy="383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0.360763888888889</cdr:x>
      <cdr:y>0.238988741852657</cdr:y>
    </cdr:from>
    <cdr:to>
      <cdr:x>0.478769841269841</cdr:x>
      <cdr:y>0.317499506221608</cdr:y>
    </cdr:to>
    <cdr:sp>
      <cdr:nvSpPr>
        <cdr:cNvPr id="49" name="Text 1"/>
        <cdr:cNvSpPr/>
      </cdr:nvSpPr>
      <cdr:spPr>
        <a:xfrm>
          <a:off x="2618280" y="871200"/>
          <a:ext cx="856440" cy="286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solidFill>
                <a:srgbClr val="000000"/>
              </a:solidFill>
              <a:effectLst/>
              <a:uFillTx/>
              <a:latin typeface="Geneva"/>
            </a:rPr>
            <a:t>Always Tax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0.31577380952381</cdr:x>
      <cdr:y>0.451510961880308</cdr:y>
    </cdr:from>
    <cdr:to>
      <cdr:x>0.59702380952381</cdr:x>
      <cdr:y>0.555006912897492</cdr:y>
    </cdr:to>
    <cdr:sp>
      <cdr:nvSpPr>
        <cdr:cNvPr id="50" name="Text 2"/>
        <cdr:cNvSpPr/>
      </cdr:nvSpPr>
      <cdr:spPr>
        <a:xfrm>
          <a:off x="2291760" y="1645920"/>
          <a:ext cx="2041200" cy="3772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Tax if Environment All-Toll, 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Toll if Environment All-Tax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0.430753968253968</cdr:x>
      <cdr:y>0.732767134110211</cdr:y>
    </cdr:from>
    <cdr:to>
      <cdr:x>0.555753968253968</cdr:x>
      <cdr:y>0.818487063006123</cdr:y>
    </cdr:to>
    <cdr:sp>
      <cdr:nvSpPr>
        <cdr:cNvPr id="51" name="Text 3"/>
        <cdr:cNvSpPr/>
      </cdr:nvSpPr>
      <cdr:spPr>
        <a:xfrm>
          <a:off x="3126240" y="2671200"/>
          <a:ext cx="907200" cy="3124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Always Toll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0.00248015873015873</cdr:x>
      <cdr:y>0.822733557179538</cdr:y>
    </cdr:from>
    <cdr:to>
      <cdr:x>0.313244047619048</cdr:x>
      <cdr:y>0.904997037329646</cdr:y>
    </cdr:to>
    <cdr:sp>
      <cdr:nvSpPr>
        <cdr:cNvPr id="52" name="Text 4"/>
        <cdr:cNvSpPr/>
      </cdr:nvSpPr>
      <cdr:spPr>
        <a:xfrm>
          <a:off x="18000" y="2999160"/>
          <a:ext cx="2255400" cy="299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Non-cooperative equilibrium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0.143948412698413</cdr:x>
      <cdr:y>0.512048192771084</cdr:y>
    </cdr:from>
    <cdr:to>
      <cdr:x>0.313938492063492</cdr:x>
      <cdr:y>0.580782144973336</cdr:y>
    </cdr:to>
    <cdr:sp>
      <cdr:nvSpPr>
        <cdr:cNvPr id="53" name="Line 6"/>
        <cdr:cNvSpPr/>
      </cdr:nvSpPr>
      <cdr:spPr>
        <a:xfrm flipH="1">
          <a:off x="1044720" y="1866600"/>
          <a:ext cx="1233720" cy="25056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2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0.395520598532445</cdr:x>
      <cdr:y>0.281276396058189</cdr:y>
    </cdr:from>
    <cdr:to>
      <cdr:x>0.75123495276006</cdr:x>
      <cdr:y>0.4</cdr:y>
    </cdr:to>
    <cdr:sp>
      <cdr:nvSpPr>
        <cdr:cNvPr id="55" name="Text 1"/>
        <cdr:cNvSpPr/>
      </cdr:nvSpPr>
      <cdr:spPr>
        <a:xfrm>
          <a:off x="2968920" y="1078920"/>
          <a:ext cx="2670120" cy="455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[B, B]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0.11726056304254</cdr:x>
      <cdr:y>0.528953542937588</cdr:y>
    </cdr:from>
    <cdr:to>
      <cdr:x>0.249772193180183</cdr:x>
      <cdr:y>0.596715157203191</cdr:y>
    </cdr:to>
    <cdr:sp>
      <cdr:nvSpPr>
        <cdr:cNvPr id="56" name="Text 2"/>
        <cdr:cNvSpPr/>
      </cdr:nvSpPr>
      <cdr:spPr>
        <a:xfrm>
          <a:off x="880200" y="2028960"/>
          <a:ext cx="994680" cy="259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[B, B'], [B,B']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0.520023020478634</cdr:x>
      <cdr:y>0.702017832003754</cdr:y>
    </cdr:from>
    <cdr:to>
      <cdr:x>0.719773631960098</cdr:x>
      <cdr:y>0.766494603472548</cdr:y>
    </cdr:to>
    <cdr:sp>
      <cdr:nvSpPr>
        <cdr:cNvPr id="57" name="Text 3"/>
        <cdr:cNvSpPr/>
      </cdr:nvSpPr>
      <cdr:spPr>
        <a:xfrm>
          <a:off x="3903480" y="2692800"/>
          <a:ext cx="1499400" cy="247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[D∞, B'][B', D∞]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0.428228861925088</cdr:x>
      <cdr:y>0.325668700140779</cdr:y>
    </cdr:from>
    <cdr:to>
      <cdr:x>0.428228861925088</cdr:x>
      <cdr:y>0.596433599249179</cdr:y>
    </cdr:to>
    <cdr:sp>
      <cdr:nvSpPr>
        <cdr:cNvPr id="58" name="Line 4"/>
        <cdr:cNvSpPr/>
      </cdr:nvSpPr>
      <cdr:spPr>
        <a:xfrm flipV="1">
          <a:off x="3214440" y="1249200"/>
          <a:ext cx="0" cy="103860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0.214234329288763</cdr:x>
      <cdr:y>0.46100422336931</cdr:y>
    </cdr:from>
    <cdr:to>
      <cdr:x>0.214234329288763</cdr:x>
      <cdr:y>0.525480994838104</cdr:y>
    </cdr:to>
    <cdr:sp>
      <cdr:nvSpPr>
        <cdr:cNvPr id="59" name="Line 5"/>
        <cdr:cNvSpPr/>
      </cdr:nvSpPr>
      <cdr:spPr>
        <a:xfrm>
          <a:off x="1608120" y="1768320"/>
          <a:ext cx="0" cy="24732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0.219270058989977</cdr:x>
      <cdr:y>0.586109807602065</cdr:y>
    </cdr:from>
    <cdr:to>
      <cdr:x>0.219270058989977</cdr:x>
      <cdr:y>0.72491787893008</cdr:y>
    </cdr:to>
    <cdr:sp>
      <cdr:nvSpPr>
        <cdr:cNvPr id="60" name="Line 6"/>
        <cdr:cNvSpPr/>
      </cdr:nvSpPr>
      <cdr:spPr>
        <a:xfrm flipV="1">
          <a:off x="1645920" y="2248200"/>
          <a:ext cx="0" cy="53244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0.597765095199271</cdr:x>
      <cdr:y>0.668043172219615</cdr:y>
    </cdr:from>
    <cdr:to>
      <cdr:x>0.597765095199271</cdr:x>
      <cdr:y>0.704739558892539</cdr:y>
    </cdr:to>
    <cdr:sp>
      <cdr:nvSpPr>
        <cdr:cNvPr id="61" name="Line 7"/>
        <cdr:cNvSpPr/>
      </cdr:nvSpPr>
      <cdr:spPr>
        <a:xfrm>
          <a:off x="4487040" y="2562480"/>
          <a:ext cx="0" cy="14076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</cdr:x>
      <cdr:y>0.81698732989207</cdr:y>
    </cdr:from>
    <cdr:to>
      <cdr:x>0.16450050357297</cdr:x>
      <cdr:y>0.959267949319568</cdr:y>
    </cdr:to>
    <cdr:sp>
      <cdr:nvSpPr>
        <cdr:cNvPr id="62" name="Text 8"/>
        <cdr:cNvSpPr/>
      </cdr:nvSpPr>
      <cdr:spPr>
        <a:xfrm>
          <a:off x="0" y="3133800"/>
          <a:ext cx="1234800" cy="545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Noncooperative Equilibria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124920</xdr:colOff>
      <xdr:row>12</xdr:row>
      <xdr:rowOff>25200</xdr:rowOff>
    </xdr:from>
    <xdr:to>
      <xdr:col>7</xdr:col>
      <xdr:colOff>847080</xdr:colOff>
      <xdr:row>34</xdr:row>
      <xdr:rowOff>37800</xdr:rowOff>
    </xdr:to>
    <xdr:graphicFrame>
      <xdr:nvGraphicFramePr>
        <xdr:cNvPr id="63" name="Chart 11"/>
        <xdr:cNvGraphicFramePr/>
      </xdr:nvGraphicFramePr>
      <xdr:xfrm>
        <a:off x="124920" y="2006280"/>
        <a:ext cx="7256160" cy="364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920880</xdr:colOff>
      <xdr:row>13</xdr:row>
      <xdr:rowOff>25200</xdr:rowOff>
    </xdr:from>
    <xdr:to>
      <xdr:col>27</xdr:col>
      <xdr:colOff>25560</xdr:colOff>
      <xdr:row>36</xdr:row>
      <xdr:rowOff>63360</xdr:rowOff>
    </xdr:to>
    <xdr:graphicFrame>
      <xdr:nvGraphicFramePr>
        <xdr:cNvPr id="69" name="Chart 12"/>
        <xdr:cNvGraphicFramePr/>
      </xdr:nvGraphicFramePr>
      <xdr:xfrm>
        <a:off x="17012880" y="2171520"/>
        <a:ext cx="7506000" cy="383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0.400506027682691</cdr:x>
      <cdr:y>0.307228915662651</cdr:y>
    </cdr:from>
    <cdr:to>
      <cdr:x>0.518479932529642</cdr:x>
      <cdr:y>0.385739680031602</cdr:y>
    </cdr:to>
    <cdr:sp>
      <cdr:nvSpPr>
        <cdr:cNvPr id="64" name="Text 1"/>
        <cdr:cNvSpPr/>
      </cdr:nvSpPr>
      <cdr:spPr>
        <a:xfrm>
          <a:off x="2906280" y="1119960"/>
          <a:ext cx="856080" cy="286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solidFill>
                <a:srgbClr val="000000"/>
              </a:solidFill>
              <a:effectLst/>
              <a:uFillTx/>
              <a:latin typeface="Geneva"/>
            </a:rPr>
            <a:t>Always Tax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0.338988936845761</cdr:x>
      <cdr:y>0.420797945881888</cdr:y>
    </cdr:from>
    <cdr:to>
      <cdr:x>0.63074862330704</cdr:x>
      <cdr:y>0.528046612680229</cdr:y>
    </cdr:to>
    <cdr:sp>
      <cdr:nvSpPr>
        <cdr:cNvPr id="65" name="Text 2"/>
        <cdr:cNvSpPr/>
      </cdr:nvSpPr>
      <cdr:spPr>
        <a:xfrm>
          <a:off x="2459880" y="1533960"/>
          <a:ext cx="2117160" cy="390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Tax if Environment All-Toll, 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Toll if Environment All Tax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0.234509103537233</cdr:x>
      <cdr:y>0.655243926525775</cdr:y>
    </cdr:from>
    <cdr:to>
      <cdr:x>0.359478096939029</cdr:x>
      <cdr:y>0.740963855421687</cdr:y>
    </cdr:to>
    <cdr:sp>
      <cdr:nvSpPr>
        <cdr:cNvPr id="66" name="Text 3"/>
        <cdr:cNvSpPr/>
      </cdr:nvSpPr>
      <cdr:spPr>
        <a:xfrm>
          <a:off x="1701720" y="2388600"/>
          <a:ext cx="906840" cy="3124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Always Toll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0.00327429677035273</cdr:x>
      <cdr:y>0.863519652380012</cdr:y>
    </cdr:from>
    <cdr:to>
      <cdr:x>0.308726496998561</cdr:x>
      <cdr:y>0.945783132530121</cdr:y>
    </cdr:to>
    <cdr:sp>
      <cdr:nvSpPr>
        <cdr:cNvPr id="67" name="Text 4"/>
        <cdr:cNvSpPr/>
      </cdr:nvSpPr>
      <cdr:spPr>
        <a:xfrm>
          <a:off x="23760" y="3147840"/>
          <a:ext cx="2216520" cy="299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Cooperative Equilibrium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0.190702981594483</cdr:x>
      <cdr:y>0.465040489828165</cdr:y>
    </cdr:from>
    <cdr:to>
      <cdr:x>0.338195167931736</cdr:x>
      <cdr:y>0.487754295872013</cdr:y>
    </cdr:to>
    <cdr:sp>
      <cdr:nvSpPr>
        <cdr:cNvPr id="68" name="Line 5"/>
        <cdr:cNvSpPr/>
      </cdr:nvSpPr>
      <cdr:spPr>
        <a:xfrm flipH="1">
          <a:off x="1383840" y="1695240"/>
          <a:ext cx="1070280" cy="8280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2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0.395520598532445</cdr:x>
      <cdr:y>0.281276396058189</cdr:y>
    </cdr:from>
    <cdr:to>
      <cdr:x>0.75123495276006</cdr:x>
      <cdr:y>0.4</cdr:y>
    </cdr:to>
    <cdr:sp>
      <cdr:nvSpPr>
        <cdr:cNvPr id="70" name="Text 1"/>
        <cdr:cNvSpPr/>
      </cdr:nvSpPr>
      <cdr:spPr>
        <a:xfrm>
          <a:off x="2968920" y="1078920"/>
          <a:ext cx="2670120" cy="455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[B, B]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0.11726056304254</cdr:x>
      <cdr:y>0.528953542937588</cdr:y>
    </cdr:from>
    <cdr:to>
      <cdr:x>0.249772193180183</cdr:x>
      <cdr:y>0.596715157203191</cdr:y>
    </cdr:to>
    <cdr:sp>
      <cdr:nvSpPr>
        <cdr:cNvPr id="71" name="Text 2"/>
        <cdr:cNvSpPr/>
      </cdr:nvSpPr>
      <cdr:spPr>
        <a:xfrm>
          <a:off x="880200" y="2028960"/>
          <a:ext cx="994680" cy="259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[B, B'], [B,B']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0.433264591626301</cdr:x>
      <cdr:y>0.756264664476771</cdr:y>
    </cdr:from>
    <cdr:to>
      <cdr:x>0.633015203107765</cdr:x>
      <cdr:y>0.820741435945566</cdr:y>
    </cdr:to>
    <cdr:sp>
      <cdr:nvSpPr>
        <cdr:cNvPr id="72" name="Text 3"/>
        <cdr:cNvSpPr/>
      </cdr:nvSpPr>
      <cdr:spPr>
        <a:xfrm>
          <a:off x="3252240" y="2900880"/>
          <a:ext cx="1499400" cy="247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[D∞, B'][B', D∞]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0.428228861925088</cdr:x>
      <cdr:y>0.325668700140779</cdr:y>
    </cdr:from>
    <cdr:to>
      <cdr:x>0.428228861925088</cdr:x>
      <cdr:y>0.497888315344909</cdr:y>
    </cdr:to>
    <cdr:sp>
      <cdr:nvSpPr>
        <cdr:cNvPr id="73" name="Line 4"/>
        <cdr:cNvSpPr/>
      </cdr:nvSpPr>
      <cdr:spPr>
        <a:xfrm flipV="1">
          <a:off x="3214440" y="1249200"/>
          <a:ext cx="0" cy="66060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0.214234329288763</cdr:x>
      <cdr:y>0.349225715626466</cdr:y>
    </cdr:from>
    <cdr:to>
      <cdr:x>0.214234329288763</cdr:x>
      <cdr:y>0.525480994838104</cdr:y>
    </cdr:to>
    <cdr:sp>
      <cdr:nvSpPr>
        <cdr:cNvPr id="74" name="Line 5"/>
        <cdr:cNvSpPr/>
      </cdr:nvSpPr>
      <cdr:spPr>
        <a:xfrm>
          <a:off x="1608120" y="1339560"/>
          <a:ext cx="0" cy="67608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0.219270058989977</cdr:x>
      <cdr:y>0.586109807602065</cdr:y>
    </cdr:from>
    <cdr:to>
      <cdr:x>0.219270058989977</cdr:x>
      <cdr:y>0.72491787893008</cdr:y>
    </cdr:to>
    <cdr:sp>
      <cdr:nvSpPr>
        <cdr:cNvPr id="75" name="Line 6"/>
        <cdr:cNvSpPr/>
      </cdr:nvSpPr>
      <cdr:spPr>
        <a:xfrm flipV="1">
          <a:off x="1645920" y="2248200"/>
          <a:ext cx="0" cy="53244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0.548510862788356</cdr:x>
      <cdr:y>0.688033786954482</cdr:y>
    </cdr:from>
    <cdr:to>
      <cdr:x>0.548510862788356</cdr:x>
      <cdr:y>0.752041295166589</cdr:y>
    </cdr:to>
    <cdr:sp>
      <cdr:nvSpPr>
        <cdr:cNvPr id="76" name="Line 7"/>
        <cdr:cNvSpPr/>
      </cdr:nvSpPr>
      <cdr:spPr>
        <a:xfrm>
          <a:off x="4117320" y="2639160"/>
          <a:ext cx="0" cy="24552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0.00326123447316675</cdr:x>
      <cdr:y>0.837259502580948</cdr:y>
    </cdr:from>
    <cdr:to>
      <cdr:x>0.16598724281809</cdr:x>
      <cdr:y>1</cdr:y>
    </cdr:to>
    <cdr:sp>
      <cdr:nvSpPr>
        <cdr:cNvPr id="77" name="Text 8"/>
        <cdr:cNvSpPr/>
      </cdr:nvSpPr>
      <cdr:spPr>
        <a:xfrm>
          <a:off x="24480" y="3211560"/>
          <a:ext cx="1221480" cy="6242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Cooperative Equilibria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74880</xdr:colOff>
      <xdr:row>12</xdr:row>
      <xdr:rowOff>12960</xdr:rowOff>
    </xdr:from>
    <xdr:to>
      <xdr:col>7</xdr:col>
      <xdr:colOff>809640</xdr:colOff>
      <xdr:row>32</xdr:row>
      <xdr:rowOff>126720</xdr:rowOff>
    </xdr:to>
    <xdr:graphicFrame>
      <xdr:nvGraphicFramePr>
        <xdr:cNvPr id="78" name="Chart 1"/>
        <xdr:cNvGraphicFramePr/>
      </xdr:nvGraphicFramePr>
      <xdr:xfrm>
        <a:off x="74880" y="1994040"/>
        <a:ext cx="7268760" cy="341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74880</xdr:colOff>
      <xdr:row>34</xdr:row>
      <xdr:rowOff>12960</xdr:rowOff>
    </xdr:from>
    <xdr:to>
      <xdr:col>7</xdr:col>
      <xdr:colOff>809640</xdr:colOff>
      <xdr:row>54</xdr:row>
      <xdr:rowOff>127080</xdr:rowOff>
    </xdr:to>
    <xdr:graphicFrame>
      <xdr:nvGraphicFramePr>
        <xdr:cNvPr id="80" name="Chart 2"/>
        <xdr:cNvGraphicFramePr/>
      </xdr:nvGraphicFramePr>
      <xdr:xfrm>
        <a:off x="74880" y="5626440"/>
        <a:ext cx="7268760" cy="341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74880</xdr:colOff>
      <xdr:row>34</xdr:row>
      <xdr:rowOff>12960</xdr:rowOff>
    </xdr:from>
    <xdr:to>
      <xdr:col>15</xdr:col>
      <xdr:colOff>809280</xdr:colOff>
      <xdr:row>54</xdr:row>
      <xdr:rowOff>127080</xdr:rowOff>
    </xdr:to>
    <xdr:graphicFrame>
      <xdr:nvGraphicFramePr>
        <xdr:cNvPr id="81" name="Chart 3"/>
        <xdr:cNvGraphicFramePr/>
      </xdr:nvGraphicFramePr>
      <xdr:xfrm>
        <a:off x="7542360" y="5626440"/>
        <a:ext cx="7268760" cy="341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0.527981378763867</cdr:x>
      <cdr:y>0.288514225500527</cdr:y>
    </cdr:from>
    <cdr:to>
      <cdr:x>0.859003565768621</cdr:x>
      <cdr:y>0.544257112750263</cdr:y>
    </cdr:to>
    <cdr:sp>
      <cdr:nvSpPr>
        <cdr:cNvPr id="79" name="Text 1"/>
        <cdr:cNvSpPr/>
      </cdr:nvSpPr>
      <cdr:spPr>
        <a:xfrm>
          <a:off x="3837960" y="985680"/>
          <a:ext cx="2406240" cy="8737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400" b="0" u="none" strike="noStrike">
              <a:effectLst/>
              <a:uFillTx/>
              <a:latin typeface="Arial"/>
            </a:rPr>
            <a:t>Non-cooperative Equilibrium Toll Higher Than Cooperative Equilibrium Toll</a:t>
          </a:r>
          <a:endParaRPr sz="14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60120</xdr:colOff>
      <xdr:row>78</xdr:row>
      <xdr:rowOff>152280</xdr:rowOff>
    </xdr:from>
    <xdr:to>
      <xdr:col>10</xdr:col>
      <xdr:colOff>181440</xdr:colOff>
      <xdr:row>99</xdr:row>
      <xdr:rowOff>127080</xdr:rowOff>
    </xdr:to>
    <xdr:graphicFrame>
      <xdr:nvGraphicFramePr>
        <xdr:cNvPr id="82" name="Chart 4"/>
        <xdr:cNvGraphicFramePr/>
      </xdr:nvGraphicFramePr>
      <xdr:xfrm>
        <a:off x="60120" y="13055400"/>
        <a:ext cx="7100640" cy="344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0.972522179974652</cdr:x>
      <cdr:y>0.314264798159381</cdr:y>
    </cdr:from>
    <cdr:to>
      <cdr:x>0.972522179974652</cdr:x>
      <cdr:y>0.746287387575821</cdr:y>
    </cdr:to>
    <cdr:sp>
      <cdr:nvSpPr>
        <cdr:cNvPr id="83" name="Line 1"/>
        <cdr:cNvSpPr/>
      </cdr:nvSpPr>
      <cdr:spPr>
        <a:xfrm>
          <a:off x="6905880" y="1081800"/>
          <a:ext cx="0" cy="1487160"/>
        </a:xfrm>
        <a:prstGeom prst="line">
          <a:avLst/>
        </a:prstGeom>
        <a:ln w="0">
          <a:solidFill>
            <a:srgbClr val="000080"/>
          </a:solidFill>
          <a:headEnd len="med" type="triangle" w="med"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0.590012674271229</cdr:x>
      <cdr:y>0.322212926166074</cdr:y>
    </cdr:from>
    <cdr:to>
      <cdr:x>0.590012674271229</cdr:x>
      <cdr:y>0.742522484835808</cdr:y>
    </cdr:to>
    <cdr:sp>
      <cdr:nvSpPr>
        <cdr:cNvPr id="84" name="Line 2"/>
        <cdr:cNvSpPr/>
      </cdr:nvSpPr>
      <cdr:spPr>
        <a:xfrm>
          <a:off x="4189680" y="1109160"/>
          <a:ext cx="0" cy="1446840"/>
        </a:xfrm>
        <a:prstGeom prst="line">
          <a:avLst/>
        </a:prstGeom>
        <a:ln w="0">
          <a:solidFill>
            <a:srgbClr val="FF00FF"/>
          </a:solidFill>
          <a:headEnd len="med" type="triangle" w="med"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0.509759188846641</cdr:x>
      <cdr:y>0.439761556159799</cdr:y>
    </cdr:from>
    <cdr:to>
      <cdr:x>0.588745247148289</cdr:x>
      <cdr:y>0.557205605521857</cdr:y>
    </cdr:to>
    <cdr:sp>
      <cdr:nvSpPr>
        <cdr:cNvPr id="85" name="Text 3"/>
        <cdr:cNvSpPr/>
      </cdr:nvSpPr>
      <cdr:spPr>
        <a:xfrm>
          <a:off x="3619800" y="1513800"/>
          <a:ext cx="560880" cy="4042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0, 0.08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60, 0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0.88</cdr:x>
      <cdr:y>0.492470194519975</cdr:y>
    </cdr:from>
    <cdr:to>
      <cdr:x>0.972724968314322</cdr:x>
      <cdr:y>0.628738757582096</cdr:y>
    </cdr:to>
    <cdr:sp>
      <cdr:nvSpPr>
        <cdr:cNvPr id="86" name="Text 4"/>
        <cdr:cNvSpPr/>
      </cdr:nvSpPr>
      <cdr:spPr>
        <a:xfrm>
          <a:off x="6248880" y="1695240"/>
          <a:ext cx="658440" cy="469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90, 0.08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90, 0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0.471736375158428</cdr:x>
      <cdr:y>0.307048734574357</cdr:y>
    </cdr:from>
    <cdr:to>
      <cdr:x>0.471736375158428</cdr:x>
      <cdr:y>0.738548420832462</cdr:y>
    </cdr:to>
    <cdr:sp>
      <cdr:nvSpPr>
        <cdr:cNvPr id="87" name="Line 5"/>
        <cdr:cNvSpPr/>
      </cdr:nvSpPr>
      <cdr:spPr>
        <a:xfrm flipV="1">
          <a:off x="3349800" y="1056960"/>
          <a:ext cx="0" cy="1485360"/>
        </a:xfrm>
        <a:prstGeom prst="line">
          <a:avLst/>
        </a:prstGeom>
        <a:ln w="9360">
          <a:solidFill>
            <a:srgbClr val="600080"/>
          </a:solidFill>
          <a:miter/>
          <a:headEnd len="med" type="triangle" w="med"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0.39148288973384</cdr:x>
      <cdr:y>0.454716586488182</cdr:y>
    </cdr:from>
    <cdr:to>
      <cdr:x>0.470519645120406</cdr:x>
      <cdr:y>0.564526249738548</cdr:y>
    </cdr:to>
    <cdr:sp>
      <cdr:nvSpPr>
        <cdr:cNvPr id="88" name="Text 6"/>
        <cdr:cNvSpPr/>
      </cdr:nvSpPr>
      <cdr:spPr>
        <a:xfrm>
          <a:off x="2779920" y="1565280"/>
          <a:ext cx="561240" cy="3780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45, 0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30, 0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0.0897338403041825</cdr:x>
      <cdr:y>0.310395314787701</cdr:y>
    </cdr:from>
    <cdr:to>
      <cdr:x>0.0897338403041825</cdr:x>
      <cdr:y>0.749947709684167</cdr:y>
    </cdr:to>
    <cdr:sp>
      <cdr:nvSpPr>
        <cdr:cNvPr id="89" name="Line 7"/>
        <cdr:cNvSpPr/>
      </cdr:nvSpPr>
      <cdr:spPr>
        <a:xfrm flipV="1">
          <a:off x="637200" y="1068480"/>
          <a:ext cx="0" cy="1513080"/>
        </a:xfrm>
        <a:prstGeom prst="line">
          <a:avLst/>
        </a:prstGeom>
        <a:ln w="9360">
          <a:solidFill>
            <a:srgbClr val="008080"/>
          </a:solidFill>
          <a:miter/>
          <a:headEnd len="med" type="triangle" w="med"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0.0979974651457541</cdr:x>
      <cdr:y>0.435787492156453</cdr:y>
    </cdr:from>
    <cdr:to>
      <cdr:x>0.156501901140684</cdr:x>
      <cdr:y>0.519033674963397</cdr:y>
    </cdr:to>
    <cdr:sp>
      <cdr:nvSpPr>
        <cdr:cNvPr id="90" name="Text 8"/>
        <cdr:cNvSpPr/>
      </cdr:nvSpPr>
      <cdr:spPr>
        <a:xfrm>
          <a:off x="695880" y="1500120"/>
          <a:ext cx="415440" cy="286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0, 0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0.0017743979721166</cdr:x>
      <cdr:y>0.825768667642753</cdr:y>
    </cdr:from>
    <cdr:to>
      <cdr:x>0.450240811153359</cdr:x>
      <cdr:y>0.890294917381301</cdr:y>
    </cdr:to>
    <cdr:sp>
      <cdr:nvSpPr>
        <cdr:cNvPr id="91" name="Text 9"/>
        <cdr:cNvSpPr/>
      </cdr:nvSpPr>
      <cdr:spPr>
        <a:xfrm>
          <a:off x="12600" y="2842560"/>
          <a:ext cx="3184560" cy="2221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cooperative toll-setting [kappa, theta]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60120</xdr:colOff>
      <xdr:row>78</xdr:row>
      <xdr:rowOff>152280</xdr:rowOff>
    </xdr:from>
    <xdr:to>
      <xdr:col>10</xdr:col>
      <xdr:colOff>181440</xdr:colOff>
      <xdr:row>99</xdr:row>
      <xdr:rowOff>127080</xdr:rowOff>
    </xdr:to>
    <xdr:graphicFrame>
      <xdr:nvGraphicFramePr>
        <xdr:cNvPr id="92" name="Chart 4"/>
        <xdr:cNvGraphicFramePr/>
      </xdr:nvGraphicFramePr>
      <xdr:xfrm>
        <a:off x="60120" y="13055400"/>
        <a:ext cx="7100640" cy="344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0.980025348542459</cdr:x>
      <cdr:y>0.302760928676009</cdr:y>
    </cdr:from>
    <cdr:to>
      <cdr:x>0.980025348542459</cdr:x>
      <cdr:y>0.694519974900648</cdr:y>
    </cdr:to>
    <cdr:sp>
      <cdr:nvSpPr>
        <cdr:cNvPr id="93" name="Line 1"/>
        <cdr:cNvSpPr/>
      </cdr:nvSpPr>
      <cdr:spPr>
        <a:xfrm>
          <a:off x="6959160" y="1042200"/>
          <a:ext cx="0" cy="1348560"/>
        </a:xfrm>
        <a:prstGeom prst="line">
          <a:avLst/>
        </a:prstGeom>
        <a:ln w="0">
          <a:solidFill>
            <a:srgbClr val="000080"/>
          </a:solidFill>
          <a:headEnd len="med" type="triangle" w="med"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0.595994930291508</cdr:x>
      <cdr:y>0.309976992261033</cdr:y>
    </cdr:from>
    <cdr:to>
      <cdr:x>0.595994930291508</cdr:x>
      <cdr:y>0.691277975318971</cdr:y>
    </cdr:to>
    <cdr:sp>
      <cdr:nvSpPr>
        <cdr:cNvPr id="94" name="Line 2"/>
        <cdr:cNvSpPr/>
      </cdr:nvSpPr>
      <cdr:spPr>
        <a:xfrm>
          <a:off x="4232160" y="1067040"/>
          <a:ext cx="0" cy="1312560"/>
        </a:xfrm>
        <a:prstGeom prst="line">
          <a:avLst/>
        </a:prstGeom>
        <a:ln w="0">
          <a:solidFill>
            <a:srgbClr val="FF00FF"/>
          </a:solidFill>
          <a:headEnd len="med" type="triangle" w="med"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0.514980988593156</cdr:x>
      <cdr:y>0.416230914034721</cdr:y>
    </cdr:from>
    <cdr:to>
      <cdr:x>0.594017743979721</cdr:x>
      <cdr:y>0.533779544028446</cdr:y>
    </cdr:to>
    <cdr:sp>
      <cdr:nvSpPr>
        <cdr:cNvPr id="95" name="Text 3"/>
        <cdr:cNvSpPr/>
      </cdr:nvSpPr>
      <cdr:spPr>
        <a:xfrm>
          <a:off x="3656880" y="1432800"/>
          <a:ext cx="561240" cy="4046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0, 0.08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60, 0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0.889733840304183</cdr:x>
      <cdr:y>0.464024262706547</cdr:y>
    </cdr:from>
    <cdr:to>
      <cdr:x>0.982509505703422</cdr:x>
      <cdr:y>0.600292825768668</cdr:y>
    </cdr:to>
    <cdr:sp>
      <cdr:nvSpPr>
        <cdr:cNvPr id="96" name="Text 4"/>
        <cdr:cNvSpPr/>
      </cdr:nvSpPr>
      <cdr:spPr>
        <a:xfrm>
          <a:off x="6318000" y="1597320"/>
          <a:ext cx="658800" cy="469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90, 0.08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90, 0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0.476248415716096</cdr:x>
      <cdr:y>0.295963187617653</cdr:y>
    </cdr:from>
    <cdr:to>
      <cdr:x>0.476248415716096</cdr:x>
      <cdr:y>0.687513072578958</cdr:y>
    </cdr:to>
    <cdr:sp>
      <cdr:nvSpPr>
        <cdr:cNvPr id="97" name="Line 5"/>
        <cdr:cNvSpPr/>
      </cdr:nvSpPr>
      <cdr:spPr>
        <a:xfrm flipV="1">
          <a:off x="3381840" y="1018800"/>
          <a:ext cx="0" cy="1347840"/>
        </a:xfrm>
        <a:prstGeom prst="line">
          <a:avLst/>
        </a:prstGeom>
        <a:ln w="9360">
          <a:solidFill>
            <a:srgbClr val="600080"/>
          </a:solidFill>
          <a:miter/>
          <a:headEnd len="med" type="triangle" w="med"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0.394980988593156</cdr:x>
      <cdr:y>0.430244718678101</cdr:y>
    </cdr:from>
    <cdr:to>
      <cdr:x>0.474017743979721</cdr:x>
      <cdr:y>0.5399498012968</cdr:y>
    </cdr:to>
    <cdr:sp>
      <cdr:nvSpPr>
        <cdr:cNvPr id="98" name="Text 6"/>
        <cdr:cNvSpPr/>
      </cdr:nvSpPr>
      <cdr:spPr>
        <a:xfrm>
          <a:off x="2804760" y="1481040"/>
          <a:ext cx="561240" cy="3776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45, 0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30, 0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0.0897338403041825</cdr:x>
      <cdr:y>0.299100606567664</cdr:y>
    </cdr:from>
    <cdr:to>
      <cdr:x>0.0897338403041825</cdr:x>
      <cdr:y>0.697866555113993</cdr:y>
    </cdr:to>
    <cdr:sp>
      <cdr:nvSpPr>
        <cdr:cNvPr id="99" name="Line 7"/>
        <cdr:cNvSpPr/>
      </cdr:nvSpPr>
      <cdr:spPr>
        <a:xfrm flipV="1">
          <a:off x="637200" y="1029600"/>
          <a:ext cx="0" cy="1372680"/>
        </a:xfrm>
        <a:prstGeom prst="line">
          <a:avLst/>
        </a:prstGeom>
        <a:ln w="9360">
          <a:solidFill>
            <a:srgbClr val="008080"/>
          </a:solidFill>
          <a:miter/>
          <a:headEnd len="med" type="triangle" w="med"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0.0979974651457541</cdr:x>
      <cdr:y>0.412988914453043</cdr:y>
    </cdr:from>
    <cdr:to>
      <cdr:x>0.156501901140684</cdr:x>
      <cdr:y>0.496235097259987</cdr:y>
    </cdr:to>
    <cdr:sp>
      <cdr:nvSpPr>
        <cdr:cNvPr id="100" name="Text 8"/>
        <cdr:cNvSpPr/>
      </cdr:nvSpPr>
      <cdr:spPr>
        <a:xfrm>
          <a:off x="695880" y="1421640"/>
          <a:ext cx="415440" cy="286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0, 0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0.0017743979721166</cdr:x>
      <cdr:y>0.776511190127588</cdr:y>
    </cdr:from>
    <cdr:to>
      <cdr:x>0.450240811153359</cdr:x>
      <cdr:y>0.841037439866137</cdr:y>
    </cdr:to>
    <cdr:sp>
      <cdr:nvSpPr>
        <cdr:cNvPr id="101" name="Text 9"/>
        <cdr:cNvSpPr/>
      </cdr:nvSpPr>
      <cdr:spPr>
        <a:xfrm>
          <a:off x="12600" y="2673000"/>
          <a:ext cx="3184560" cy="2221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cooperative toll-setting [kappa, theta]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84240</xdr:colOff>
      <xdr:row>30</xdr:row>
      <xdr:rowOff>152280</xdr:rowOff>
    </xdr:from>
    <xdr:to>
      <xdr:col>10</xdr:col>
      <xdr:colOff>277920</xdr:colOff>
      <xdr:row>50</xdr:row>
      <xdr:rowOff>114120</xdr:rowOff>
    </xdr:to>
    <xdr:graphicFrame>
      <xdr:nvGraphicFramePr>
        <xdr:cNvPr id="102" name="Chart 5"/>
        <xdr:cNvGraphicFramePr/>
      </xdr:nvGraphicFramePr>
      <xdr:xfrm>
        <a:off x="84240" y="5105160"/>
        <a:ext cx="7740000" cy="326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84240</xdr:colOff>
      <xdr:row>30</xdr:row>
      <xdr:rowOff>152280</xdr:rowOff>
    </xdr:from>
    <xdr:to>
      <xdr:col>9</xdr:col>
      <xdr:colOff>277920</xdr:colOff>
      <xdr:row>50</xdr:row>
      <xdr:rowOff>114120</xdr:rowOff>
    </xdr:to>
    <xdr:graphicFrame>
      <xdr:nvGraphicFramePr>
        <xdr:cNvPr id="103" name="Chart 5"/>
        <xdr:cNvGraphicFramePr/>
      </xdr:nvGraphicFramePr>
      <xdr:xfrm>
        <a:off x="84240" y="5105160"/>
        <a:ext cx="6932160" cy="326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84240</xdr:colOff>
      <xdr:row>10</xdr:row>
      <xdr:rowOff>25200</xdr:rowOff>
    </xdr:from>
    <xdr:to>
      <xdr:col>11</xdr:col>
      <xdr:colOff>603720</xdr:colOff>
      <xdr:row>32</xdr:row>
      <xdr:rowOff>50760</xdr:rowOff>
    </xdr:to>
    <xdr:graphicFrame>
      <xdr:nvGraphicFramePr>
        <xdr:cNvPr id="104" name="Chart 3"/>
        <xdr:cNvGraphicFramePr/>
      </xdr:nvGraphicFramePr>
      <xdr:xfrm>
        <a:off x="1017720" y="1676160"/>
        <a:ext cx="6991920" cy="365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84240</xdr:colOff>
      <xdr:row>33</xdr:row>
      <xdr:rowOff>25200</xdr:rowOff>
    </xdr:from>
    <xdr:to>
      <xdr:col>11</xdr:col>
      <xdr:colOff>603720</xdr:colOff>
      <xdr:row>55</xdr:row>
      <xdr:rowOff>50760</xdr:rowOff>
    </xdr:to>
    <xdr:graphicFrame>
      <xdr:nvGraphicFramePr>
        <xdr:cNvPr id="107" name="Chart 4"/>
        <xdr:cNvGraphicFramePr/>
      </xdr:nvGraphicFramePr>
      <xdr:xfrm>
        <a:off x="1017720" y="5473440"/>
        <a:ext cx="6991920" cy="365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84240</xdr:colOff>
      <xdr:row>56</xdr:row>
      <xdr:rowOff>25200</xdr:rowOff>
    </xdr:from>
    <xdr:to>
      <xdr:col>11</xdr:col>
      <xdr:colOff>603720</xdr:colOff>
      <xdr:row>78</xdr:row>
      <xdr:rowOff>50760</xdr:rowOff>
    </xdr:to>
    <xdr:graphicFrame>
      <xdr:nvGraphicFramePr>
        <xdr:cNvPr id="110" name="Chart 5"/>
        <xdr:cNvGraphicFramePr/>
      </xdr:nvGraphicFramePr>
      <xdr:xfrm>
        <a:off x="1017720" y="9270720"/>
        <a:ext cx="6991920" cy="365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84600</xdr:colOff>
      <xdr:row>10</xdr:row>
      <xdr:rowOff>25200</xdr:rowOff>
    </xdr:from>
    <xdr:to>
      <xdr:col>22</xdr:col>
      <xdr:colOff>639360</xdr:colOff>
      <xdr:row>32</xdr:row>
      <xdr:rowOff>50760</xdr:rowOff>
    </xdr:to>
    <xdr:graphicFrame>
      <xdr:nvGraphicFramePr>
        <xdr:cNvPr id="112" name="Chart 6"/>
        <xdr:cNvGraphicFramePr/>
      </xdr:nvGraphicFramePr>
      <xdr:xfrm>
        <a:off x="8888760" y="1676160"/>
        <a:ext cx="6991920" cy="365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0.00200792874427225</cdr:x>
      <cdr:y>0.939775634717575</cdr:y>
    </cdr:from>
    <cdr:to>
      <cdr:x>0.610976677135355</cdr:x>
      <cdr:y>1.00029521747687</cdr:y>
    </cdr:to>
    <cdr:sp>
      <cdr:nvSpPr>
        <cdr:cNvPr id="105" name="Text 1"/>
        <cdr:cNvSpPr/>
      </cdr:nvSpPr>
      <cdr:spPr>
        <a:xfrm>
          <a:off x="14040" y="3438000"/>
          <a:ext cx="4258080" cy="221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Cooperative Equilibrium, No Collection Costs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0.105236060340833</cdr:x>
      <cdr:y>0.275733123400905</cdr:y>
    </cdr:from>
    <cdr:to>
      <cdr:x>0.456005766359471</cdr:x>
      <cdr:y>0.75624876992718</cdr:y>
    </cdr:to>
    <cdr:sp>
      <cdr:nvSpPr>
        <cdr:cNvPr id="106" name="Text 2"/>
        <cdr:cNvSpPr/>
      </cdr:nvSpPr>
      <cdr:spPr>
        <a:xfrm>
          <a:off x="735840" y="1008720"/>
          <a:ext cx="2452680" cy="1757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400" b="0" u="none" strike="noStrike">
              <a:effectLst/>
              <a:uFillTx/>
              <a:latin typeface="Arial"/>
            </a:rPr>
            <a:t>Welfare Identical for Close Spacings </a:t>
          </a:r>
          <a:endParaRPr sz="1400" b="0" u="none" strike="noStrike">
            <a:effectLst/>
            <a:uFillTx/>
            <a:latin typeface="Times New Roman"/>
          </a:endParaRPr>
        </a:p>
        <a:p>
          <a:r>
            <a:rPr sz="1400" b="0" u="none" strike="noStrike">
              <a:effectLst/>
              <a:uFillTx/>
              <a:latin typeface="Arial"/>
            </a:rPr>
            <a:t>W*</a:t>
          </a:r>
          <a:r>
            <a:rPr sz="1400" b="0" u="none" strike="noStrike">
              <a:effectLst/>
              <a:uFillTx/>
              <a:latin typeface="Symbol"/>
            </a:rPr>
            <a:t>w</a:t>
          </a:r>
          <a:r>
            <a:rPr sz="1400" b="0" u="none" strike="noStrike">
              <a:effectLst/>
              <a:uFillTx/>
              <a:latin typeface="Arial"/>
            </a:rPr>
            <a:t> Independent of Jur. Size, </a:t>
          </a:r>
          <a:endParaRPr sz="1400" b="0" u="none" strike="noStrike">
            <a:effectLst/>
            <a:uFillTx/>
            <a:latin typeface="Times New Roman"/>
          </a:endParaRPr>
        </a:p>
        <a:p>
          <a:r>
            <a:rPr sz="1400" b="0" u="none" strike="noStrike">
              <a:effectLst/>
              <a:uFillTx/>
              <a:latin typeface="Arial"/>
            </a:rPr>
            <a:t>W*</a:t>
          </a:r>
          <a:r>
            <a:rPr sz="1400" b="0" u="none" strike="noStrike">
              <a:effectLst/>
              <a:uFillTx/>
              <a:latin typeface="Symbol"/>
            </a:rPr>
            <a:t>p</a:t>
          </a:r>
          <a:r>
            <a:rPr sz="1400" b="0" u="none" strike="noStrike">
              <a:effectLst/>
              <a:uFillTx/>
              <a:latin typeface="Arial"/>
            </a:rPr>
            <a:t>  Depends on Spacing,</a:t>
          </a:r>
          <a:endParaRPr sz="1400" b="0" u="none" strike="noStrike">
            <a:effectLst/>
            <a:uFillTx/>
            <a:latin typeface="Times New Roman"/>
          </a:endParaRPr>
        </a:p>
        <a:p>
          <a:r>
            <a:rPr sz="1400" b="0" u="none" strike="noStrike">
              <a:effectLst/>
              <a:uFillTx/>
              <a:latin typeface="Arial"/>
            </a:rPr>
            <a:t>Profit Zero for Perfect Tolls &amp; Odometer Tax, but not for Cordon Tolls. </a:t>
          </a:r>
          <a:endParaRPr sz="14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3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0.00175050198218607</cdr:x>
      <cdr:y>0.939775634717575</cdr:y>
    </cdr:from>
    <cdr:to>
      <cdr:x>0.610770735725686</cdr:x>
      <cdr:y>1.00029521747687</cdr:y>
    </cdr:to>
    <cdr:sp>
      <cdr:nvSpPr>
        <cdr:cNvPr id="108" name="Text 1"/>
        <cdr:cNvSpPr/>
      </cdr:nvSpPr>
      <cdr:spPr>
        <a:xfrm>
          <a:off x="12240" y="3438000"/>
          <a:ext cx="4258440" cy="221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Cooperative Equilibrium, No Collection Costs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0.0969984039540751</cdr:x>
      <cdr:y>0.203503247392246</cdr:y>
    </cdr:from>
    <cdr:to>
      <cdr:x>0.447768109972713</cdr:x>
      <cdr:y>0.602046841172997</cdr:y>
    </cdr:to>
    <cdr:sp>
      <cdr:nvSpPr>
        <cdr:cNvPr id="109" name="Text 2"/>
        <cdr:cNvSpPr/>
      </cdr:nvSpPr>
      <cdr:spPr>
        <a:xfrm>
          <a:off x="678240" y="744480"/>
          <a:ext cx="2452680" cy="14580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400" b="0" u="none" strike="noStrike">
              <a:effectLst/>
              <a:uFillTx/>
              <a:latin typeface="Arial"/>
            </a:rPr>
            <a:t>Effective Tolls (entry + exit toll) Identical to Odometer Tax for Close Spacings,</a:t>
          </a:r>
          <a:endParaRPr sz="1400" b="0" u="none" strike="noStrike">
            <a:effectLst/>
            <a:uFillTx/>
            <a:latin typeface="Times New Roman"/>
          </a:endParaRPr>
        </a:p>
        <a:p>
          <a:r>
            <a:rPr sz="1400" b="0" u="none" strike="noStrike">
              <a:effectLst/>
              <a:uFillTx/>
              <a:latin typeface="Arial"/>
            </a:rPr>
            <a:t>Cordon Tolls Less Effective Than Either.</a:t>
          </a:r>
          <a:endParaRPr sz="1400" b="0" u="none" strike="noStrike">
            <a:effectLst/>
            <a:uFillTx/>
            <a:latin typeface="Times New Roman"/>
          </a:endParaRPr>
        </a:p>
        <a:p>
          <a:r>
            <a:rPr sz="1400" b="0" u="none" strike="noStrike">
              <a:effectLst/>
              <a:uFillTx/>
              <a:latin typeface="Arial"/>
            </a:rPr>
            <a:t>The two methods converge for single facility network, Coop.</a:t>
          </a:r>
          <a:endParaRPr sz="14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3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0.00149307522009988</cdr:x>
      <cdr:y>0.940464475496949</cdr:y>
    </cdr:from>
    <cdr:to>
      <cdr:x>0.6105133089636</cdr:x>
      <cdr:y>1.00098405825625</cdr:y>
    </cdr:to>
    <cdr:sp>
      <cdr:nvSpPr>
        <cdr:cNvPr id="111" name="Text 1"/>
        <cdr:cNvSpPr/>
      </cdr:nvSpPr>
      <cdr:spPr>
        <a:xfrm>
          <a:off x="10440" y="3440520"/>
          <a:ext cx="4258440" cy="221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Cooperative Equilibrium, No Collection Costs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3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0.00200792874427225</cdr:x>
      <cdr:y>0.937709112379453</cdr:y>
    </cdr:from>
    <cdr:to>
      <cdr:x>0.610976677135355</cdr:x>
      <cdr:y>0.998228695138752</cdr:y>
    </cdr:to>
    <cdr:sp>
      <cdr:nvSpPr>
        <cdr:cNvPr id="113" name="Text 1"/>
        <cdr:cNvSpPr/>
      </cdr:nvSpPr>
      <cdr:spPr>
        <a:xfrm>
          <a:off x="14040" y="3430440"/>
          <a:ext cx="4258080" cy="221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Cooperative Equilibrium, No Collection Costs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B1" s="1" t="s">
        <v>0</v>
      </c>
      <c r="C1" s="2" t="s">
        <v>1</v>
      </c>
    </row>
    <row r="2" customFormat="false" ht="13" hidden="false" customHeight="false" outlineLevel="0" collapsed="false">
      <c r="A2" s="2" t="s">
        <v>2</v>
      </c>
      <c r="B2" s="1" t="n">
        <f aca="false">1/psi</f>
        <v>6.66666666666667</v>
      </c>
      <c r="C2" s="2" t="n">
        <f aca="false">1/psi</f>
        <v>6.66666666666667</v>
      </c>
    </row>
    <row r="3" customFormat="false" ht="13" hidden="false" customHeight="false" outlineLevel="0" collapsed="false">
      <c r="A3" s="2" t="s">
        <v>3</v>
      </c>
      <c r="B3" s="1" t="n">
        <f aca="false">1/alpha</f>
        <v>-1</v>
      </c>
      <c r="C3" s="2" t="n">
        <f aca="false">1/alpha</f>
        <v>-1</v>
      </c>
    </row>
    <row r="4" customFormat="false" ht="13" hidden="false" customHeight="false" outlineLevel="0" collapsed="false">
      <c r="A4" s="2" t="s">
        <v>4</v>
      </c>
      <c r="B4" s="1" t="n">
        <f aca="false">EXP(alpha*zeta)</f>
        <v>0.292292577680859</v>
      </c>
      <c r="C4" s="2" t="n">
        <f aca="false">EXP(alpha*zeta)</f>
        <v>0.292292577680859</v>
      </c>
    </row>
    <row r="5" customFormat="false" ht="13" hidden="false" customHeight="false" outlineLevel="0" collapsed="false">
      <c r="A5" s="2" t="s">
        <v>5</v>
      </c>
      <c r="B5" s="1" t="n">
        <v>180</v>
      </c>
      <c r="C5" s="2" t="n">
        <v>180</v>
      </c>
    </row>
    <row r="6" customFormat="false" ht="13" hidden="false" customHeight="false" outlineLevel="0" collapsed="false">
      <c r="A6" s="2" t="s">
        <v>6</v>
      </c>
      <c r="B6" s="2" t="n">
        <v>0.08</v>
      </c>
      <c r="C6" s="2" t="n">
        <v>0.017</v>
      </c>
    </row>
    <row r="7" customFormat="false" ht="13" hidden="false" customHeight="false" outlineLevel="0" collapsed="false">
      <c r="A7" s="2" t="s">
        <v>7</v>
      </c>
      <c r="B7" s="1" t="n">
        <v>0</v>
      </c>
      <c r="C7" s="2" t="n">
        <v>0</v>
      </c>
    </row>
    <row r="8" customFormat="false" ht="13" hidden="false" customHeight="false" outlineLevel="0" collapsed="false">
      <c r="A8" s="2" t="s">
        <v>8</v>
      </c>
      <c r="B8" s="1" t="n">
        <v>0.018</v>
      </c>
      <c r="C8" s="2" t="n">
        <v>0.018</v>
      </c>
    </row>
    <row r="9" customFormat="false" ht="13" hidden="false" customHeight="false" outlineLevel="0" collapsed="false">
      <c r="A9" s="2" t="s">
        <v>9</v>
      </c>
      <c r="B9" s="1" t="n">
        <v>-1</v>
      </c>
      <c r="C9" s="2" t="n">
        <v>-1</v>
      </c>
    </row>
    <row r="10" customFormat="false" ht="13" hidden="false" customHeight="false" outlineLevel="0" collapsed="false">
      <c r="A10" s="2" t="s">
        <v>10</v>
      </c>
      <c r="B10" s="1" t="n">
        <v>0.15</v>
      </c>
      <c r="C10" s="2" t="n">
        <v>0.15</v>
      </c>
    </row>
    <row r="11" customFormat="false" ht="13" hidden="false" customHeight="false" outlineLevel="0" collapsed="false">
      <c r="A11" s="2" t="s">
        <v>11</v>
      </c>
      <c r="B11" s="1" t="n">
        <v>1.23</v>
      </c>
      <c r="C11" s="2" t="n">
        <v>1.23</v>
      </c>
    </row>
    <row r="12" customFormat="false" ht="13" hidden="false" customHeight="false" outlineLevel="0" collapsed="false">
      <c r="A12" s="2" t="s">
        <v>12</v>
      </c>
      <c r="B12" s="1" t="n">
        <v>90</v>
      </c>
      <c r="C12" s="2" t="n">
        <v>90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T5" activeCellId="0" sqref="T5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6.28"/>
    <col collapsed="false" customWidth="true" hidden="false" outlineLevel="0" max="2" min="2" style="2" width="6.42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4.71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19" min="10" style="2" width="8.28"/>
    <col collapsed="false" customWidth="true" hidden="false" outlineLevel="0" max="20" min="20" style="2" width="9.99"/>
    <col collapsed="false" customWidth="false" hidden="false" outlineLevel="0" max="21" min="21" style="2" width="8.28"/>
    <col collapsed="false" customWidth="true" hidden="false" outlineLevel="0" max="22" min="22" style="2" width="8.99"/>
    <col collapsed="false" customWidth="true" hidden="false" outlineLevel="0" max="23" min="23" style="2" width="9.13"/>
    <col collapsed="false" customWidth="false" hidden="false" outlineLevel="0" max="257" min="24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</row>
    <row r="2" customFormat="false" ht="13" hidden="false" customHeight="false" outlineLevel="0" collapsed="false">
      <c r="A2" s="2" t="n">
        <v>0</v>
      </c>
      <c r="B2" s="2" t="n">
        <f aca="false">Tau</f>
        <v>0</v>
      </c>
      <c r="C2" s="2" t="n">
        <v>1</v>
      </c>
      <c r="D2" s="2" t="n">
        <v>0</v>
      </c>
      <c r="E2" s="2" t="n">
        <f aca="false">Size-a</f>
        <v>1</v>
      </c>
      <c r="F2" s="4" t="n">
        <f aca="false">(EXP(alpha*(Tau+OldTau+zeta-2*a*psi))*((EXP(alpha*a*psi)-EXP(alpha*b*psi))^2))/((EXP(alpha*a*psi)-EXP(alpha*(2*OldTau+b*psi)))*(alpha^2)*(psi^2))</f>
        <v>1.80951220538235</v>
      </c>
      <c r="G2" s="4" t="n">
        <f aca="false">(EXP(alpha*(zeta+(2*b-a)*psi))*(-1+EXP(alpha*(-1)*Size*psi))*(EXP(alpha*(2*(Tau+OldTau)+a*psi))-EXP(alpha*(2*(Tau+OldTau)+b*psi))))/(((EXP(alpha*a*psi)-EXP(alpha*(2*OldTau+b*psi)))^2)*(alpha^2)*(psi^2))</f>
        <v>11.1812690248781</v>
      </c>
      <c r="H2" s="5" t="n">
        <f aca="false">-Beta/alpha</f>
        <v>180</v>
      </c>
      <c r="I2" s="5" t="n">
        <f aca="false">(-EXP(alpha*zeta)*Beta*(-1+EXP(alpha*Size*psi)-Size*alpha*psi))/((alpha^3)*(psi^2))</f>
        <v>25.0388962482082</v>
      </c>
      <c r="J2" s="5" t="n">
        <v>0</v>
      </c>
      <c r="K2" s="5" t="n">
        <v>0</v>
      </c>
      <c r="L2" s="5" t="n">
        <v>0</v>
      </c>
      <c r="M2" s="5" t="n">
        <f aca="false">Gamma*Size</f>
        <v>0</v>
      </c>
      <c r="N2" s="5" t="n">
        <f aca="false">Size*Beta*Phi</f>
        <v>3.24</v>
      </c>
      <c r="O2" s="5" t="n">
        <f aca="false">-(EXP(alpha*a*psi)+EXP(alpha*b*psi)*(-1+Size*psi*alpha))*(Beta*Phi)/((alpha*psi)*(EXP(alpha*a*psi)-EXP(alpha*b*psi)))</f>
        <v>1.57951517936842</v>
      </c>
      <c r="P2" s="5" t="n">
        <f aca="false">(EXP(alpha*(zeta-a*psi))*Beta*Phi*(-EXP(alpha*a*psi)*(-2+(-1)*Size*alpha*psi)+EXP(alpha*b*psi)*(-2+Size*alpha*psi)))/((alpha^3)*(psi^3))</f>
        <v>0.146515554131081</v>
      </c>
      <c r="Q2" s="5" t="n">
        <f aca="false">Tau*Beta</f>
        <v>0</v>
      </c>
      <c r="R2" s="5" t="n">
        <f aca="false">Tau*Beta</f>
        <v>0</v>
      </c>
      <c r="S2" s="6" t="n">
        <f aca="false">Tau</f>
        <v>0</v>
      </c>
      <c r="T2" s="5" t="n">
        <f aca="false">Profit+Utility</f>
        <v>308.660962030988</v>
      </c>
      <c r="U2" s="5" t="n">
        <f aca="false">(2*ij*BRIJ)+2*jj*BRJJ</f>
        <v>0</v>
      </c>
      <c r="V2" s="5" t="n">
        <f aca="false">2*(ij*BCCIJ)+(2*jj*BCCJJ)+BCS+jj*BCPTJJ+2*(ij*BCPTIJ)+BCPTII+BCk</f>
        <v>42.0901311860437</v>
      </c>
      <c r="W2" s="5" t="n">
        <f aca="false">ij*BUTIJ+BUTII</f>
        <v>350.751093217031</v>
      </c>
      <c r="X2" s="5" t="n">
        <f aca="false">Revenue-Cost</f>
        <v>-42.0901311860437</v>
      </c>
      <c r="Y2" s="5" t="n">
        <f aca="false">Size</f>
        <v>1</v>
      </c>
      <c r="Z2" s="6" t="n">
        <f aca="false">Welfare/(Size)</f>
        <v>308.660962030988</v>
      </c>
      <c r="AA2" s="6" t="n">
        <f aca="false">Profit/(Size)</f>
        <v>-42.0901311860437</v>
      </c>
      <c r="AB2" s="6" t="n">
        <f aca="false">Utility/(Size)</f>
        <v>350.751093217031</v>
      </c>
    </row>
    <row r="3" customFormat="false" ht="13" hidden="false" customHeight="false" outlineLevel="0" collapsed="false">
      <c r="A3" s="2" t="n">
        <v>0</v>
      </c>
      <c r="B3" s="2" t="n">
        <f aca="false">Tau</f>
        <v>0</v>
      </c>
      <c r="C3" s="2" t="n">
        <v>2</v>
      </c>
      <c r="D3" s="2" t="n">
        <v>0</v>
      </c>
      <c r="E3" s="2" t="n">
        <f aca="false">Size-a</f>
        <v>2</v>
      </c>
      <c r="F3" s="4" t="n">
        <f aca="false">(EXP(alpha*(Tau+OldTau+zeta-2*a*psi))*((EXP(alpha*a*psi)-EXP(alpha*b*psi))^2))/((EXP(alpha*a*psi)-EXP(alpha*(2*OldTau+b*psi)))*(alpha^2)*(psi^2))</f>
        <v>3.36697379399344</v>
      </c>
      <c r="G3" s="4" t="n">
        <f aca="false">(EXP(alpha*(zeta+(2*b-a)*psi))*(-1+EXP(alpha*(-1)*Size*psi))*(EXP(alpha*(2*(Tau+OldTau)+a*psi))-EXP(alpha*(2*(Tau+OldTau)+b*psi))))/(((EXP(alpha*a*psi)-EXP(alpha*(2*OldTau+b*psi)))^2)*(alpha^2)*(psi^2))</f>
        <v>9.62380743626698</v>
      </c>
      <c r="H3" s="5" t="n">
        <f aca="false">-Beta/alpha</f>
        <v>180</v>
      </c>
      <c r="I3" s="5" t="n">
        <f aca="false">(-EXP(alpha*zeta)*Beta*(-1+EXP(alpha*Size*psi)-Size*alpha*psi))/((alpha^3)*(psi^2))</f>
        <v>95.4469035152439</v>
      </c>
      <c r="J3" s="5" t="n">
        <v>0</v>
      </c>
      <c r="K3" s="5" t="n">
        <v>0</v>
      </c>
      <c r="L3" s="5" t="n">
        <v>0</v>
      </c>
      <c r="M3" s="5" t="n">
        <f aca="false">Gamma*Size</f>
        <v>0</v>
      </c>
      <c r="N3" s="5" t="n">
        <f aca="false">Size*Beta*Phi</f>
        <v>6.48</v>
      </c>
      <c r="O3" s="5" t="n">
        <f aca="false">-(EXP(alpha*a*psi)+EXP(alpha*b*psi)*(-1+Size*psi*alpha))*(Beta*Phi)/((alpha*psi)*(EXP(alpha*a*psi)-EXP(alpha*b*psi)))</f>
        <v>3.07824248045466</v>
      </c>
      <c r="P3" s="5" t="n">
        <f aca="false">(EXP(alpha*(zeta-a*psi))*Beta*Phi*(-EXP(alpha*a*psi)*(-2+(-1)*Size*alpha*psi)+EXP(alpha*b*psi)*(-2+Size*alpha*psi)))/((alpha^3)*(psi^3))</f>
        <v>1.08926665858103</v>
      </c>
      <c r="Q3" s="5" t="n">
        <f aca="false">Tau*Beta</f>
        <v>0</v>
      </c>
      <c r="R3" s="5" t="n">
        <f aca="false">Tau*Beta</f>
        <v>0</v>
      </c>
      <c r="S3" s="6" t="n">
        <f aca="false">Tau</f>
        <v>0</v>
      </c>
      <c r="T3" s="5" t="n">
        <f aca="false">Profit+Utility</f>
        <v>617.321924061975</v>
      </c>
      <c r="U3" s="5" t="n">
        <f aca="false">(2*ij*BRIJ)+2*jj*BRJJ</f>
        <v>0</v>
      </c>
      <c r="V3" s="5" t="n">
        <f aca="false">2*(ij*BCCIJ)+(2*jj*BCCJJ)+BCS+jj*BCPTJJ+2*(ij*BCPTIJ)+BCPTII+BCk</f>
        <v>84.1802623720875</v>
      </c>
      <c r="W3" s="5" t="n">
        <f aca="false">ij*BUTIJ+BUTII</f>
        <v>701.502186434063</v>
      </c>
      <c r="X3" s="5" t="n">
        <f aca="false">Revenue-Cost</f>
        <v>-84.1802623720875</v>
      </c>
      <c r="Y3" s="5" t="n">
        <f aca="false">Size</f>
        <v>2</v>
      </c>
      <c r="Z3" s="6" t="n">
        <f aca="false">Welfare/(Size)</f>
        <v>308.660962030988</v>
      </c>
      <c r="AA3" s="6" t="n">
        <f aca="false">Profit/(Size)</f>
        <v>-42.0901311860438</v>
      </c>
      <c r="AB3" s="6" t="n">
        <f aca="false">Utility/(Size)</f>
        <v>350.751093217031</v>
      </c>
    </row>
    <row r="4" customFormat="false" ht="13" hidden="false" customHeight="false" outlineLevel="0" collapsed="false">
      <c r="A4" s="2" t="n">
        <v>0</v>
      </c>
      <c r="B4" s="2" t="n">
        <f aca="false">Tau</f>
        <v>0</v>
      </c>
      <c r="C4" s="2" t="n">
        <v>5</v>
      </c>
      <c r="D4" s="2" t="n">
        <v>0</v>
      </c>
      <c r="E4" s="2" t="n">
        <f aca="false">Size-a</f>
        <v>5</v>
      </c>
      <c r="F4" s="4" t="n">
        <f aca="false">(EXP(alpha*(Tau+OldTau+zeta-2*a*psi))*((EXP(alpha*a*psi)-EXP(alpha*b*psi))^2))/((EXP(alpha*a*psi)-EXP(alpha*(2*OldTau+b*psi)))*(alpha^2)*(psi^2))</f>
        <v>6.85437068310963</v>
      </c>
      <c r="G4" s="4" t="n">
        <f aca="false">(EXP(alpha*(zeta+(2*b-a)*psi))*(-1+EXP(alpha*(-1)*Size*psi))*(EXP(alpha*(2*(Tau+OldTau)+a*psi))-EXP(alpha*(2*(Tau+OldTau)+b*psi))))/(((EXP(alpha*a*psi)-EXP(alpha*(2*OldTau+b*psi)))^2)*(alpha^2)*(psi^2))</f>
        <v>6.13641054715079</v>
      </c>
      <c r="H4" s="5" t="n">
        <f aca="false">-Beta/alpha</f>
        <v>180</v>
      </c>
      <c r="I4" s="5" t="n">
        <f aca="false">(-EXP(alpha*zeta)*Beta*(-1+EXP(alpha*Size*psi)-Size*alpha*psi))/((alpha^3)*(psi^2))</f>
        <v>519.968743125424</v>
      </c>
      <c r="J4" s="5" t="n">
        <v>0</v>
      </c>
      <c r="K4" s="5" t="n">
        <v>0</v>
      </c>
      <c r="L4" s="5" t="n">
        <v>0</v>
      </c>
      <c r="M4" s="5" t="n">
        <f aca="false">Gamma*Size</f>
        <v>0</v>
      </c>
      <c r="N4" s="5" t="n">
        <f aca="false">Size*Beta*Phi</f>
        <v>16.2</v>
      </c>
      <c r="O4" s="5" t="n">
        <f aca="false">-(EXP(alpha*a*psi)+EXP(alpha*b*psi)*(-1+Size*psi*alpha))*(Beta*Phi)/((alpha*psi)*(EXP(alpha*a*psi)-EXP(alpha*b*psi)))</f>
        <v>7.09686682268204</v>
      </c>
      <c r="P4" s="5" t="n">
        <f aca="false">(EXP(alpha*(zeta-a*psi))*Beta*Phi*(-EXP(alpha*a*psi)*(-2+(-1)*Size*alpha*psi)+EXP(alpha*b*psi)*(-2+Size*alpha*psi)))/((alpha^3)*(psi^3))</f>
        <v>13.7516932837258</v>
      </c>
      <c r="Q4" s="5" t="n">
        <f aca="false">Tau*Beta</f>
        <v>0</v>
      </c>
      <c r="R4" s="5" t="n">
        <f aca="false">Tau*Beta</f>
        <v>0</v>
      </c>
      <c r="S4" s="6" t="n">
        <f aca="false">Tau</f>
        <v>0</v>
      </c>
      <c r="T4" s="5" t="n">
        <f aca="false">Profit+Utility</f>
        <v>1543.30481015494</v>
      </c>
      <c r="U4" s="5" t="n">
        <f aca="false">(2*ij*BRIJ)+2*jj*BRJJ</f>
        <v>0</v>
      </c>
      <c r="V4" s="5" t="n">
        <f aca="false">2*(ij*BCCIJ)+(2*jj*BCCJJ)+BCS+jj*BCPTJJ+2*(ij*BCPTIJ)+BCPTII+BCk</f>
        <v>210.450655930219</v>
      </c>
      <c r="W4" s="5" t="n">
        <f aca="false">ij*BUTIJ+BUTII</f>
        <v>1753.75546608516</v>
      </c>
      <c r="X4" s="5" t="n">
        <f aca="false">Revenue-Cost</f>
        <v>-210.450655930219</v>
      </c>
      <c r="Y4" s="5" t="n">
        <f aca="false">Size</f>
        <v>5</v>
      </c>
      <c r="Z4" s="6" t="n">
        <f aca="false">Welfare/(Size)</f>
        <v>308.660962030988</v>
      </c>
      <c r="AA4" s="6" t="n">
        <f aca="false">Profit/(Size)</f>
        <v>-42.0901311860438</v>
      </c>
      <c r="AB4" s="6" t="n">
        <f aca="false">Utility/(Size)</f>
        <v>350.751093217031</v>
      </c>
    </row>
    <row r="5" customFormat="false" ht="13" hidden="false" customHeight="false" outlineLevel="0" collapsed="false">
      <c r="A5" s="2" t="n">
        <v>0</v>
      </c>
      <c r="B5" s="2" t="n">
        <f aca="false">Tau</f>
        <v>0</v>
      </c>
      <c r="C5" s="2" t="n">
        <v>10</v>
      </c>
      <c r="D5" s="2" t="n">
        <v>0</v>
      </c>
      <c r="E5" s="2" t="n">
        <f aca="false">Size-a</f>
        <v>10</v>
      </c>
      <c r="F5" s="4" t="n">
        <f aca="false">(EXP(alpha*(Tau+OldTau+zeta-2*a*psi))*((EXP(alpha*a*psi)-EXP(alpha*b*psi))^2))/((EXP(alpha*a*psi)-EXP(alpha*(2*OldTau+b*psi)))*(alpha^2)*(psi^2))</f>
        <v>10.0921461338992</v>
      </c>
      <c r="G5" s="4" t="n">
        <f aca="false">(EXP(alpha*(zeta+(2*b-a)*psi))*(-1+EXP(alpha*(-1)*Size*psi))*(EXP(alpha*(2*(Tau+OldTau)+a*psi))-EXP(alpha*(2*(Tau+OldTau)+b*psi))))/(((EXP(alpha*a*psi)-EXP(alpha*(2*OldTau+b*psi)))^2)*(alpha^2)*(psi^2))</f>
        <v>2.89863509636122</v>
      </c>
      <c r="H5" s="5" t="n">
        <f aca="false">-Beta/alpha</f>
        <v>180</v>
      </c>
      <c r="I5" s="5" t="n">
        <f aca="false">(-EXP(alpha*zeta)*Beta*(-1+EXP(alpha*Size*psi)-Size*alpha*psi))/((alpha^3)*(psi^2))</f>
        <v>1690.92462806846</v>
      </c>
      <c r="J5" s="5" t="n">
        <v>0</v>
      </c>
      <c r="K5" s="5" t="n">
        <v>0</v>
      </c>
      <c r="L5" s="5" t="n">
        <v>0</v>
      </c>
      <c r="M5" s="5" t="n">
        <f aca="false">Gamma*Size</f>
        <v>0</v>
      </c>
      <c r="N5" s="5" t="n">
        <f aca="false">Size*Beta*Phi</f>
        <v>32.4</v>
      </c>
      <c r="O5" s="5" t="n">
        <f aca="false">-(EXP(alpha*a*psi)+EXP(alpha*b*psi)*(-1+Size*psi*alpha))*(Beta*Phi)/((alpha*psi)*(EXP(alpha*a*psi)-EXP(alpha*b*psi)))</f>
        <v>12.2941718960407</v>
      </c>
      <c r="P5" s="5" t="n">
        <f aca="false">(EXP(alpha*(zeta-a*psi))*Beta*Phi*(-EXP(alpha*a*psi)*(-2+(-1)*Size*alpha*psi)+EXP(alpha*b*psi)*(-2+Size*alpha*psi)))/((alpha^3)*(psi^3))</f>
        <v>78.836375998096</v>
      </c>
      <c r="Q5" s="5" t="n">
        <f aca="false">Tau*Beta</f>
        <v>0</v>
      </c>
      <c r="R5" s="5" t="n">
        <f aca="false">Tau*Beta</f>
        <v>0</v>
      </c>
      <c r="S5" s="6" t="n">
        <f aca="false">Tau</f>
        <v>0</v>
      </c>
      <c r="T5" s="5" t="n">
        <f aca="false">Profit+Utility</f>
        <v>3086.60962030988</v>
      </c>
      <c r="U5" s="5" t="n">
        <f aca="false">(2*ij*BRIJ)+2*jj*BRJJ</f>
        <v>0</v>
      </c>
      <c r="V5" s="5" t="n">
        <f aca="false">2*(ij*BCCIJ)+(2*jj*BCCJJ)+BCS+jj*BCPTJJ+2*(ij*BCPTIJ)+BCPTII+BCk</f>
        <v>420.901311860438</v>
      </c>
      <c r="W5" s="5" t="n">
        <f aca="false">ij*BUTIJ+BUTII</f>
        <v>3507.51093217031</v>
      </c>
      <c r="X5" s="5" t="n">
        <f aca="false">Revenue-Cost</f>
        <v>-420.901311860438</v>
      </c>
      <c r="Y5" s="5" t="n">
        <f aca="false">Size</f>
        <v>10</v>
      </c>
      <c r="Z5" s="6" t="n">
        <f aca="false">Welfare/(Size)</f>
        <v>308.660962030988</v>
      </c>
      <c r="AA5" s="6" t="n">
        <f aca="false">Profit/(Size)</f>
        <v>-42.0901311860438</v>
      </c>
      <c r="AB5" s="6" t="n">
        <f aca="false">Utility/(Size)</f>
        <v>350.751093217031</v>
      </c>
    </row>
    <row r="6" customFormat="false" ht="13" hidden="false" customHeight="false" outlineLevel="0" collapsed="false">
      <c r="A6" s="2" t="n">
        <v>0</v>
      </c>
      <c r="B6" s="2" t="n">
        <f aca="false">Tau</f>
        <v>0</v>
      </c>
      <c r="C6" s="2" t="n">
        <v>20</v>
      </c>
      <c r="D6" s="2" t="n">
        <v>0</v>
      </c>
      <c r="E6" s="2" t="n">
        <f aca="false">Size-a</f>
        <v>20</v>
      </c>
      <c r="F6" s="4" t="n">
        <f aca="false">(EXP(alpha*(Tau+OldTau+zeta-2*a*psi))*((EXP(alpha*a*psi)-EXP(alpha*b*psi))^2))/((EXP(alpha*a*psi)-EXP(alpha*(2*OldTau+b*psi)))*(alpha^2)*(psi^2))</f>
        <v>12.3440083169975</v>
      </c>
      <c r="G6" s="4" t="n">
        <f aca="false">(EXP(alpha*(zeta+(2*b-a)*psi))*(-1+EXP(alpha*(-1)*Size*psi))*(EXP(alpha*(2*(Tau+OldTau)+a*psi))-EXP(alpha*(2*(Tau+OldTau)+b*psi))))/(((EXP(alpha*a*psi)-EXP(alpha*(2*OldTau+b*psi)))^2)*(alpha^2)*(psi^2))</f>
        <v>0.646772913262939</v>
      </c>
      <c r="H6" s="5" t="n">
        <f aca="false">-Beta/alpha</f>
        <v>180</v>
      </c>
      <c r="I6" s="5" t="n">
        <f aca="false">(-EXP(alpha*zeta)*Beta*(-1+EXP(alpha*Size*psi)-Size*alpha*psi))/((alpha^3)*(psi^2))</f>
        <v>4793.10036728108</v>
      </c>
      <c r="J6" s="5" t="n">
        <v>0</v>
      </c>
      <c r="K6" s="5" t="n">
        <v>0</v>
      </c>
      <c r="L6" s="5" t="n">
        <v>0</v>
      </c>
      <c r="M6" s="5" t="n">
        <f aca="false">Gamma*Size</f>
        <v>0</v>
      </c>
      <c r="N6" s="5" t="n">
        <f aca="false">Size*Beta*Phi</f>
        <v>64.8</v>
      </c>
      <c r="O6" s="5" t="n">
        <f aca="false">-(EXP(alpha*a*psi)+EXP(alpha*b*psi)*(-1+Size*psi*alpha))*(Beta*Phi)/((alpha*psi)*(EXP(alpha*a*psi)-EXP(alpha*b*psi)))</f>
        <v>18.2047588673666</v>
      </c>
      <c r="P6" s="5" t="n">
        <f aca="false">(EXP(alpha*(zeta-a*psi))*Beta*Phi*(-EXP(alpha*a*psi)*(-2+(-1)*Size*alpha*psi)+EXP(alpha*b*psi)*(-2+Size*alpha*psi)))/((alpha^3)*(psi^3))</f>
        <v>350.452349206022</v>
      </c>
      <c r="Q6" s="5" t="n">
        <f aca="false">Tau*Beta</f>
        <v>0</v>
      </c>
      <c r="R6" s="5" t="n">
        <f aca="false">Tau*Beta</f>
        <v>0</v>
      </c>
      <c r="S6" s="6" t="n">
        <f aca="false">Tau</f>
        <v>0</v>
      </c>
      <c r="T6" s="5" t="n">
        <f aca="false">Profit+Utility</f>
        <v>6173.21924061975</v>
      </c>
      <c r="U6" s="5" t="n">
        <f aca="false">(2*ij*BRIJ)+2*jj*BRJJ</f>
        <v>0</v>
      </c>
      <c r="V6" s="5" t="n">
        <f aca="false">2*(ij*BCCIJ)+(2*jj*BCCJJ)+BCS+jj*BCPTJJ+2*(ij*BCPTIJ)+BCPTII+BCk</f>
        <v>841.802623720875</v>
      </c>
      <c r="W6" s="5" t="n">
        <f aca="false">ij*BUTIJ+BUTII</f>
        <v>7015.02186434063</v>
      </c>
      <c r="X6" s="5" t="n">
        <f aca="false">Revenue-Cost</f>
        <v>-841.802623720875</v>
      </c>
      <c r="Y6" s="5" t="n">
        <f aca="false">Size</f>
        <v>20</v>
      </c>
      <c r="Z6" s="6" t="n">
        <f aca="false">Welfare/(Size)</f>
        <v>308.660962030988</v>
      </c>
      <c r="AA6" s="6" t="n">
        <f aca="false">Profit/(Size)</f>
        <v>-42.0901311860438</v>
      </c>
      <c r="AB6" s="6" t="n">
        <f aca="false">Utility/(Size)</f>
        <v>350.751093217031</v>
      </c>
    </row>
    <row r="7" customFormat="false" ht="13" hidden="false" customHeight="false" outlineLevel="0" collapsed="false">
      <c r="A7" s="2" t="n">
        <v>0</v>
      </c>
      <c r="B7" s="2" t="n">
        <f aca="false">Tau</f>
        <v>0</v>
      </c>
      <c r="C7" s="2" t="n">
        <v>50</v>
      </c>
      <c r="D7" s="2" t="n">
        <v>0</v>
      </c>
      <c r="E7" s="2" t="n">
        <f aca="false">Size-a</f>
        <v>50</v>
      </c>
      <c r="F7" s="4" t="n">
        <f aca="false">(EXP(alpha*(Tau+OldTau+zeta-2*a*psi))*((EXP(alpha*a*psi)-EXP(alpha*b*psi))^2))/((EXP(alpha*a*psi)-EXP(alpha*(2*OldTau+b*psi)))*(alpha^2)*(psi^2))</f>
        <v>12.983596232206</v>
      </c>
      <c r="G7" s="4" t="n">
        <f aca="false">(EXP(alpha*(zeta+(2*b-a)*psi))*(-1+EXP(alpha*(-1)*Size*psi))*(EXP(alpha*(2*(Tau+OldTau)+a*psi))-EXP(alpha*(2*(Tau+OldTau)+b*psi))))/(((EXP(alpha*a*psi)-EXP(alpha*(2*OldTau+b*psi)))^2)*(alpha^2)*(psi^2))</f>
        <v>0.00718499805446688</v>
      </c>
      <c r="H7" s="5" t="n">
        <f aca="false">-Beta/alpha</f>
        <v>180</v>
      </c>
      <c r="I7" s="5" t="n">
        <f aca="false">(-EXP(alpha*zeta)*Beta*(-1+EXP(alpha*Size*psi)-Size*alpha*psi))/((alpha^3)*(psi^2))</f>
        <v>15200.5073390545</v>
      </c>
      <c r="J7" s="5" t="n">
        <v>0</v>
      </c>
      <c r="K7" s="5" t="n">
        <v>0</v>
      </c>
      <c r="L7" s="5" t="n">
        <v>0</v>
      </c>
      <c r="M7" s="5" t="n">
        <f aca="false">Gamma*Size</f>
        <v>0</v>
      </c>
      <c r="N7" s="5" t="n">
        <f aca="false">Size*Beta*Phi</f>
        <v>162</v>
      </c>
      <c r="O7" s="5" t="n">
        <f aca="false">-(EXP(alpha*a*psi)+EXP(alpha*b*psi)*(-1+Size*psi*alpha))*(Beta*Phi)/((alpha*psi)*(EXP(alpha*a*psi)-EXP(alpha*b*psi)))</f>
        <v>21.5103507484362</v>
      </c>
      <c r="P7" s="5" t="n">
        <f aca="false">(EXP(alpha*(zeta-a*psi))*Beta*Phi*(-EXP(alpha*a*psi)*(-2+(-1)*Size*alpha*psi)+EXP(alpha*b*psi)*(-2+Size*alpha*psi)))/((alpha^3)*(psi^3))</f>
        <v>1544.77917175571</v>
      </c>
      <c r="Q7" s="5" t="n">
        <f aca="false">Tau*Beta</f>
        <v>0</v>
      </c>
      <c r="R7" s="5" t="n">
        <f aca="false">Tau*Beta</f>
        <v>0</v>
      </c>
      <c r="S7" s="6" t="n">
        <f aca="false">Tau</f>
        <v>0</v>
      </c>
      <c r="T7" s="5" t="n">
        <f aca="false">Profit+Utility</f>
        <v>15433.0481015494</v>
      </c>
      <c r="U7" s="5" t="n">
        <f aca="false">(2*ij*BRIJ)+2*jj*BRJJ</f>
        <v>0</v>
      </c>
      <c r="V7" s="5" t="n">
        <f aca="false">2*(ij*BCCIJ)+(2*jj*BCCJJ)+BCS+jj*BCPTJJ+2*(ij*BCPTIJ)+BCPTII+BCk</f>
        <v>2104.50655930219</v>
      </c>
      <c r="W7" s="5" t="n">
        <f aca="false">ij*BUTIJ+BUTII</f>
        <v>17537.5546608516</v>
      </c>
      <c r="X7" s="5" t="n">
        <f aca="false">Revenue-Cost</f>
        <v>-2104.50655930219</v>
      </c>
      <c r="Y7" s="5" t="n">
        <f aca="false">Size</f>
        <v>50</v>
      </c>
      <c r="Z7" s="6" t="n">
        <f aca="false">Welfare/(Size)</f>
        <v>308.660962030988</v>
      </c>
      <c r="AA7" s="6" t="n">
        <f aca="false">Profit/(Size)</f>
        <v>-42.0901311860438</v>
      </c>
      <c r="AB7" s="6" t="n">
        <f aca="false">Utility/(Size)</f>
        <v>350.751093217031</v>
      </c>
    </row>
    <row r="8" customFormat="false" ht="13" hidden="false" customHeight="false" outlineLevel="0" collapsed="false">
      <c r="A8" s="2" t="n">
        <v>0</v>
      </c>
      <c r="B8" s="2" t="n">
        <f aca="false">Tau</f>
        <v>0</v>
      </c>
      <c r="C8" s="2" t="n">
        <v>100</v>
      </c>
      <c r="D8" s="2" t="n">
        <v>0</v>
      </c>
      <c r="E8" s="2" t="n">
        <f aca="false">Size-a</f>
        <v>100</v>
      </c>
      <c r="F8" s="4" t="n">
        <f aca="false">(EXP(alpha*(Tau+OldTau+zeta-2*a*psi))*((EXP(alpha*a*psi)-EXP(alpha*b*psi))^2))/((EXP(alpha*a*psi)-EXP(alpha*(2*OldTau+b*psi)))*(alpha^2)*(psi^2))</f>
        <v>12.9907772563503</v>
      </c>
      <c r="G8" s="4" t="n">
        <f aca="false">(EXP(alpha*(zeta+(2*b-a)*psi))*(-1+EXP(alpha*(-1)*Size*psi))*(EXP(alpha*(2*(Tau+OldTau)+a*psi))-EXP(alpha*(2*(Tau+OldTau)+b*psi))))/(((EXP(alpha*a*psi)-EXP(alpha*(2*OldTau+b*psi)))^2)*(alpha^2)*(psi^2))</f>
        <v>3.97391012346822E-006</v>
      </c>
      <c r="H8" s="5" t="n">
        <f aca="false">-Beta/alpha</f>
        <v>180</v>
      </c>
      <c r="I8" s="5" t="n">
        <f aca="false">(-EXP(alpha*zeta)*Beta*(-1+EXP(alpha*Size*psi)-Size*alpha*psi))/((alpha^3)*(psi^2))</f>
        <v>32736.7694155601</v>
      </c>
      <c r="J8" s="5" t="n">
        <v>0</v>
      </c>
      <c r="K8" s="5" t="n">
        <v>0</v>
      </c>
      <c r="L8" s="5" t="n">
        <v>0</v>
      </c>
      <c r="M8" s="5" t="n">
        <f aca="false">Gamma*Size</f>
        <v>0</v>
      </c>
      <c r="N8" s="5" t="n">
        <f aca="false">Size*Beta*Phi</f>
        <v>324</v>
      </c>
      <c r="O8" s="5" t="n">
        <f aca="false">-(EXP(alpha*a*psi)+EXP(alpha*b*psi)*(-1+Size*psi*alpha))*(Beta*Phi)/((alpha*psi)*(EXP(alpha*a*psi)-EXP(alpha*b*psi)))</f>
        <v>21.5999008876178</v>
      </c>
      <c r="P8" s="5" t="n">
        <f aca="false">(EXP(alpha*(zeta-a*psi))*Beta*Phi*(-EXP(alpha*a*psi)*(-2+(-1)*Size*alpha*psi)+EXP(alpha*b*psi)*(-2+Size*alpha*psi)))/((alpha^3)*(psi^3))</f>
        <v>3647.81282867692</v>
      </c>
      <c r="Q8" s="5" t="n">
        <f aca="false">Tau*Beta</f>
        <v>0</v>
      </c>
      <c r="R8" s="5" t="n">
        <f aca="false">Tau*Beta</f>
        <v>0</v>
      </c>
      <c r="S8" s="6" t="n">
        <f aca="false">Tau</f>
        <v>0</v>
      </c>
      <c r="T8" s="5" t="n">
        <f aca="false">Profit+Utility</f>
        <v>30866.0962030988</v>
      </c>
      <c r="U8" s="5" t="n">
        <f aca="false">(2*ij*BRIJ)+2*jj*BRJJ</f>
        <v>0</v>
      </c>
      <c r="V8" s="5" t="n">
        <f aca="false">2*(ij*BCCIJ)+(2*jj*BCCJJ)+BCS+jj*BCPTJJ+2*(ij*BCPTIJ)+BCPTII+BCk</f>
        <v>4209.01311860438</v>
      </c>
      <c r="W8" s="5" t="n">
        <f aca="false">ij*BUTIJ+BUTII</f>
        <v>35075.1093217031</v>
      </c>
      <c r="X8" s="5" t="n">
        <f aca="false">Revenue-Cost</f>
        <v>-4209.01311860438</v>
      </c>
      <c r="Y8" s="5" t="n">
        <f aca="false">Size</f>
        <v>100</v>
      </c>
      <c r="Z8" s="6" t="n">
        <f aca="false">Welfare/(Size)</f>
        <v>308.660962030988</v>
      </c>
      <c r="AA8" s="6" t="n">
        <f aca="false">Profit/(Size)</f>
        <v>-42.0901311860438</v>
      </c>
      <c r="AB8" s="6" t="n">
        <f aca="false">Utility/(Size)</f>
        <v>350.751093217031</v>
      </c>
    </row>
    <row r="9" customFormat="false" ht="13" hidden="false" customHeight="false" outlineLevel="0" collapsed="false">
      <c r="A9" s="2" t="n">
        <v>0</v>
      </c>
      <c r="B9" s="2" t="n">
        <f aca="false">Tau</f>
        <v>0</v>
      </c>
      <c r="C9" s="2" t="n">
        <v>200</v>
      </c>
      <c r="D9" s="2" t="n">
        <v>0</v>
      </c>
      <c r="E9" s="2" t="n">
        <f aca="false">Size-a</f>
        <v>200</v>
      </c>
      <c r="F9" s="4" t="n">
        <f aca="false">(EXP(alpha*(Tau+OldTau+zeta-2*a*psi))*((EXP(alpha*a*psi)-EXP(alpha*b*psi))^2))/((EXP(alpha*a*psi)-EXP(alpha*(2*OldTau+b*psi)))*(alpha^2)*(psi^2))</f>
        <v>12.9907812302592</v>
      </c>
      <c r="G9" s="4" t="n">
        <f aca="false">(EXP(alpha*(zeta+(2*b-a)*psi))*(-1+EXP(alpha*(-1)*Size*psi))*(EXP(alpha*(2*(Tau+OldTau)+a*psi))-EXP(alpha*(2*(Tau+OldTau)+b*psi))))/(((EXP(alpha*a*psi)-EXP(alpha*(2*OldTau+b*psi)))^2)*(alpha^2)*(psi^2))</f>
        <v>1.21562832823463E-012</v>
      </c>
      <c r="H9" s="5" t="n">
        <f aca="false">-Beta/alpha</f>
        <v>180</v>
      </c>
      <c r="I9" s="5" t="n">
        <f aca="false">(-EXP(alpha*zeta)*Beta*(-1+EXP(alpha*Size*psi)-Size*alpha*psi))/((alpha^3)*(psi^2))</f>
        <v>67811.8780219596</v>
      </c>
      <c r="J9" s="5" t="n">
        <v>0</v>
      </c>
      <c r="K9" s="5" t="n">
        <v>0</v>
      </c>
      <c r="L9" s="5" t="n">
        <v>0</v>
      </c>
      <c r="M9" s="5" t="n">
        <f aca="false">Gamma*Size</f>
        <v>0</v>
      </c>
      <c r="N9" s="5" t="n">
        <f aca="false">Size*Beta*Phi</f>
        <v>648</v>
      </c>
      <c r="O9" s="5" t="n">
        <f aca="false">-(EXP(alpha*a*psi)+EXP(alpha*b*psi)*(-1+Size*psi*alpha))*(Beta*Phi)/((alpha*psi)*(EXP(alpha*a*psi)-EXP(alpha*b*psi)))</f>
        <v>21.5999999999394</v>
      </c>
      <c r="P9" s="5" t="n">
        <f aca="false">(EXP(alpha*(zeta-a*psi))*Beta*Phi*(-EXP(alpha*a*psi)*(-2+(-1)*Size*alpha*psi)+EXP(alpha*b*psi)*(-2+Size*alpha*psi)))/((alpha^3)*(psi^3))</f>
        <v>7856.82448806234</v>
      </c>
      <c r="Q9" s="5" t="n">
        <f aca="false">Tau*Beta</f>
        <v>0</v>
      </c>
      <c r="R9" s="5" t="n">
        <f aca="false">Tau*Beta</f>
        <v>0</v>
      </c>
      <c r="S9" s="6" t="n">
        <f aca="false">Tau</f>
        <v>0</v>
      </c>
      <c r="T9" s="5" t="n">
        <f aca="false">Profit+Utility</f>
        <v>61732.1924061975</v>
      </c>
      <c r="U9" s="5" t="n">
        <f aca="false">(2*ij*BRIJ)+2*jj*BRJJ</f>
        <v>0</v>
      </c>
      <c r="V9" s="5" t="n">
        <f aca="false">2*(ij*BCCIJ)+(2*jj*BCCJJ)+BCS+jj*BCPTJJ+2*(ij*BCPTIJ)+BCPTII+BCk</f>
        <v>8418.02623720875</v>
      </c>
      <c r="W9" s="5" t="n">
        <f aca="false">ij*BUTIJ+BUTII</f>
        <v>70150.2186434063</v>
      </c>
      <c r="X9" s="5" t="n">
        <f aca="false">Revenue-Cost</f>
        <v>-8418.02623720875</v>
      </c>
      <c r="Y9" s="5" t="n">
        <f aca="false">Size</f>
        <v>200</v>
      </c>
      <c r="Z9" s="6" t="n">
        <f aca="false">Welfare/(Size)</f>
        <v>308.660962030988</v>
      </c>
      <c r="AA9" s="6" t="n">
        <f aca="false">Profit/(Size)</f>
        <v>-42.0901311860438</v>
      </c>
      <c r="AB9" s="6" t="n">
        <f aca="false">Utility/(Size)</f>
        <v>350.751093217031</v>
      </c>
    </row>
    <row r="10" customFormat="false" ht="13" hidden="false" customHeight="false" outlineLevel="0" collapsed="false">
      <c r="A10" s="2" t="n">
        <v>0</v>
      </c>
      <c r="B10" s="2" t="n">
        <f aca="false">Tau</f>
        <v>0</v>
      </c>
      <c r="C10" s="2" t="n">
        <v>500</v>
      </c>
      <c r="D10" s="2" t="n">
        <v>0</v>
      </c>
      <c r="E10" s="2" t="n">
        <f aca="false">Size-a</f>
        <v>500</v>
      </c>
      <c r="F10" s="4" t="n">
        <f aca="false">(EXP(alpha*(Tau+OldTau+zeta-2*a*psi))*((EXP(alpha*a*psi)-EXP(alpha*b*psi))^2))/((EXP(alpha*a*psi)-EXP(alpha*(2*OldTau+b*psi)))*(alpha^2)*(psi^2))</f>
        <v>12.9907812302604</v>
      </c>
      <c r="G10" s="4" t="n">
        <f aca="false">(EXP(alpha*(zeta+(2*b-a)*psi))*(-1+EXP(alpha*(-1)*Size*psi))*(EXP(alpha*(2*(Tau+OldTau)+a*psi))-EXP(alpha*(2*(Tau+OldTau)+b*psi))))/(((EXP(alpha*a*psi)-EXP(alpha*(2*OldTau+b*psi)))^2)*(alpha^2)*(psi^2))</f>
        <v>3.47975867661385E-032</v>
      </c>
      <c r="H10" s="5" t="n">
        <f aca="false">-Beta/alpha</f>
        <v>180</v>
      </c>
      <c r="I10" s="5" t="n">
        <f aca="false">(-EXP(alpha*zeta)*Beta*(-1+EXP(alpha*Size*psi)-Size*alpha*psi))/((alpha^3)*(psi^2))</f>
        <v>173037.205987069</v>
      </c>
      <c r="J10" s="5" t="n">
        <v>0</v>
      </c>
      <c r="K10" s="5" t="n">
        <v>0</v>
      </c>
      <c r="L10" s="5" t="n">
        <v>0</v>
      </c>
      <c r="M10" s="5" t="n">
        <f aca="false">Gamma*Size</f>
        <v>0</v>
      </c>
      <c r="N10" s="5" t="n">
        <f aca="false">Size*Beta*Phi</f>
        <v>1620</v>
      </c>
      <c r="O10" s="5" t="n">
        <f aca="false">-(EXP(alpha*a*psi)+EXP(alpha*b*psi)*(-1+Size*psi*alpha))*(Beta*Phi)/((alpha*psi)*(EXP(alpha*a*psi)-EXP(alpha*b*psi)))</f>
        <v>21.6</v>
      </c>
      <c r="P10" s="5" t="n">
        <f aca="false">(EXP(alpha*(zeta-a*psi))*Beta*Phi*(-EXP(alpha*a*psi)*(-2+(-1)*Size*alpha*psi)+EXP(alpha*b*psi)*(-2+Size*alpha*psi)))/((alpha^3)*(psi^3))</f>
        <v>20483.8638438746</v>
      </c>
      <c r="Q10" s="5" t="n">
        <f aca="false">Tau*Beta</f>
        <v>0</v>
      </c>
      <c r="R10" s="5" t="n">
        <f aca="false">Tau*Beta</f>
        <v>0</v>
      </c>
      <c r="S10" s="6" t="n">
        <f aca="false">Tau</f>
        <v>0</v>
      </c>
      <c r="T10" s="5" t="n">
        <f aca="false">Profit+Utility</f>
        <v>154330.481015494</v>
      </c>
      <c r="U10" s="5" t="n">
        <f aca="false">(2*ij*BRIJ)+2*jj*BRJJ</f>
        <v>0</v>
      </c>
      <c r="V10" s="5" t="n">
        <f aca="false">2*(ij*BCCIJ)+(2*jj*BCCJJ)+BCS+jj*BCPTJJ+2*(ij*BCPTIJ)+BCPTII+BCk</f>
        <v>21045.0655930219</v>
      </c>
      <c r="W10" s="5" t="n">
        <f aca="false">ij*BUTIJ+BUTII</f>
        <v>175375.546608516</v>
      </c>
      <c r="X10" s="5" t="n">
        <f aca="false">Revenue-Cost</f>
        <v>-21045.0655930219</v>
      </c>
      <c r="Y10" s="5" t="n">
        <f aca="false">Size</f>
        <v>500</v>
      </c>
      <c r="Z10" s="6" t="n">
        <f aca="false">Welfare/(Size)</f>
        <v>308.660962030988</v>
      </c>
      <c r="AA10" s="6" t="n">
        <f aca="false">Profit/(Size)</f>
        <v>-42.0901311860438</v>
      </c>
      <c r="AB10" s="6" t="n">
        <f aca="false">Utility/(Size)</f>
        <v>350.751093217031</v>
      </c>
    </row>
    <row r="11" customFormat="false" ht="13" hidden="false" customHeight="false" outlineLevel="0" collapsed="false">
      <c r="A11" s="2" t="n">
        <v>0</v>
      </c>
      <c r="B11" s="2" t="n">
        <f aca="false">Tau</f>
        <v>0</v>
      </c>
      <c r="C11" s="2" t="n">
        <v>1000</v>
      </c>
      <c r="D11" s="2" t="n">
        <v>0</v>
      </c>
      <c r="E11" s="2" t="n">
        <f aca="false">Size-a</f>
        <v>1000</v>
      </c>
      <c r="F11" s="4" t="n">
        <f aca="false">(EXP(alpha*(Tau+OldTau+zeta-2*a*psi))*((EXP(alpha*a*psi)-EXP(alpha*b*psi))^2))/((EXP(alpha*a*psi)-EXP(alpha*(2*OldTau+b*psi)))*(alpha^2)*(psi^2))</f>
        <v>12.9907812302604</v>
      </c>
      <c r="G11" s="4" t="n">
        <f aca="false">(EXP(alpha*(zeta+(2*b-a)*psi))*(-1+EXP(alpha*(-1)*Size*psi))*(EXP(alpha*(2*(Tau+OldTau)+a*psi))-EXP(alpha*(2*(Tau+OldTau)+b*psi))))/(((EXP(alpha*a*psi)-EXP(alpha*(2*OldTau+b*psi)))^2)*(alpha^2)*(psi^2))</f>
        <v>9.32101020934996E-065</v>
      </c>
      <c r="H11" s="5" t="n">
        <f aca="false">-Beta/alpha</f>
        <v>180</v>
      </c>
      <c r="I11" s="5" t="n">
        <f aca="false">(-EXP(alpha*zeta)*Beta*(-1+EXP(alpha*Size*psi)-Size*alpha*psi))/((alpha^3)*(psi^2))</f>
        <v>348412.752595584</v>
      </c>
      <c r="J11" s="5" t="n">
        <v>0</v>
      </c>
      <c r="K11" s="5" t="n">
        <v>0</v>
      </c>
      <c r="L11" s="5" t="n">
        <v>0</v>
      </c>
      <c r="M11" s="5" t="n">
        <f aca="false">Gamma*Size</f>
        <v>0</v>
      </c>
      <c r="N11" s="5" t="n">
        <f aca="false">Size*Beta*Phi</f>
        <v>3240</v>
      </c>
      <c r="O11" s="5" t="n">
        <f aca="false">-(EXP(alpha*a*psi)+EXP(alpha*b*psi)*(-1+Size*psi*alpha))*(Beta*Phi)/((alpha*psi)*(EXP(alpha*a*psi)-EXP(alpha*b*psi)))</f>
        <v>21.6</v>
      </c>
      <c r="P11" s="5" t="n">
        <f aca="false">(EXP(alpha*(zeta-a*psi))*Beta*Phi*(-EXP(alpha*a*psi)*(-2+(-1)*Size*alpha*psi)+EXP(alpha*b*psi)*(-2+Size*alpha*psi)))/((alpha^3)*(psi^3))</f>
        <v>41528.9294368965</v>
      </c>
      <c r="Q11" s="5" t="n">
        <f aca="false">Tau*Beta</f>
        <v>0</v>
      </c>
      <c r="R11" s="5" t="n">
        <f aca="false">Tau*Beta</f>
        <v>0</v>
      </c>
      <c r="S11" s="6" t="n">
        <f aca="false">Tau</f>
        <v>0</v>
      </c>
      <c r="T11" s="5" t="n">
        <f aca="false">Profit+Utility</f>
        <v>308660.962030988</v>
      </c>
      <c r="U11" s="5" t="n">
        <f aca="false">(2*ij*BRIJ)+2*jj*BRJJ</f>
        <v>0</v>
      </c>
      <c r="V11" s="5" t="n">
        <f aca="false">2*(ij*BCCIJ)+(2*jj*BCCJJ)+BCS+jj*BCPTJJ+2*(ij*BCPTIJ)+BCPTII+BCk</f>
        <v>42090.1311860438</v>
      </c>
      <c r="W11" s="5" t="n">
        <f aca="false">ij*BUTIJ+BUTII</f>
        <v>350751.093217031</v>
      </c>
      <c r="X11" s="5" t="n">
        <f aca="false">Revenue-Cost</f>
        <v>-42090.1311860438</v>
      </c>
      <c r="Y11" s="5" t="n">
        <f aca="false">Size</f>
        <v>1000</v>
      </c>
      <c r="Z11" s="6" t="n">
        <f aca="false">Welfare/(Size)</f>
        <v>308.660962030988</v>
      </c>
      <c r="AA11" s="6" t="n">
        <f aca="false">Profit/(Size)</f>
        <v>-42.0901311860438</v>
      </c>
      <c r="AB11" s="6" t="n">
        <f aca="false">Utility/(Size)</f>
        <v>350.751093217031</v>
      </c>
    </row>
    <row r="12" customFormat="false" ht="13" hidden="false" customHeight="false" outlineLevel="0" collapsed="false">
      <c r="F12" s="2"/>
    </row>
    <row r="13" customFormat="false" ht="13" hidden="false" customHeight="false" outlineLevel="0" collapsed="false">
      <c r="F13" s="2"/>
    </row>
    <row r="14" customFormat="false" ht="13" hidden="false" customHeight="false" outlineLevel="0" collapsed="false">
      <c r="F14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4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V20" activeCellId="0" sqref="V20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6.28"/>
    <col collapsed="false" customWidth="true" hidden="false" outlineLevel="0" max="2" min="2" style="2" width="6.42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4.71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19" min="10" style="2" width="8.28"/>
    <col collapsed="false" customWidth="true" hidden="false" outlineLevel="0" max="20" min="20" style="2" width="9.99"/>
    <col collapsed="false" customWidth="false" hidden="false" outlineLevel="0" max="21" min="21" style="2" width="8.28"/>
    <col collapsed="false" customWidth="true" hidden="false" outlineLevel="0" max="22" min="22" style="2" width="8.99"/>
    <col collapsed="false" customWidth="true" hidden="false" outlineLevel="0" max="23" min="23" style="2" width="9.13"/>
    <col collapsed="false" customWidth="false" hidden="false" outlineLevel="0" max="257" min="24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41</v>
      </c>
      <c r="AA1" s="2" t="s">
        <v>39</v>
      </c>
      <c r="AB1" s="2" t="s">
        <v>40</v>
      </c>
      <c r="AC1" s="2" t="s">
        <v>42</v>
      </c>
    </row>
    <row r="2" customFormat="false" ht="13" hidden="false" customHeight="false" outlineLevel="0" collapsed="false">
      <c r="A2" s="2" t="n">
        <v>0.588971896538099</v>
      </c>
      <c r="B2" s="2" t="n">
        <v>0</v>
      </c>
      <c r="C2" s="2" t="n">
        <v>1</v>
      </c>
      <c r="D2" s="2" t="n">
        <v>0</v>
      </c>
      <c r="E2" s="2" t="n">
        <f aca="false">Size-a</f>
        <v>1</v>
      </c>
      <c r="F2" s="4" t="n">
        <f aca="false">(EXP(alpha*(Tau+OldTau+zeta-2*a*psi))*((EXP(alpha*a*psi)-EXP(alpha*b*psi))^2))/((EXP(alpha*a*psi)-EXP(alpha*(2*OldTau+b*psi)))*(alpha^2)*(psi^2))</f>
        <v>1.00409376930374</v>
      </c>
      <c r="G2" s="4" t="n">
        <f aca="false">(EXP(alpha*(zeta+(2*b-a)*psi))*(-1+EXP(alpha*(-1)*Size*psi))*(EXP(alpha*(2*(Tau+OldTau)+a*psi))-EXP(alpha*(2*(Tau+OldTau)+b*psi))))/(((EXP(alpha*a*psi)-EXP(alpha*(2*OldTau+b*psi)))^2)*(alpha^2)*(psi^2))</f>
        <v>3.44283815642776</v>
      </c>
      <c r="H2" s="5" t="n">
        <f aca="false">-Beta/alpha</f>
        <v>180</v>
      </c>
      <c r="I2" s="5" t="n">
        <f aca="false">(-EXP(alpha*zeta)*Beta*(-1+EXP(alpha*Size*psi)-Size*alpha*psi))/((alpha^3)*(psi^2))</f>
        <v>25.0388962482082</v>
      </c>
      <c r="J2" s="5" t="n">
        <f aca="false">Beta*Theta</f>
        <v>14.4</v>
      </c>
      <c r="K2" s="5" t="n">
        <f aca="false">Beta*Theta</f>
        <v>14.4</v>
      </c>
      <c r="L2" s="5" t="n">
        <f aca="false">kappa</f>
        <v>90</v>
      </c>
      <c r="M2" s="5" t="n">
        <f aca="false">Gamma*Size</f>
        <v>0</v>
      </c>
      <c r="N2" s="5" t="n">
        <f aca="false">Size*Beta*Phi</f>
        <v>3.24</v>
      </c>
      <c r="O2" s="5" t="n">
        <f aca="false">-(EXP(alpha*a*psi)+EXP(alpha*b*psi)*(-1+Size*psi*alpha))*(Beta*Phi)/((alpha*psi)*(EXP(alpha*a*psi)-EXP(alpha*b*psi)))</f>
        <v>1.57951517936842</v>
      </c>
      <c r="P2" s="5" t="n">
        <f aca="false">(EXP(alpha*(zeta-a*psi))*Beta*Phi*(-EXP(alpha*a*psi)*(-2+(-1)*Size*alpha*psi)+EXP(alpha*b*psi)*(-2+Size*alpha*psi)))/((alpha^3)*(psi^3))</f>
        <v>0.146515554131081</v>
      </c>
      <c r="Q2" s="5" t="n">
        <f aca="false">Tau*Beta</f>
        <v>106.014941376858</v>
      </c>
      <c r="R2" s="5" t="n">
        <f aca="false">Tau*Beta</f>
        <v>106.014941376858</v>
      </c>
      <c r="S2" s="6" t="n">
        <f aca="false">Tau</f>
        <v>0.588971896538099</v>
      </c>
      <c r="T2" s="5" t="n">
        <f aca="false">Profit+Utility</f>
        <v>916.113316207213</v>
      </c>
      <c r="U2" s="5" t="n">
        <f aca="false">(2*ij*BRIJ)+2*jj*BRJJ</f>
        <v>942.882454826605</v>
      </c>
      <c r="V2" s="5" t="n">
        <f aca="false">2*(ij*BCCIJ)+(2*jj*BCCJJ)+BCS+jj*BCPTJJ+2*(ij*BCPTIJ)+BCPTII+BCk</f>
        <v>232.544913342273</v>
      </c>
      <c r="W2" s="5" t="n">
        <f aca="false">ij*BUTIJ+BUTII</f>
        <v>205.775774722881</v>
      </c>
      <c r="X2" s="5" t="n">
        <f aca="false">Revenue-Cost</f>
        <v>710.337541484332</v>
      </c>
      <c r="Y2" s="5" t="n">
        <f aca="false">Size</f>
        <v>1</v>
      </c>
      <c r="Z2" s="6" t="n">
        <f aca="false">Welfare/(Size)</f>
        <v>916.113316207213</v>
      </c>
      <c r="AA2" s="6" t="n">
        <f aca="false">Profit/(Size)</f>
        <v>710.337541484332</v>
      </c>
      <c r="AB2" s="6" t="n">
        <f aca="false">Utility/(Size)</f>
        <v>205.775774722881</v>
      </c>
      <c r="AC2" s="2" t="n">
        <v>308.660962030988</v>
      </c>
    </row>
    <row r="3" customFormat="false" ht="13" hidden="false" customHeight="false" outlineLevel="0" collapsed="false">
      <c r="A3" s="2" t="n">
        <v>0.597783901352811</v>
      </c>
      <c r="B3" s="2" t="n">
        <v>0</v>
      </c>
      <c r="C3" s="2" t="n">
        <v>2</v>
      </c>
      <c r="D3" s="2" t="n">
        <v>0</v>
      </c>
      <c r="E3" s="2" t="n">
        <f aca="false">Size-a</f>
        <v>2</v>
      </c>
      <c r="F3" s="4" t="n">
        <f aca="false">(EXP(alpha*(Tau+OldTau+zeta-2*a*psi))*((EXP(alpha*a*psi)-EXP(alpha*b*psi))^2))/((EXP(alpha*a*psi)-EXP(alpha*(2*OldTau+b*psi)))*(alpha^2)*(psi^2))</f>
        <v>1.85193392067086</v>
      </c>
      <c r="G3" s="4" t="n">
        <f aca="false">(EXP(alpha*(zeta+(2*b-a)*psi))*(-1+EXP(alpha*(-1)*Size*psi))*(EXP(alpha*(2*(Tau+OldTau)+a*psi))-EXP(alpha*(2*(Tau+OldTau)+b*psi))))/(((EXP(alpha*a*psi)-EXP(alpha*(2*OldTau+b*psi)))^2)*(alpha^2)*(psi^2))</f>
        <v>2.91151093203659</v>
      </c>
      <c r="H3" s="5" t="n">
        <f aca="false">-Beta/alpha</f>
        <v>180</v>
      </c>
      <c r="I3" s="5" t="n">
        <f aca="false">(-EXP(alpha*zeta)*Beta*(-1+EXP(alpha*Size*psi)-Size*alpha*psi))/((alpha^3)*(psi^2))</f>
        <v>95.4469035152439</v>
      </c>
      <c r="J3" s="5" t="n">
        <f aca="false">Beta*Theta</f>
        <v>14.4</v>
      </c>
      <c r="K3" s="5" t="n">
        <f aca="false">Beta*Theta</f>
        <v>14.4</v>
      </c>
      <c r="L3" s="5" t="n">
        <f aca="false">kappa</f>
        <v>90</v>
      </c>
      <c r="M3" s="5" t="n">
        <f aca="false">Gamma*Size</f>
        <v>0</v>
      </c>
      <c r="N3" s="5" t="n">
        <f aca="false">Size*Beta*Phi</f>
        <v>6.48</v>
      </c>
      <c r="O3" s="5" t="n">
        <f aca="false">-(EXP(alpha*a*psi)+EXP(alpha*b*psi)*(-1+Size*psi*alpha))*(Beta*Phi)/((alpha*psi)*(EXP(alpha*a*psi)-EXP(alpha*b*psi)))</f>
        <v>3.07824248045466</v>
      </c>
      <c r="P3" s="5" t="n">
        <f aca="false">(EXP(alpha*(zeta-a*psi))*Beta*Phi*(-EXP(alpha*a*psi)*(-2+(-1)*Size*alpha*psi)+EXP(alpha*b*psi)*(-2+Size*alpha*psi)))/((alpha^3)*(psi^3))</f>
        <v>1.08926665858103</v>
      </c>
      <c r="Q3" s="5" t="n">
        <f aca="false">Tau*Beta</f>
        <v>107.601102243506</v>
      </c>
      <c r="R3" s="5" t="n">
        <f aca="false">Tau*Beta</f>
        <v>107.601102243506</v>
      </c>
      <c r="S3" s="6" t="n">
        <f aca="false">Tau</f>
        <v>0.597783901352811</v>
      </c>
      <c r="T3" s="5" t="n">
        <f aca="false">Profit+Utility</f>
        <v>1195.35436990359</v>
      </c>
      <c r="U3" s="5" t="n">
        <f aca="false">(2*ij*BRIJ)+2*jj*BRJJ</f>
        <v>1025.10383325495</v>
      </c>
      <c r="V3" s="5" t="n">
        <f aca="false">2*(ij*BCCIJ)+(2*jj*BCCJJ)+BCS+jj*BCPTJJ+2*(ij*BCPTIJ)+BCPTII+BCk</f>
        <v>258.544472587361</v>
      </c>
      <c r="W3" s="5" t="n">
        <f aca="false">ij*BUTIJ+BUTII</f>
        <v>428.795009235998</v>
      </c>
      <c r="X3" s="5" t="n">
        <f aca="false">Revenue-Cost</f>
        <v>766.559360667593</v>
      </c>
      <c r="Y3" s="5" t="n">
        <f aca="false">Size</f>
        <v>2</v>
      </c>
      <c r="Z3" s="6" t="n">
        <f aca="false">Welfare/(Size)</f>
        <v>597.677184951796</v>
      </c>
      <c r="AA3" s="6" t="n">
        <f aca="false">Profit/(Size)</f>
        <v>383.279680333796</v>
      </c>
      <c r="AB3" s="6" t="n">
        <f aca="false">Utility/(Size)</f>
        <v>214.397504617999</v>
      </c>
      <c r="AC3" s="2" t="n">
        <v>308.660962030988</v>
      </c>
    </row>
    <row r="4" customFormat="false" ht="13" hidden="false" customHeight="false" outlineLevel="0" collapsed="false">
      <c r="A4" s="2" t="n">
        <v>0.622158718461377</v>
      </c>
      <c r="B4" s="2" t="n">
        <v>0</v>
      </c>
      <c r="C4" s="2" t="n">
        <v>5</v>
      </c>
      <c r="D4" s="2" t="n">
        <v>0</v>
      </c>
      <c r="E4" s="2" t="n">
        <f aca="false">Size-a</f>
        <v>5</v>
      </c>
      <c r="F4" s="4" t="n">
        <f aca="false">(EXP(alpha*(Tau+OldTau+zeta-2*a*psi))*((EXP(alpha*a*psi)-EXP(alpha*b*psi))^2))/((EXP(alpha*a*psi)-EXP(alpha*(2*OldTau+b*psi)))*(alpha^2)*(psi^2))</f>
        <v>3.67931938839514</v>
      </c>
      <c r="G4" s="4" t="n">
        <f aca="false">(EXP(alpha*(zeta+(2*b-a)*psi))*(-1+EXP(alpha*(-1)*Size*psi))*(EXP(alpha*(2*(Tau+OldTau)+a*psi))-EXP(alpha*(2*(Tau+OldTau)+b*psi))))/(((EXP(alpha*a*psi)-EXP(alpha*(2*OldTau+b*psi)))^2)*(alpha^2)*(psi^2))</f>
        <v>1.76813007412876</v>
      </c>
      <c r="H4" s="5" t="n">
        <f aca="false">-Beta/alpha</f>
        <v>180</v>
      </c>
      <c r="I4" s="5" t="n">
        <f aca="false">(-EXP(alpha*zeta)*Beta*(-1+EXP(alpha*Size*psi)-Size*alpha*psi))/((alpha^3)*(psi^2))</f>
        <v>519.968743125424</v>
      </c>
      <c r="J4" s="5" t="n">
        <f aca="false">Beta*Theta</f>
        <v>14.4</v>
      </c>
      <c r="K4" s="5" t="n">
        <f aca="false">Beta*Theta</f>
        <v>14.4</v>
      </c>
      <c r="L4" s="5" t="n">
        <f aca="false">kappa</f>
        <v>90</v>
      </c>
      <c r="M4" s="5" t="n">
        <f aca="false">Gamma*Size</f>
        <v>0</v>
      </c>
      <c r="N4" s="5" t="n">
        <f aca="false">Size*Beta*Phi</f>
        <v>16.2</v>
      </c>
      <c r="O4" s="5" t="n">
        <f aca="false">-(EXP(alpha*a*psi)+EXP(alpha*b*psi)*(-1+Size*psi*alpha))*(Beta*Phi)/((alpha*psi)*(EXP(alpha*a*psi)-EXP(alpha*b*psi)))</f>
        <v>7.09686682268204</v>
      </c>
      <c r="P4" s="5" t="n">
        <f aca="false">(EXP(alpha*(zeta-a*psi))*Beta*Phi*(-EXP(alpha*a*psi)*(-2+(-1)*Size*alpha*psi)+EXP(alpha*b*psi)*(-2+Size*alpha*psi)))/((alpha^3)*(psi^3))</f>
        <v>13.7516932837258</v>
      </c>
      <c r="Q4" s="5" t="n">
        <f aca="false">Tau*Beta</f>
        <v>111.988569323048</v>
      </c>
      <c r="R4" s="5" t="n">
        <f aca="false">Tau*Beta</f>
        <v>111.988569323048</v>
      </c>
      <c r="S4" s="6" t="n">
        <f aca="false">Tau</f>
        <v>0.622158718461377</v>
      </c>
      <c r="T4" s="5" t="n">
        <f aca="false">Profit+Utility</f>
        <v>2060.84515217146</v>
      </c>
      <c r="U4" s="5" t="n">
        <f aca="false">(2*ij*BRIJ)+2*jj*BRJJ</f>
        <v>1220.10414353532</v>
      </c>
      <c r="V4" s="5" t="n">
        <f aca="false">2*(ij*BCCIJ)+(2*jj*BCCJJ)+BCS+jj*BCPTJJ+2*(ij*BCPTIJ)+BCPTII+BCk</f>
        <v>341.505224400404</v>
      </c>
      <c r="W4" s="5" t="n">
        <f aca="false">ij*BUTIJ+BUTII</f>
        <v>1182.24623303655</v>
      </c>
      <c r="X4" s="5" t="n">
        <f aca="false">Revenue-Cost</f>
        <v>878.598919134911</v>
      </c>
      <c r="Y4" s="5" t="n">
        <f aca="false">Size</f>
        <v>5</v>
      </c>
      <c r="Z4" s="6" t="n">
        <f aca="false">Welfare/(Size)</f>
        <v>412.169030434292</v>
      </c>
      <c r="AA4" s="6" t="n">
        <f aca="false">Profit/(Size)</f>
        <v>175.719783826982</v>
      </c>
      <c r="AB4" s="6" t="n">
        <f aca="false">Utility/(Size)</f>
        <v>236.44924660731</v>
      </c>
      <c r="AC4" s="2" t="n">
        <v>308.660962030988</v>
      </c>
    </row>
    <row r="5" customFormat="false" ht="13" hidden="false" customHeight="false" outlineLevel="0" collapsed="false">
      <c r="A5" s="2" t="n">
        <v>0.653294561414047</v>
      </c>
      <c r="B5" s="2" t="n">
        <v>0</v>
      </c>
      <c r="C5" s="2" t="n">
        <v>10</v>
      </c>
      <c r="D5" s="2" t="n">
        <v>0</v>
      </c>
      <c r="E5" s="2" t="n">
        <f aca="false">Size-a</f>
        <v>10</v>
      </c>
      <c r="F5" s="4" t="n">
        <f aca="false">(EXP(alpha*(Tau+OldTau+zeta-2*a*psi))*((EXP(alpha*a*psi)-EXP(alpha*b*psi))^2))/((EXP(alpha*a*psi)-EXP(alpha*(2*OldTau+b*psi)))*(alpha^2)*(psi^2))</f>
        <v>5.25123322717094</v>
      </c>
      <c r="G5" s="4" t="n">
        <f aca="false">(EXP(alpha*(zeta+(2*b-a)*psi))*(-1+EXP(alpha*(-1)*Size*psi))*(EXP(alpha*(2*(Tau+OldTau)+a*psi))-EXP(alpha*(2*(Tau+OldTau)+b*psi))))/(((EXP(alpha*a*psi)-EXP(alpha*(2*OldTau+b*psi)))^2)*(alpha^2)*(psi^2))</f>
        <v>0.784782120634734</v>
      </c>
      <c r="H5" s="5" t="n">
        <f aca="false">-Beta/alpha</f>
        <v>180</v>
      </c>
      <c r="I5" s="5" t="n">
        <f aca="false">(-EXP(alpha*zeta)*Beta*(-1+EXP(alpha*Size*psi)-Size*alpha*psi))/((alpha^3)*(psi^2))</f>
        <v>1690.92462806846</v>
      </c>
      <c r="J5" s="5" t="n">
        <f aca="false">Beta*Theta</f>
        <v>14.4</v>
      </c>
      <c r="K5" s="5" t="n">
        <f aca="false">Beta*Theta</f>
        <v>14.4</v>
      </c>
      <c r="L5" s="5" t="n">
        <f aca="false">kappa</f>
        <v>90</v>
      </c>
      <c r="M5" s="5" t="n">
        <f aca="false">Gamma*Size</f>
        <v>0</v>
      </c>
      <c r="N5" s="5" t="n">
        <f aca="false">Size*Beta*Phi</f>
        <v>32.4</v>
      </c>
      <c r="O5" s="5" t="n">
        <f aca="false">-(EXP(alpha*a*psi)+EXP(alpha*b*psi)*(-1+Size*psi*alpha))*(Beta*Phi)/((alpha*psi)*(EXP(alpha*a*psi)-EXP(alpha*b*psi)))</f>
        <v>12.2941718960407</v>
      </c>
      <c r="P5" s="5" t="n">
        <f aca="false">(EXP(alpha*(zeta-a*psi))*Beta*Phi*(-EXP(alpha*a*psi)*(-2+(-1)*Size*alpha*psi)+EXP(alpha*b*psi)*(-2+Size*alpha*psi)))/((alpha^3)*(psi^3))</f>
        <v>78.836375998096</v>
      </c>
      <c r="Q5" s="5" t="n">
        <f aca="false">Tau*Beta</f>
        <v>117.593021054528</v>
      </c>
      <c r="R5" s="5" t="n">
        <f aca="false">Tau*Beta</f>
        <v>117.593021054528</v>
      </c>
      <c r="S5" s="6" t="n">
        <f aca="false">Tau</f>
        <v>0.653294561414047</v>
      </c>
      <c r="T5" s="5" t="n">
        <f aca="false">Profit+Utility</f>
        <v>3558.51348207362</v>
      </c>
      <c r="U5" s="5" t="n">
        <f aca="false">(2*ij*BRIJ)+2*jj*BRJJ</f>
        <v>1419.58655975994</v>
      </c>
      <c r="V5" s="5" t="n">
        <f aca="false">2*(ij*BCCIJ)+(2*jj*BCCJJ)+BCS+jj*BCPTJJ+2*(ij*BCPTIJ)+BCPTII+BCk</f>
        <v>497.219686645544</v>
      </c>
      <c r="W5" s="5" t="n">
        <f aca="false">ij*BUTIJ+BUTII</f>
        <v>2636.14660895923</v>
      </c>
      <c r="X5" s="5" t="n">
        <f aca="false">Revenue-Cost</f>
        <v>922.366873114394</v>
      </c>
      <c r="Y5" s="5" t="n">
        <f aca="false">Size</f>
        <v>10</v>
      </c>
      <c r="Z5" s="6" t="n">
        <f aca="false">Welfare/(Size)</f>
        <v>355.851348207362</v>
      </c>
      <c r="AA5" s="6" t="n">
        <f aca="false">Profit/(Size)</f>
        <v>92.2366873114394</v>
      </c>
      <c r="AB5" s="6" t="n">
        <f aca="false">Utility/(Size)</f>
        <v>263.614660895923</v>
      </c>
      <c r="AC5" s="2" t="n">
        <v>308.660962030988</v>
      </c>
    </row>
    <row r="6" customFormat="false" ht="13" hidden="false" customHeight="false" outlineLevel="0" collapsed="false">
      <c r="A6" s="2" t="n">
        <v>0.685094261261858</v>
      </c>
      <c r="B6" s="2" t="n">
        <v>0</v>
      </c>
      <c r="C6" s="2" t="n">
        <v>20</v>
      </c>
      <c r="D6" s="2" t="n">
        <v>0</v>
      </c>
      <c r="E6" s="2" t="n">
        <f aca="false">Size-a</f>
        <v>20</v>
      </c>
      <c r="F6" s="4" t="n">
        <f aca="false">(EXP(alpha*(Tau+OldTau+zeta-2*a*psi))*((EXP(alpha*a*psi)-EXP(alpha*b*psi))^2))/((EXP(alpha*a*psi)-EXP(alpha*(2*OldTau+b*psi)))*(alpha^2)*(psi^2))</f>
        <v>6.22190747389689</v>
      </c>
      <c r="G6" s="4" t="n">
        <f aca="false">(EXP(alpha*(zeta+(2*b-a)*psi))*(-1+EXP(alpha*(-1)*Size*psi))*(EXP(alpha*(2*(Tau+OldTau)+a*psi))-EXP(alpha*(2*(Tau+OldTau)+b*psi))))/(((EXP(alpha*a*psi)-EXP(alpha*(2*OldTau+b*psi)))^2)*(alpha^2)*(psi^2))</f>
        <v>0.16431851784849</v>
      </c>
      <c r="H6" s="5" t="n">
        <f aca="false">-Beta/alpha</f>
        <v>180</v>
      </c>
      <c r="I6" s="5" t="n">
        <f aca="false">(-EXP(alpha*zeta)*Beta*(-1+EXP(alpha*Size*psi)-Size*alpha*psi))/((alpha^3)*(psi^2))</f>
        <v>4793.10036728108</v>
      </c>
      <c r="J6" s="5" t="n">
        <f aca="false">Beta*Theta</f>
        <v>14.4</v>
      </c>
      <c r="K6" s="5" t="n">
        <f aca="false">Beta*Theta</f>
        <v>14.4</v>
      </c>
      <c r="L6" s="5" t="n">
        <f aca="false">kappa</f>
        <v>90</v>
      </c>
      <c r="M6" s="5" t="n">
        <f aca="false">Gamma*Size</f>
        <v>0</v>
      </c>
      <c r="N6" s="5" t="n">
        <f aca="false">Size*Beta*Phi</f>
        <v>64.8</v>
      </c>
      <c r="O6" s="5" t="n">
        <f aca="false">-(EXP(alpha*a*psi)+EXP(alpha*b*psi)*(-1+Size*psi*alpha))*(Beta*Phi)/((alpha*psi)*(EXP(alpha*a*psi)-EXP(alpha*b*psi)))</f>
        <v>18.2047588673666</v>
      </c>
      <c r="P6" s="5" t="n">
        <f aca="false">(EXP(alpha*(zeta-a*psi))*Beta*Phi*(-EXP(alpha*a*psi)*(-2+(-1)*Size*alpha*psi)+EXP(alpha*b*psi)*(-2+Size*alpha*psi)))/((alpha^3)*(psi^3))</f>
        <v>350.452349206022</v>
      </c>
      <c r="Q6" s="5" t="n">
        <f aca="false">Tau*Beta</f>
        <v>123.316967027134</v>
      </c>
      <c r="R6" s="5" t="n">
        <f aca="false">Tau*Beta</f>
        <v>123.316967027134</v>
      </c>
      <c r="S6" s="6" t="n">
        <f aca="false">Tau</f>
        <v>0.685094261261858</v>
      </c>
      <c r="T6" s="5" t="n">
        <f aca="false">Profit+Utility</f>
        <v>6626.54360444672</v>
      </c>
      <c r="U6" s="5" t="n">
        <f aca="false">(2*ij*BRIJ)+2*jj*BRJJ</f>
        <v>1575.06004010379</v>
      </c>
      <c r="V6" s="5" t="n">
        <f aca="false">2*(ij*BCCIJ)+(2*jj*BCCJJ)+BCS+jj*BCPTJJ+2*(ij*BCPTIJ)+BCPTII+BCk</f>
        <v>861.56014823959</v>
      </c>
      <c r="W6" s="5" t="n">
        <f aca="false">ij*BUTIJ+BUTII</f>
        <v>5913.04371258252</v>
      </c>
      <c r="X6" s="5" t="n">
        <f aca="false">Revenue-Cost</f>
        <v>713.499891864199</v>
      </c>
      <c r="Y6" s="5" t="n">
        <f aca="false">Size</f>
        <v>20</v>
      </c>
      <c r="Z6" s="6" t="n">
        <f aca="false">Welfare/(Size)</f>
        <v>331.327180222336</v>
      </c>
      <c r="AA6" s="6" t="n">
        <f aca="false">Profit/(Size)</f>
        <v>35.6749945932099</v>
      </c>
      <c r="AB6" s="6" t="n">
        <f aca="false">Utility/(Size)</f>
        <v>295.652185629126</v>
      </c>
      <c r="AC6" s="2" t="n">
        <v>308.660962030988</v>
      </c>
    </row>
    <row r="7" customFormat="false" ht="13" hidden="false" customHeight="false" outlineLevel="0" collapsed="false">
      <c r="A7" s="2" t="n">
        <v>0.699683740780015</v>
      </c>
      <c r="B7" s="2" t="n">
        <v>0</v>
      </c>
      <c r="C7" s="2" t="n">
        <v>50</v>
      </c>
      <c r="D7" s="2" t="n">
        <v>0</v>
      </c>
      <c r="E7" s="2" t="n">
        <f aca="false">Size-a</f>
        <v>50</v>
      </c>
      <c r="F7" s="4" t="n">
        <f aca="false">(EXP(alpha*(Tau+OldTau+zeta-2*a*psi))*((EXP(alpha*a*psi)-EXP(alpha*b*psi))^2))/((EXP(alpha*a*psi)-EXP(alpha*(2*OldTau+b*psi)))*(alpha^2)*(psi^2))</f>
        <v>6.44950247139061</v>
      </c>
      <c r="G7" s="4" t="n">
        <f aca="false">(EXP(alpha*(zeta+(2*b-a)*psi))*(-1+EXP(alpha*(-1)*Size*psi))*(EXP(alpha*(2*(Tau+OldTau)+a*psi))-EXP(alpha*(2*(Tau+OldTau)+b*psi))))/(((EXP(alpha*a*psi)-EXP(alpha*(2*OldTau+b*psi)))^2)*(alpha^2)*(psi^2))</f>
        <v>0.00177291975601642</v>
      </c>
      <c r="H7" s="5" t="n">
        <f aca="false">-Beta/alpha</f>
        <v>180</v>
      </c>
      <c r="I7" s="5" t="n">
        <f aca="false">(-EXP(alpha*zeta)*Beta*(-1+EXP(alpha*Size*psi)-Size*alpha*psi))/((alpha^3)*(psi^2))</f>
        <v>15200.5073390545</v>
      </c>
      <c r="J7" s="5" t="n">
        <f aca="false">Beta*Theta</f>
        <v>14.4</v>
      </c>
      <c r="K7" s="5" t="n">
        <f aca="false">Beta*Theta</f>
        <v>14.4</v>
      </c>
      <c r="L7" s="5" t="n">
        <f aca="false">kappa</f>
        <v>90</v>
      </c>
      <c r="M7" s="5" t="n">
        <f aca="false">Gamma*Size</f>
        <v>0</v>
      </c>
      <c r="N7" s="5" t="n">
        <f aca="false">Size*Beta*Phi</f>
        <v>162</v>
      </c>
      <c r="O7" s="5" t="n">
        <f aca="false">-(EXP(alpha*a*psi)+EXP(alpha*b*psi)*(-1+Size*psi*alpha))*(Beta*Phi)/((alpha*psi)*(EXP(alpha*a*psi)-EXP(alpha*b*psi)))</f>
        <v>21.5103507484362</v>
      </c>
      <c r="P7" s="5" t="n">
        <f aca="false">(EXP(alpha*(zeta-a*psi))*Beta*Phi*(-EXP(alpha*a*psi)*(-2+(-1)*Size*alpha*psi)+EXP(alpha*b*psi)*(-2+Size*alpha*psi)))/((alpha^3)*(psi^3))</f>
        <v>1544.77917175571</v>
      </c>
      <c r="Q7" s="5" t="n">
        <f aca="false">Tau*Beta</f>
        <v>125.943073340403</v>
      </c>
      <c r="R7" s="5" t="n">
        <f aca="false">Tau*Beta</f>
        <v>125.943073340403</v>
      </c>
      <c r="S7" s="6" t="n">
        <f aca="false">Tau</f>
        <v>0.699683740780015</v>
      </c>
      <c r="T7" s="5" t="n">
        <f aca="false">Profit+Utility</f>
        <v>15888.0794467112</v>
      </c>
      <c r="U7" s="5" t="n">
        <f aca="false">(2*ij*BRIJ)+2*jj*BRJJ</f>
        <v>1624.98689945263</v>
      </c>
      <c r="V7" s="5" t="n">
        <f aca="false">2*(ij*BCCIJ)+(2*jj*BCCJJ)+BCS+jj*BCPTJJ+2*(ij*BCPTIJ)+BCPTII+BCk</f>
        <v>2098.32523664625</v>
      </c>
      <c r="W7" s="5" t="n">
        <f aca="false">ij*BUTIJ+BUTII</f>
        <v>16361.4177839048</v>
      </c>
      <c r="X7" s="5" t="n">
        <f aca="false">Revenue-Cost</f>
        <v>-473.33833719362</v>
      </c>
      <c r="Y7" s="5" t="n">
        <f aca="false">Size</f>
        <v>50</v>
      </c>
      <c r="Z7" s="6" t="n">
        <f aca="false">Welfare/(Size)</f>
        <v>317.761588934224</v>
      </c>
      <c r="AA7" s="6" t="n">
        <f aca="false">Profit/(Size)</f>
        <v>-9.46676674387239</v>
      </c>
      <c r="AB7" s="6" t="n">
        <f aca="false">Utility/(Size)</f>
        <v>327.228355678096</v>
      </c>
      <c r="AC7" s="2" t="n">
        <v>308.660962030988</v>
      </c>
    </row>
    <row r="8" customFormat="false" ht="13" hidden="false" customHeight="false" outlineLevel="0" collapsed="false">
      <c r="A8" s="2" t="n">
        <v>0.700000223551214</v>
      </c>
      <c r="B8" s="2" t="n">
        <v>0</v>
      </c>
      <c r="C8" s="2" t="n">
        <v>100</v>
      </c>
      <c r="D8" s="2" t="n">
        <v>0</v>
      </c>
      <c r="E8" s="2" t="n">
        <f aca="false">Size-a</f>
        <v>100</v>
      </c>
      <c r="F8" s="4" t="n">
        <f aca="false">(EXP(alpha*(Tau+OldTau+zeta-2*a*psi))*((EXP(alpha*a*psi)-EXP(alpha*b*psi))^2))/((EXP(alpha*a*psi)-EXP(alpha*(2*OldTau+b*psi)))*(alpha^2)*(psi^2))</f>
        <v>6.45102762819603</v>
      </c>
      <c r="G8" s="4" t="n">
        <f aca="false">(EXP(alpha*(zeta+(2*b-a)*psi))*(-1+EXP(alpha*(-1)*Size*psi))*(EXP(alpha*(2*(Tau+OldTau)+a*psi))-EXP(alpha*(2*(Tau+OldTau)+b*psi))))/(((EXP(alpha*a*psi)-EXP(alpha*(2*OldTau+b*psi)))^2)*(alpha^2)*(psi^2))</f>
        <v>9.79953733284288E-007</v>
      </c>
      <c r="H8" s="5" t="n">
        <f aca="false">-Beta/alpha</f>
        <v>180</v>
      </c>
      <c r="I8" s="5" t="n">
        <f aca="false">(-EXP(alpha*zeta)*Beta*(-1+EXP(alpha*Size*psi)-Size*alpha*psi))/((alpha^3)*(psi^2))</f>
        <v>32736.7694155601</v>
      </c>
      <c r="J8" s="5" t="n">
        <f aca="false">Beta*Theta</f>
        <v>14.4</v>
      </c>
      <c r="K8" s="5" t="n">
        <f aca="false">Beta*Theta</f>
        <v>14.4</v>
      </c>
      <c r="L8" s="5" t="n">
        <f aca="false">kappa</f>
        <v>90</v>
      </c>
      <c r="M8" s="5" t="n">
        <f aca="false">Gamma*Size</f>
        <v>0</v>
      </c>
      <c r="N8" s="5" t="n">
        <f aca="false">Size*Beta*Phi</f>
        <v>324</v>
      </c>
      <c r="O8" s="5" t="n">
        <f aca="false">-(EXP(alpha*a*psi)+EXP(alpha*b*psi)*(-1+Size*psi*alpha))*(Beta*Phi)/((alpha*psi)*(EXP(alpha*a*psi)-EXP(alpha*b*psi)))</f>
        <v>21.5999008876178</v>
      </c>
      <c r="P8" s="5" t="n">
        <f aca="false">(EXP(alpha*(zeta-a*psi))*Beta*Phi*(-EXP(alpha*a*psi)*(-2+(-1)*Size*alpha*psi)+EXP(alpha*b*psi)*(-2+Size*alpha*psi)))/((alpha^3)*(psi^3))</f>
        <v>3647.81282867692</v>
      </c>
      <c r="Q8" s="5" t="n">
        <f aca="false">Tau*Beta</f>
        <v>126.000040239218</v>
      </c>
      <c r="R8" s="5" t="n">
        <f aca="false">Tau*Beta</f>
        <v>126.000040239218</v>
      </c>
      <c r="S8" s="6" t="n">
        <f aca="false">Tau</f>
        <v>0.700000223551214</v>
      </c>
      <c r="T8" s="5" t="n">
        <f aca="false">Profit+Utility</f>
        <v>31321.3282321765</v>
      </c>
      <c r="U8" s="5" t="n">
        <f aca="false">(2*ij*BRIJ)+2*jj*BRJJ</f>
        <v>1625.65972842244</v>
      </c>
      <c r="V8" s="5" t="n">
        <f aca="false">2*(ij*BCCIJ)+(2*jj*BCCJJ)+BCS+jj*BCPTJJ+2*(ij*BCPTIJ)+BCPTII+BCk</f>
        <v>4202.28588488128</v>
      </c>
      <c r="W8" s="5" t="n">
        <f aca="false">ij*BUTIJ+BUTII</f>
        <v>33897.9543886354</v>
      </c>
      <c r="X8" s="5" t="n">
        <f aca="false">Revenue-Cost</f>
        <v>-2576.62615645885</v>
      </c>
      <c r="Y8" s="5" t="n">
        <f aca="false">Size</f>
        <v>100</v>
      </c>
      <c r="Z8" s="6" t="n">
        <f aca="false">Welfare/(Size)</f>
        <v>313.213282321765</v>
      </c>
      <c r="AA8" s="6" t="n">
        <f aca="false">Profit/(Size)</f>
        <v>-25.7662615645884</v>
      </c>
      <c r="AB8" s="6" t="n">
        <f aca="false">Utility/(Size)</f>
        <v>338.979543886354</v>
      </c>
      <c r="AC8" s="2" t="n">
        <v>308.660962030988</v>
      </c>
    </row>
    <row r="9" customFormat="false" ht="13" hidden="false" customHeight="false" outlineLevel="0" collapsed="false">
      <c r="A9" s="2" t="n">
        <v>0.700000930479081</v>
      </c>
      <c r="B9" s="2" t="n">
        <v>0</v>
      </c>
      <c r="C9" s="2" t="n">
        <v>200</v>
      </c>
      <c r="D9" s="2" t="n">
        <v>0</v>
      </c>
      <c r="E9" s="2" t="n">
        <f aca="false">Size-a</f>
        <v>200</v>
      </c>
      <c r="F9" s="4" t="n">
        <f aca="false">(EXP(alpha*(Tau+OldTau+zeta-2*a*psi))*((EXP(alpha*a*psi)-EXP(alpha*b*psi))^2))/((EXP(alpha*a*psi)-EXP(alpha*(2*OldTau+b*psi)))*(alpha^2)*(psi^2))</f>
        <v>6.45102504116936</v>
      </c>
      <c r="G9" s="4" t="n">
        <f aca="false">(EXP(alpha*(zeta+(2*b-a)*psi))*(-1+EXP(alpha*(-1)*Size*psi))*(EXP(alpha*(2*(Tau+OldTau)+a*psi))-EXP(alpha*(2*(Tau+OldTau)+b*psi))))/(((EXP(alpha*a*psi)-EXP(alpha*(2*OldTau+b*psi)))^2)*(alpha^2)*(psi^2))</f>
        <v>2.99769697164687E-013</v>
      </c>
      <c r="H9" s="5" t="n">
        <f aca="false">-Beta/alpha</f>
        <v>180</v>
      </c>
      <c r="I9" s="5" t="n">
        <f aca="false">(-EXP(alpha*zeta)*Beta*(-1+EXP(alpha*Size*psi)-Size*alpha*psi))/((alpha^3)*(psi^2))</f>
        <v>67811.8780219596</v>
      </c>
      <c r="J9" s="5" t="n">
        <f aca="false">Beta*Theta</f>
        <v>14.4</v>
      </c>
      <c r="K9" s="5" t="n">
        <f aca="false">Beta*Theta</f>
        <v>14.4</v>
      </c>
      <c r="L9" s="5" t="n">
        <f aca="false">kappa</f>
        <v>90</v>
      </c>
      <c r="M9" s="5" t="n">
        <f aca="false">Gamma*Size</f>
        <v>0</v>
      </c>
      <c r="N9" s="5" t="n">
        <f aca="false">Size*Beta*Phi</f>
        <v>648</v>
      </c>
      <c r="O9" s="5" t="n">
        <f aca="false">-(EXP(alpha*a*psi)+EXP(alpha*b*psi)*(-1+Size*psi*alpha))*(Beta*Phi)/((alpha*psi)*(EXP(alpha*a*psi)-EXP(alpha*b*psi)))</f>
        <v>21.5999999999394</v>
      </c>
      <c r="P9" s="5" t="n">
        <f aca="false">(EXP(alpha*(zeta-a*psi))*Beta*Phi*(-EXP(alpha*a*psi)*(-2+(-1)*Size*alpha*psi)+EXP(alpha*b*psi)*(-2+Size*alpha*psi)))/((alpha^3)*(psi^3))</f>
        <v>7856.82448806234</v>
      </c>
      <c r="Q9" s="5" t="n">
        <f aca="false">Tau*Beta</f>
        <v>126.000167486234</v>
      </c>
      <c r="R9" s="5" t="n">
        <f aca="false">Tau*Beta</f>
        <v>126.000167486234</v>
      </c>
      <c r="S9" s="6" t="n">
        <f aca="false">Tau</f>
        <v>0.700000930479081</v>
      </c>
      <c r="T9" s="5" t="n">
        <f aca="false">Profit+Utility</f>
        <v>62187.4247096347</v>
      </c>
      <c r="U9" s="5" t="n">
        <f aca="false">(2*ij*BRIJ)+2*jj*BRJJ</f>
        <v>1625.66047129054</v>
      </c>
      <c r="V9" s="5" t="n">
        <f aca="false">2*(ij*BCCIJ)+(2*jj*BCCJJ)+BCS+jj*BCPTJJ+2*(ij*BCPTIJ)+BCPTII+BCk</f>
        <v>8411.29829102596</v>
      </c>
      <c r="W9" s="5" t="n">
        <f aca="false">ij*BUTIJ+BUTII</f>
        <v>68973.0625293701</v>
      </c>
      <c r="X9" s="5" t="n">
        <f aca="false">Revenue-Cost</f>
        <v>-6785.63781973542</v>
      </c>
      <c r="Y9" s="5" t="n">
        <f aca="false">Size</f>
        <v>200</v>
      </c>
      <c r="Z9" s="6" t="n">
        <f aca="false">Welfare/(Size)</f>
        <v>310.937123548173</v>
      </c>
      <c r="AA9" s="6" t="n">
        <f aca="false">Profit/(Size)</f>
        <v>-33.9281890986771</v>
      </c>
      <c r="AB9" s="6" t="n">
        <f aca="false">Utility/(Size)</f>
        <v>344.86531264685</v>
      </c>
      <c r="AC9" s="2" t="n">
        <v>308.660962030988</v>
      </c>
    </row>
    <row r="10" customFormat="false" ht="13" hidden="false" customHeight="false" outlineLevel="0" collapsed="false">
      <c r="A10" s="2" t="n">
        <v>0.700659084745567</v>
      </c>
      <c r="B10" s="2" t="n">
        <v>0</v>
      </c>
      <c r="C10" s="2" t="n">
        <v>500</v>
      </c>
      <c r="D10" s="2" t="n">
        <v>0</v>
      </c>
      <c r="E10" s="2" t="n">
        <f aca="false">Size-a</f>
        <v>500</v>
      </c>
      <c r="F10" s="4" t="n">
        <f aca="false">(EXP(alpha*(Tau+OldTau+zeta-2*a*psi))*((EXP(alpha*a*psi)-EXP(alpha*b*psi))^2))/((EXP(alpha*a*psi)-EXP(alpha*(2*OldTau+b*psi)))*(alpha^2)*(psi^2))</f>
        <v>6.44678066839514</v>
      </c>
      <c r="G10" s="4" t="n">
        <f aca="false">(EXP(alpha*(zeta+(2*b-a)*psi))*(-1+EXP(alpha*(-1)*Size*psi))*(EXP(alpha*(2*(Tau+OldTau)+a*psi))-EXP(alpha*(2*(Tau+OldTau)+b*psi))))/(((EXP(alpha*a*psi)-EXP(alpha*(2*OldTau+b*psi)))^2)*(alpha^2)*(psi^2))</f>
        <v>8.5696755157292E-033</v>
      </c>
      <c r="H10" s="5" t="n">
        <f aca="false">-Beta/alpha</f>
        <v>180</v>
      </c>
      <c r="I10" s="5" t="n">
        <f aca="false">(-EXP(alpha*zeta)*Beta*(-1+EXP(alpha*Size*psi)-Size*alpha*psi))/((alpha^3)*(psi^2))</f>
        <v>173037.205987069</v>
      </c>
      <c r="J10" s="5" t="n">
        <f aca="false">Beta*Theta</f>
        <v>14.4</v>
      </c>
      <c r="K10" s="5" t="n">
        <f aca="false">Beta*Theta</f>
        <v>14.4</v>
      </c>
      <c r="L10" s="5" t="n">
        <f aca="false">kappa</f>
        <v>90</v>
      </c>
      <c r="M10" s="5" t="n">
        <f aca="false">Gamma*Size</f>
        <v>0</v>
      </c>
      <c r="N10" s="5" t="n">
        <f aca="false">Size*Beta*Phi</f>
        <v>1620</v>
      </c>
      <c r="O10" s="5" t="n">
        <f aca="false">-(EXP(alpha*a*psi)+EXP(alpha*b*psi)*(-1+Size*psi*alpha))*(Beta*Phi)/((alpha*psi)*(EXP(alpha*a*psi)-EXP(alpha*b*psi)))</f>
        <v>21.6</v>
      </c>
      <c r="P10" s="5" t="n">
        <f aca="false">(EXP(alpha*(zeta-a*psi))*Beta*Phi*(-EXP(alpha*a*psi)*(-2+(-1)*Size*alpha*psi)+EXP(alpha*b*psi)*(-2+Size*alpha*psi)))/((alpha^3)*(psi^3))</f>
        <v>20483.8638438746</v>
      </c>
      <c r="Q10" s="5" t="n">
        <f aca="false">Tau*Beta</f>
        <v>126.118635254202</v>
      </c>
      <c r="R10" s="5" t="n">
        <f aca="false">Tau*Beta</f>
        <v>126.118635254202</v>
      </c>
      <c r="S10" s="6" t="n">
        <f aca="false">Tau</f>
        <v>0.700659084745567</v>
      </c>
      <c r="T10" s="5" t="n">
        <f aca="false">Profit+Utility</f>
        <v>154785.712814743</v>
      </c>
      <c r="U10" s="5" t="n">
        <f aca="false">(2*ij*BRIJ)+2*jj*BRJJ</f>
        <v>1626.11835936234</v>
      </c>
      <c r="V10" s="5" t="n">
        <f aca="false">2*(ij*BCCIJ)+(2*jj*BCCJJ)+BCS+jj*BCPTJJ+2*(ij*BCPTIJ)+BCPTII+BCk</f>
        <v>21038.0320519991</v>
      </c>
      <c r="W10" s="5" t="n">
        <f aca="false">ij*BUTIJ+BUTII</f>
        <v>174197.62650738</v>
      </c>
      <c r="X10" s="5" t="n">
        <f aca="false">Revenue-Cost</f>
        <v>-19411.9136926367</v>
      </c>
      <c r="Y10" s="5" t="n">
        <f aca="false">Size</f>
        <v>500</v>
      </c>
      <c r="Z10" s="6" t="n">
        <f aca="false">Welfare/(Size)</f>
        <v>309.571425629486</v>
      </c>
      <c r="AA10" s="6" t="n">
        <f aca="false">Profit/(Size)</f>
        <v>-38.8238273852735</v>
      </c>
      <c r="AB10" s="6" t="n">
        <f aca="false">Utility/(Size)</f>
        <v>348.39525301476</v>
      </c>
      <c r="AC10" s="2" t="n">
        <v>308.660962030988</v>
      </c>
    </row>
    <row r="11" customFormat="false" ht="13" hidden="false" customHeight="false" outlineLevel="0" collapsed="false">
      <c r="A11" s="2" t="n">
        <v>0.700659084745583</v>
      </c>
      <c r="B11" s="2" t="n">
        <v>0</v>
      </c>
      <c r="C11" s="2" t="n">
        <v>1000</v>
      </c>
      <c r="D11" s="2" t="n">
        <v>0</v>
      </c>
      <c r="E11" s="2" t="n">
        <f aca="false">Size-a</f>
        <v>1000</v>
      </c>
      <c r="F11" s="4" t="n">
        <f aca="false">(EXP(alpha*(Tau+OldTau+zeta-2*a*psi))*((EXP(alpha*a*psi)-EXP(alpha*b*psi))^2))/((EXP(alpha*a*psi)-EXP(alpha*(2*OldTau+b*psi)))*(alpha^2)*(psi^2))</f>
        <v>6.44678066839505</v>
      </c>
      <c r="G11" s="4" t="n">
        <f aca="false">(EXP(alpha*(zeta+(2*b-a)*psi))*(-1+EXP(alpha*(-1)*Size*psi))*(EXP(alpha*(2*(Tau+OldTau)+a*psi))-EXP(alpha*(2*(Tau+OldTau)+b*psi))))/(((EXP(alpha*a*psi)-EXP(alpha*(2*OldTau+b*psi)))^2)*(alpha^2)*(psi^2))</f>
        <v>2.29550495871326E-065</v>
      </c>
      <c r="H11" s="5" t="n">
        <f aca="false">-Beta/alpha</f>
        <v>180</v>
      </c>
      <c r="I11" s="5" t="n">
        <f aca="false">(-EXP(alpha*zeta)*Beta*(-1+EXP(alpha*Size*psi)-Size*alpha*psi))/((alpha^3)*(psi^2))</f>
        <v>348412.752595584</v>
      </c>
      <c r="J11" s="5" t="n">
        <f aca="false">Beta*Theta</f>
        <v>14.4</v>
      </c>
      <c r="K11" s="5" t="n">
        <f aca="false">Beta*Theta</f>
        <v>14.4</v>
      </c>
      <c r="L11" s="5" t="n">
        <f aca="false">kappa</f>
        <v>90</v>
      </c>
      <c r="M11" s="5" t="n">
        <f aca="false">Gamma*Size</f>
        <v>0</v>
      </c>
      <c r="N11" s="5" t="n">
        <f aca="false">Size*Beta*Phi</f>
        <v>3240</v>
      </c>
      <c r="O11" s="5" t="n">
        <f aca="false">-(EXP(alpha*a*psi)+EXP(alpha*b*psi)*(-1+Size*psi*alpha))*(Beta*Phi)/((alpha*psi)*(EXP(alpha*a*psi)-EXP(alpha*b*psi)))</f>
        <v>21.6</v>
      </c>
      <c r="P11" s="5" t="n">
        <f aca="false">(EXP(alpha*(zeta-a*psi))*Beta*Phi*(-EXP(alpha*a*psi)*(-2+(-1)*Size*alpha*psi)+EXP(alpha*b*psi)*(-2+Size*alpha*psi)))/((alpha^3)*(psi^3))</f>
        <v>41528.9294368965</v>
      </c>
      <c r="Q11" s="5" t="n">
        <f aca="false">Tau*Beta</f>
        <v>126.118635254205</v>
      </c>
      <c r="R11" s="5" t="n">
        <f aca="false">Tau*Beta</f>
        <v>126.118635254205</v>
      </c>
      <c r="S11" s="6" t="n">
        <f aca="false">Tau</f>
        <v>0.700659084745583</v>
      </c>
      <c r="T11" s="5" t="n">
        <f aca="false">Profit+Utility</f>
        <v>309116.193830237</v>
      </c>
      <c r="U11" s="5" t="n">
        <f aca="false">(2*ij*BRIJ)+2*jj*BRJJ</f>
        <v>1626.11835936235</v>
      </c>
      <c r="V11" s="5" t="n">
        <f aca="false">2*(ij*BCCIJ)+(2*jj*BCCJJ)+BCS+jj*BCPTJJ+2*(ij*BCPTIJ)+BCPTII+BCk</f>
        <v>42083.097645021</v>
      </c>
      <c r="W11" s="5" t="n">
        <f aca="false">ij*BUTIJ+BUTII</f>
        <v>349573.173115896</v>
      </c>
      <c r="X11" s="5" t="n">
        <f aca="false">Revenue-Cost</f>
        <v>-40456.9792856586</v>
      </c>
      <c r="Y11" s="5" t="n">
        <f aca="false">Size</f>
        <v>1000</v>
      </c>
      <c r="Z11" s="6" t="n">
        <f aca="false">Welfare/(Size)</f>
        <v>309.116193830237</v>
      </c>
      <c r="AA11" s="6" t="n">
        <f aca="false">Profit/(Size)</f>
        <v>-40.4569792856586</v>
      </c>
      <c r="AB11" s="6" t="n">
        <f aca="false">Utility/(Size)</f>
        <v>349.573173115896</v>
      </c>
      <c r="AC11" s="2" t="n">
        <v>308.660962030988</v>
      </c>
    </row>
    <row r="12" customFormat="false" ht="13" hidden="false" customHeight="false" outlineLevel="0" collapsed="false">
      <c r="F12" s="2"/>
    </row>
    <row r="13" customFormat="false" ht="13" hidden="false" customHeight="false" outlineLevel="0" collapsed="false">
      <c r="F13" s="2"/>
    </row>
    <row r="14" customFormat="false" ht="13" hidden="false" customHeight="false" outlineLevel="0" collapsed="false">
      <c r="F14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pane xSplit="11500" ySplit="0" topLeftCell="AB1" activePane="topLeft" state="split"/>
      <selection pane="topLeft" activeCell="C22" activeCellId="0" sqref="C22"/>
      <selection pane="topRight" activeCell="AB10" activeCellId="0" sqref="AB10"/>
    </sheetView>
  </sheetViews>
  <sheetFormatPr defaultColWidth="8.28125" defaultRowHeight="13" customHeight="false" zeroHeight="false" outlineLevelRow="0" outlineLevelCol="0"/>
  <cols>
    <col collapsed="false" customWidth="true" hidden="false" outlineLevel="0" max="2" min="1" style="0" width="11.05"/>
    <col collapsed="false" customWidth="true" hidden="false" outlineLevel="0" max="3" min="3" style="2" width="22.42"/>
    <col collapsed="false" customWidth="true" hidden="false" outlineLevel="0" max="4" min="4" style="2" width="6.28"/>
    <col collapsed="false" customWidth="true" hidden="false" outlineLevel="0" max="5" min="5" style="2" width="6.42"/>
    <col collapsed="false" customWidth="true" hidden="false" outlineLevel="0" max="6" min="6" style="2" width="4.85"/>
    <col collapsed="false" customWidth="true" hidden="false" outlineLevel="0" max="7" min="7" style="2" width="3.56"/>
    <col collapsed="false" customWidth="true" hidden="false" outlineLevel="0" max="8" min="8" style="2" width="4.71"/>
    <col collapsed="false" customWidth="false" hidden="false" outlineLevel="0" max="9" min="9" style="3" width="8.28"/>
    <col collapsed="false" customWidth="false" hidden="false" outlineLevel="0" max="11" min="10" style="2" width="8.28"/>
    <col collapsed="false" customWidth="true" hidden="false" outlineLevel="0" max="12" min="12" style="2" width="10.14"/>
    <col collapsed="false" customWidth="false" hidden="false" outlineLevel="0" max="22" min="13" style="2" width="8.28"/>
    <col collapsed="false" customWidth="true" hidden="false" outlineLevel="0" max="23" min="23" style="2" width="9.99"/>
    <col collapsed="false" customWidth="false" hidden="false" outlineLevel="0" max="24" min="24" style="2" width="8.28"/>
    <col collapsed="false" customWidth="true" hidden="false" outlineLevel="0" max="25" min="25" style="2" width="8.99"/>
    <col collapsed="false" customWidth="true" hidden="false" outlineLevel="0" max="26" min="26" style="2" width="9.13"/>
    <col collapsed="false" customWidth="false" hidden="false" outlineLevel="0" max="257" min="27" style="2" width="8.28"/>
  </cols>
  <sheetData>
    <row r="1" customFormat="false" ht="13" hidden="false" customHeight="false" outlineLevel="0" collapsed="false">
      <c r="A1" s="2" t="s">
        <v>6</v>
      </c>
      <c r="B1" s="2" t="s">
        <v>43</v>
      </c>
      <c r="C1" s="2" t="s">
        <v>44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3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45</v>
      </c>
    </row>
    <row r="2" customFormat="false" ht="13" hidden="false" customHeight="false" outlineLevel="0" collapsed="false">
      <c r="A2" s="2" t="n">
        <v>0.08</v>
      </c>
      <c r="B2" s="2" t="n">
        <f aca="false">(I2+J2)*Beta*2</f>
        <v>1600.89528737815</v>
      </c>
      <c r="C2" s="7" t="n">
        <f aca="false">(W2+B2*Theta-'W-Tax(All-Tax)'!$T$2)/B2</f>
        <v>0.459445400936223</v>
      </c>
      <c r="D2" s="2" t="n">
        <v>0.588971969024794</v>
      </c>
      <c r="E2" s="2" t="n">
        <v>0</v>
      </c>
      <c r="F2" s="2" t="n">
        <v>1</v>
      </c>
      <c r="G2" s="2" t="n">
        <v>0</v>
      </c>
      <c r="H2" s="2" t="n">
        <f aca="false">Size-a</f>
        <v>1</v>
      </c>
      <c r="I2" s="4" t="n">
        <f aca="false">(EXP(alpha*(Tau+OldTau+zeta-2*a*psi))*((EXP(alpha*a*psi)-EXP(alpha*b*psi))^2))/((EXP(alpha*a*psi)-EXP(alpha*(2*OldTau+b*psi)))*(alpha^2)*(psi^2))</f>
        <v>1.0040936965203</v>
      </c>
      <c r="J2" s="4" t="n">
        <f aca="false">(EXP(alpha*(zeta+(2*b-a)*psi))*(-1+EXP(alpha*(-1)*Size*psi))*(EXP(alpha*(2*(Tau+OldTau)+a*psi))-EXP(alpha*(2*(Tau+OldTau)+b*psi))))/(((EXP(alpha*a*psi)-EXP(alpha*(2*OldTau+b*psi)))^2)*(alpha^2)*(psi^2))</f>
        <v>3.44283765730788</v>
      </c>
      <c r="K2" s="5" t="n">
        <f aca="false">-Beta/alpha</f>
        <v>180</v>
      </c>
      <c r="L2" s="5" t="n">
        <f aca="false">(-EXP(alpha*zeta)*Beta*(-1+EXP(alpha*Size*psi)-Size*alpha*psi))/((alpha^3)*(psi^2))</f>
        <v>25.0388962482082</v>
      </c>
      <c r="M2" s="5" t="n">
        <f aca="false">Beta*Theta</f>
        <v>14.4</v>
      </c>
      <c r="N2" s="5" t="n">
        <f aca="false">Beta*Theta</f>
        <v>14.4</v>
      </c>
      <c r="O2" s="5" t="n">
        <f aca="false">kappa</f>
        <v>90</v>
      </c>
      <c r="P2" s="5" t="n">
        <f aca="false">Gamma*Size</f>
        <v>0</v>
      </c>
      <c r="Q2" s="5" t="n">
        <f aca="false">Size*Beta*Phi</f>
        <v>3.24</v>
      </c>
      <c r="R2" s="5" t="n">
        <f aca="false">-(EXP(alpha*a*psi)+EXP(alpha*b*psi)*(-1+Size*psi*alpha))*(Beta*Phi)/((alpha*psi)*(EXP(alpha*a*psi)-EXP(alpha*b*psi)))</f>
        <v>1.57951517936842</v>
      </c>
      <c r="S2" s="5" t="n">
        <f aca="false">(EXP(alpha*(zeta-a*psi))*Beta*Phi*(-EXP(alpha*a*psi)*(-2+(-1)*Size*alpha*psi)+EXP(alpha*b*psi)*(-2+Size*alpha*psi)))/((alpha^3)*(psi^3))</f>
        <v>0.146515554131081</v>
      </c>
      <c r="T2" s="5" t="n">
        <f aca="false">Tau*Beta</f>
        <v>106.014954424463</v>
      </c>
      <c r="U2" s="5" t="n">
        <f aca="false">Tau*Beta</f>
        <v>106.014954424463</v>
      </c>
      <c r="V2" s="6" t="n">
        <f aca="false">Tau</f>
        <v>0.588971969024794</v>
      </c>
      <c r="W2" s="5" t="n">
        <f aca="false">Profit+Utility</f>
        <v>916.113316207099</v>
      </c>
      <c r="X2" s="5" t="n">
        <f aca="false">(2*ij*BRIJ)+2*jj*BRJJ</f>
        <v>942.88244960962</v>
      </c>
      <c r="Y2" s="5" t="n">
        <f aca="false">2*(ij*BCCIJ)+(2*jj*BCCJJ)+BCS+jj*BCPTJJ+2*(ij*BCPTIJ)+BCPTII+BCk</f>
        <v>232.544895024384</v>
      </c>
      <c r="Z2" s="5" t="n">
        <f aca="false">ij*BUTIJ+BUTII</f>
        <v>205.775761621863</v>
      </c>
      <c r="AA2" s="5" t="n">
        <f aca="false">Revenue-Cost</f>
        <v>710.337554585236</v>
      </c>
      <c r="AB2" s="5" t="n">
        <f aca="false">Size</f>
        <v>1</v>
      </c>
      <c r="AC2" s="6" t="n">
        <f aca="false">Welfare/(Size)</f>
        <v>916.113316207099</v>
      </c>
      <c r="AD2" s="6" t="n">
        <f aca="false">Profit/(Size)</f>
        <v>710.337554585236</v>
      </c>
      <c r="AE2" s="6" t="n">
        <f aca="false">Utility/(Size)</f>
        <v>205.775761621863</v>
      </c>
      <c r="AF2" s="2" t="n">
        <v>308.660962030988</v>
      </c>
    </row>
    <row r="3" customFormat="false" ht="13" hidden="false" customHeight="false" outlineLevel="0" collapsed="false">
      <c r="A3" s="7" t="n">
        <f aca="false">C2</f>
        <v>0.459445400936223</v>
      </c>
      <c r="B3" s="2" t="n">
        <f aca="false">(I3+J3)*Beta*2</f>
        <v>827.630204695951</v>
      </c>
      <c r="C3" s="7" t="n">
        <f aca="false">(W3+B3*Theta-'W-Tax(All-Tax)'!$T$2)/B3</f>
        <v>0.657285555295239</v>
      </c>
      <c r="D3" s="2" t="n">
        <v>0.968406007444622</v>
      </c>
      <c r="E3" s="2" t="n">
        <v>0</v>
      </c>
      <c r="F3" s="2" t="n">
        <v>1</v>
      </c>
      <c r="G3" s="2" t="n">
        <v>0</v>
      </c>
      <c r="H3" s="2" t="n">
        <f aca="false">Size-a</f>
        <v>1</v>
      </c>
      <c r="I3" s="4" t="n">
        <f aca="false">(EXP(alpha*(Tau+OldTau+zeta-2*a*psi))*((EXP(alpha*a*psi)-EXP(alpha*b*psi))^2))/((EXP(alpha*a*psi)-EXP(alpha*(2*OldTau+b*psi)))*(alpha^2)*(psi^2))</f>
        <v>0.687049663982557</v>
      </c>
      <c r="J3" s="4" t="n">
        <f aca="false">(EXP(alpha*(zeta+(2*b-a)*psi))*(-1+EXP(alpha*(-1)*Size*psi))*(EXP(alpha*(2*(Tau+OldTau)+a*psi))-EXP(alpha*(2*(Tau+OldTau)+b*psi))))/(((EXP(alpha*a*psi)-EXP(alpha*(2*OldTau+b*psi)))^2)*(alpha^2)*(psi^2))</f>
        <v>1.61192312683953</v>
      </c>
      <c r="K3" s="5" t="n">
        <f aca="false">-Beta/alpha</f>
        <v>180</v>
      </c>
      <c r="L3" s="5" t="n">
        <f aca="false">(-EXP(alpha*zeta)*Beta*(-1+EXP(alpha*Size*psi)-Size*alpha*psi))/((alpha^3)*(psi^2))</f>
        <v>25.0388962482082</v>
      </c>
      <c r="M3" s="5" t="n">
        <f aca="false">Beta*Theta</f>
        <v>82.7001721685202</v>
      </c>
      <c r="N3" s="5" t="n">
        <f aca="false">Beta*Theta</f>
        <v>82.7001721685202</v>
      </c>
      <c r="O3" s="5" t="n">
        <f aca="false">kappa</f>
        <v>90</v>
      </c>
      <c r="P3" s="5" t="n">
        <f aca="false">Gamma*Size</f>
        <v>0</v>
      </c>
      <c r="Q3" s="5" t="n">
        <f aca="false">Size*Beta*Phi</f>
        <v>3.24</v>
      </c>
      <c r="R3" s="5" t="n">
        <f aca="false">-(EXP(alpha*a*psi)+EXP(alpha*b*psi)*(-1+Size*psi*alpha))*(Beta*Phi)/((alpha*psi)*(EXP(alpha*a*psi)-EXP(alpha*b*psi)))</f>
        <v>1.57951517936842</v>
      </c>
      <c r="S3" s="5" t="n">
        <f aca="false">(EXP(alpha*(zeta-a*psi))*Beta*Phi*(-EXP(alpha*a*psi)*(-2+(-1)*Size*alpha*psi)+EXP(alpha*b*psi)*(-2+Size*alpha*psi)))/((alpha^3)*(psi^3))</f>
        <v>0.146515554131081</v>
      </c>
      <c r="T3" s="5" t="n">
        <f aca="false">Tau*Beta</f>
        <v>174.313081340032</v>
      </c>
      <c r="U3" s="5" t="n">
        <f aca="false">Tau*Beta</f>
        <v>174.313081340032</v>
      </c>
      <c r="V3" s="6" t="n">
        <f aca="false">Tau</f>
        <v>0.968406007444622</v>
      </c>
      <c r="W3" s="5" t="n">
        <f aca="false">Profit+Utility</f>
        <v>472.399449480218</v>
      </c>
      <c r="X3" s="5" t="n">
        <f aca="false">(2*ij*BRIJ)+2*jj*BRJJ</f>
        <v>801.482062170182</v>
      </c>
      <c r="Y3" s="5" t="n">
        <f aca="false">2*(ij*BCCIJ)+(2*jj*BCCJJ)+BCS+jj*BCPTJJ+2*(ij*BCPTIJ)+BCPTII+BCk</f>
        <v>477.790448455032</v>
      </c>
      <c r="Z3" s="5" t="n">
        <f aca="false">ij*BUTIJ+BUTII</f>
        <v>148.707835765068</v>
      </c>
      <c r="AA3" s="5" t="n">
        <f aca="false">Revenue-Cost</f>
        <v>323.69161371515</v>
      </c>
      <c r="AB3" s="5" t="n">
        <f aca="false">Size</f>
        <v>1</v>
      </c>
      <c r="AC3" s="6" t="n">
        <f aca="false">Welfare/(Size)</f>
        <v>472.399449480218</v>
      </c>
      <c r="AD3" s="6" t="n">
        <f aca="false">Profit/(Size)</f>
        <v>323.69161371515</v>
      </c>
      <c r="AE3" s="6" t="n">
        <f aca="false">Utility/(Size)</f>
        <v>148.707835765068</v>
      </c>
      <c r="AF3" s="2" t="n">
        <v>308.660962030988</v>
      </c>
    </row>
    <row r="4" customFormat="false" ht="13" hidden="false" customHeight="false" outlineLevel="0" collapsed="false">
      <c r="A4" s="7" t="n">
        <f aca="false">C3</f>
        <v>0.657285555295239</v>
      </c>
      <c r="B4" s="2" t="n">
        <f aca="false">(I4+J4)*Beta*2</f>
        <v>593.613339752811</v>
      </c>
      <c r="C4" s="7" t="n">
        <f aca="false">(W4+B4*Theta-'W-Tax(All-Tax)'!$T$2)/B4</f>
        <v>0.698604373684773</v>
      </c>
      <c r="D4" s="2" t="n">
        <v>1.16623918160801</v>
      </c>
      <c r="E4" s="2" t="n">
        <v>0</v>
      </c>
      <c r="F4" s="2" t="n">
        <v>1</v>
      </c>
      <c r="G4" s="2" t="n">
        <v>0</v>
      </c>
      <c r="H4" s="2" t="n">
        <f aca="false">Size-a</f>
        <v>1</v>
      </c>
      <c r="I4" s="4" t="n">
        <f aca="false">(EXP(alpha*(Tau+OldTau+zeta-2*a*psi))*((EXP(alpha*a*psi)-EXP(alpha*b*psi))^2))/((EXP(alpha*a*psi)-EXP(alpha*(2*OldTau+b*psi)))*(alpha^2)*(psi^2))</f>
        <v>0.563728868635805</v>
      </c>
      <c r="J4" s="4" t="n">
        <f aca="false">(EXP(alpha*(zeta+(2*b-a)*psi))*(-1+EXP(alpha*(-1)*Size*psi))*(EXP(alpha*(2*(Tau+OldTau)+a*psi))-EXP(alpha*(2*(Tau+OldTau)+b*psi))))/(((EXP(alpha*a*psi)-EXP(alpha*(2*OldTau+b*psi)))^2)*(alpha^2)*(psi^2))</f>
        <v>1.085197075122</v>
      </c>
      <c r="K4" s="5" t="n">
        <f aca="false">-Beta/alpha</f>
        <v>180</v>
      </c>
      <c r="L4" s="5" t="n">
        <f aca="false">(-EXP(alpha*zeta)*Beta*(-1+EXP(alpha*Size*psi)-Size*alpha*psi))/((alpha^3)*(psi^2))</f>
        <v>25.0388962482082</v>
      </c>
      <c r="M4" s="5" t="n">
        <f aca="false">Beta*Theta</f>
        <v>118.311399953143</v>
      </c>
      <c r="N4" s="5" t="n">
        <f aca="false">Beta*Theta</f>
        <v>118.311399953143</v>
      </c>
      <c r="O4" s="5" t="n">
        <f aca="false">kappa</f>
        <v>90</v>
      </c>
      <c r="P4" s="5" t="n">
        <f aca="false">Gamma*Size</f>
        <v>0</v>
      </c>
      <c r="Q4" s="5" t="n">
        <f aca="false">Size*Beta*Phi</f>
        <v>3.24</v>
      </c>
      <c r="R4" s="5" t="n">
        <f aca="false">-(EXP(alpha*a*psi)+EXP(alpha*b*psi)*(-1+Size*psi*alpha))*(Beta*Phi)/((alpha*psi)*(EXP(alpha*a*psi)-EXP(alpha*b*psi)))</f>
        <v>1.57951517936842</v>
      </c>
      <c r="S4" s="5" t="n">
        <f aca="false">(EXP(alpha*(zeta-a*psi))*Beta*Phi*(-EXP(alpha*a*psi)*(-2+(-1)*Size*alpha*psi)+EXP(alpha*b*psi)*(-2+Size*alpha*psi)))/((alpha^3)*(psi^3))</f>
        <v>0.146515554131081</v>
      </c>
      <c r="T4" s="5" t="n">
        <f aca="false">Tau*Beta</f>
        <v>209.923052689442</v>
      </c>
      <c r="U4" s="5" t="n">
        <f aca="false">Tau*Beta</f>
        <v>209.923052689442</v>
      </c>
      <c r="V4" s="6" t="n">
        <f aca="false">Tau</f>
        <v>1.16623918160801</v>
      </c>
      <c r="W4" s="5" t="n">
        <f aca="false">Profit+Utility</f>
        <v>333.188363809839</v>
      </c>
      <c r="X4" s="5" t="n">
        <f aca="false">(2*ij*BRIJ)+2*jj*BRJJ</f>
        <v>692.295135544917</v>
      </c>
      <c r="Y4" s="5" t="n">
        <f aca="false">2*(ij*BCCIJ)+(2*jj*BCCJJ)+BCS+jj*BCPTJJ+2*(ij*BCPTIJ)+BCPTII+BCk</f>
        <v>485.616864337731</v>
      </c>
      <c r="Z4" s="5" t="n">
        <f aca="false">ij*BUTIJ+BUTII</f>
        <v>126.510092602653</v>
      </c>
      <c r="AA4" s="5" t="n">
        <f aca="false">Revenue-Cost</f>
        <v>206.678271207186</v>
      </c>
      <c r="AB4" s="5" t="n">
        <f aca="false">Size</f>
        <v>1</v>
      </c>
      <c r="AC4" s="6" t="n">
        <f aca="false">Welfare/(Size)</f>
        <v>333.188363809839</v>
      </c>
      <c r="AD4" s="6" t="n">
        <f aca="false">Profit/(Size)</f>
        <v>206.678271207186</v>
      </c>
      <c r="AE4" s="6" t="n">
        <f aca="false">Utility/(Size)</f>
        <v>126.510092602653</v>
      </c>
      <c r="AF4" s="2" t="n">
        <v>308.660962030988</v>
      </c>
    </row>
    <row r="5" customFormat="false" ht="13" hidden="false" customHeight="false" outlineLevel="0" collapsed="false">
      <c r="A5" s="7" t="n">
        <f aca="false">C4</f>
        <v>0.698604373684773</v>
      </c>
      <c r="B5" s="2" t="n">
        <f aca="false">(I5+J5)*Beta*2</f>
        <v>554.414072286332</v>
      </c>
      <c r="C5" s="7" t="n">
        <f aca="false">(W5+B5*Theta-'W-Tax(All-Tax)'!$T$2)/B5</f>
        <v>0.700083082462635</v>
      </c>
      <c r="D5" s="2" t="n">
        <v>1.20755649295194</v>
      </c>
      <c r="E5" s="2" t="n">
        <v>0</v>
      </c>
      <c r="F5" s="2" t="n">
        <v>1</v>
      </c>
      <c r="G5" s="2" t="n">
        <v>0</v>
      </c>
      <c r="H5" s="2" t="n">
        <f aca="false">Size-a</f>
        <v>1</v>
      </c>
      <c r="I5" s="4" t="n">
        <f aca="false">(EXP(alpha*(Tau+OldTau+zeta-2*a*psi))*((EXP(alpha*a*psi)-EXP(alpha*b*psi))^2))/((EXP(alpha*a*psi)-EXP(alpha*(2*OldTau+b*psi)))*(alpha^2)*(psi^2))</f>
        <v>0.540911724848669</v>
      </c>
      <c r="J5" s="4" t="n">
        <f aca="false">(EXP(alpha*(zeta+(2*b-a)*psi))*(-1+EXP(alpha*(-1)*Size*psi))*(EXP(alpha*(2*(Tau+OldTau)+a*psi))-EXP(alpha*(2*(Tau+OldTau)+b*psi))))/(((EXP(alpha*a*psi)-EXP(alpha*(2*OldTau+b*psi)))^2)*(alpha^2)*(psi^2))</f>
        <v>0.999127364835586</v>
      </c>
      <c r="K5" s="5" t="n">
        <f aca="false">-Beta/alpha</f>
        <v>180</v>
      </c>
      <c r="L5" s="5" t="n">
        <f aca="false">(-EXP(alpha*zeta)*Beta*(-1+EXP(alpha*Size*psi)-Size*alpha*psi))/((alpha^3)*(psi^2))</f>
        <v>25.0388962482082</v>
      </c>
      <c r="M5" s="5" t="n">
        <f aca="false">Beta*Theta</f>
        <v>125.748787263259</v>
      </c>
      <c r="N5" s="5" t="n">
        <f aca="false">Beta*Theta</f>
        <v>125.748787263259</v>
      </c>
      <c r="O5" s="5" t="n">
        <f aca="false">kappa</f>
        <v>90</v>
      </c>
      <c r="P5" s="5" t="n">
        <f aca="false">Gamma*Size</f>
        <v>0</v>
      </c>
      <c r="Q5" s="5" t="n">
        <f aca="false">Size*Beta*Phi</f>
        <v>3.24</v>
      </c>
      <c r="R5" s="5" t="n">
        <f aca="false">-(EXP(alpha*a*psi)+EXP(alpha*b*psi)*(-1+Size*psi*alpha))*(Beta*Phi)/((alpha*psi)*(EXP(alpha*a*psi)-EXP(alpha*b*psi)))</f>
        <v>1.57951517936842</v>
      </c>
      <c r="S5" s="5" t="n">
        <f aca="false">(EXP(alpha*(zeta-a*psi))*Beta*Phi*(-EXP(alpha*a*psi)*(-2+(-1)*Size*alpha*psi)+EXP(alpha*b*psi)*(-2+Size*alpha*psi)))/((alpha^3)*(psi^3))</f>
        <v>0.146515554131081</v>
      </c>
      <c r="T5" s="5" t="n">
        <f aca="false">Tau*Beta</f>
        <v>217.36016873135</v>
      </c>
      <c r="U5" s="5" t="n">
        <f aca="false">Tau*Beta</f>
        <v>217.36016873135</v>
      </c>
      <c r="V5" s="6" t="n">
        <f aca="false">Tau</f>
        <v>1.20755649295194</v>
      </c>
      <c r="W5" s="5" t="n">
        <f aca="false">Profit+Utility</f>
        <v>309.480778986247</v>
      </c>
      <c r="X5" s="5" t="n">
        <f aca="false">(2*ij*BRIJ)+2*jj*BRJJ</f>
        <v>669.486312773288</v>
      </c>
      <c r="Y5" s="5" t="n">
        <f aca="false">2*(ij*BCCIJ)+(2*jj*BCCJJ)+BCS+jj*BCPTJJ+2*(ij*BCPTIJ)+BCPTII+BCk</f>
        <v>482.408540508009</v>
      </c>
      <c r="Z5" s="5" t="n">
        <f aca="false">ij*BUTIJ+BUTII</f>
        <v>122.403006720969</v>
      </c>
      <c r="AA5" s="5" t="n">
        <f aca="false">Revenue-Cost</f>
        <v>187.077772265279</v>
      </c>
      <c r="AB5" s="5" t="n">
        <f aca="false">Size</f>
        <v>1</v>
      </c>
      <c r="AC5" s="6" t="n">
        <f aca="false">Welfare/(Size)</f>
        <v>309.480778986247</v>
      </c>
      <c r="AD5" s="6" t="n">
        <f aca="false">Profit/(Size)</f>
        <v>187.077772265279</v>
      </c>
      <c r="AE5" s="6" t="n">
        <f aca="false">Utility/(Size)</f>
        <v>122.403006720969</v>
      </c>
      <c r="AF5" s="2" t="n">
        <v>308.660962030988</v>
      </c>
    </row>
    <row r="6" customFormat="false" ht="13" hidden="false" customHeight="false" outlineLevel="0" collapsed="false">
      <c r="A6" s="7" t="n">
        <f aca="false">C5</f>
        <v>0.700083082462635</v>
      </c>
      <c r="B6" s="2" t="n">
        <f aca="false">(I6+J6)*Beta*2</f>
        <v>553.064249331131</v>
      </c>
      <c r="C6" s="7" t="n">
        <f aca="false">(W6+B6*Theta-'W-Tax(All-Tax)'!$T$2)/B6</f>
        <v>0.700084887705133</v>
      </c>
      <c r="D6" s="2" t="n">
        <v>1.2090351135174</v>
      </c>
      <c r="E6" s="2" t="n">
        <v>0</v>
      </c>
      <c r="F6" s="2" t="n">
        <v>1</v>
      </c>
      <c r="G6" s="2" t="n">
        <v>0</v>
      </c>
      <c r="H6" s="2" t="n">
        <f aca="false">Size-a</f>
        <v>1</v>
      </c>
      <c r="I6" s="4" t="n">
        <f aca="false">(EXP(alpha*(Tau+OldTau+zeta-2*a*psi))*((EXP(alpha*a*psi)-EXP(alpha*b*psi))^2))/((EXP(alpha*a*psi)-EXP(alpha*(2*OldTau+b*psi)))*(alpha^2)*(psi^2))</f>
        <v>0.540112512659615</v>
      </c>
      <c r="J6" s="4" t="n">
        <f aca="false">(EXP(alpha*(zeta+(2*b-a)*psi))*(-1+EXP(alpha*(-1)*Size*psi))*(EXP(alpha*(2*(Tau+OldTau)+a*psi))-EXP(alpha*(2*(Tau+OldTau)+b*psi))))/(((EXP(alpha*a*psi)-EXP(alpha*(2*OldTau+b*psi)))^2)*(alpha^2)*(psi^2))</f>
        <v>0.996177068815748</v>
      </c>
      <c r="K6" s="5" t="n">
        <f aca="false">-Beta/alpha</f>
        <v>180</v>
      </c>
      <c r="L6" s="5" t="n">
        <f aca="false">(-EXP(alpha*zeta)*Beta*(-1+EXP(alpha*Size*psi)-Size*alpha*psi))/((alpha^3)*(psi^2))</f>
        <v>25.0388962482082</v>
      </c>
      <c r="M6" s="5" t="n">
        <f aca="false">Beta*Theta</f>
        <v>126.014954843274</v>
      </c>
      <c r="N6" s="5" t="n">
        <f aca="false">Beta*Theta</f>
        <v>126.014954843274</v>
      </c>
      <c r="O6" s="5" t="n">
        <f aca="false">kappa</f>
        <v>90</v>
      </c>
      <c r="P6" s="5" t="n">
        <f aca="false">Gamma*Size</f>
        <v>0</v>
      </c>
      <c r="Q6" s="5" t="n">
        <f aca="false">Size*Beta*Phi</f>
        <v>3.24</v>
      </c>
      <c r="R6" s="5" t="n">
        <f aca="false">-(EXP(alpha*a*psi)+EXP(alpha*b*psi)*(-1+Size*psi*alpha))*(Beta*Phi)/((alpha*psi)*(EXP(alpha*a*psi)-EXP(alpha*b*psi)))</f>
        <v>1.57951517936842</v>
      </c>
      <c r="S6" s="5" t="n">
        <f aca="false">(EXP(alpha*(zeta-a*psi))*Beta*Phi*(-EXP(alpha*a*psi)*(-2+(-1)*Size*alpha*psi)+EXP(alpha*b*psi)*(-2+Size*alpha*psi)))/((alpha^3)*(psi^3))</f>
        <v>0.146515554131081</v>
      </c>
      <c r="T6" s="5" t="n">
        <f aca="false">Tau*Beta</f>
        <v>217.626320433131</v>
      </c>
      <c r="U6" s="5" t="n">
        <f aca="false">Tau*Beta</f>
        <v>217.626320433131</v>
      </c>
      <c r="V6" s="6" t="n">
        <f aca="false">Tau</f>
        <v>1.2090351135174</v>
      </c>
      <c r="W6" s="5" t="n">
        <f aca="false">Profit+Utility</f>
        <v>308.661960446075</v>
      </c>
      <c r="X6" s="5" t="n">
        <f aca="false">(2*ij*BRIJ)+2*jj*BRJJ</f>
        <v>668.674097472477</v>
      </c>
      <c r="Y6" s="5" t="n">
        <f aca="false">2*(ij*BCCIJ)+(2*jj*BCCJJ)+BCS+jj*BCPTJJ+2*(ij*BCPTIJ)+BCPTII+BCk</f>
        <v>482.271285553341</v>
      </c>
      <c r="Z6" s="5" t="n">
        <f aca="false">ij*BUTIJ+BUTII</f>
        <v>122.259148526939</v>
      </c>
      <c r="AA6" s="5" t="n">
        <f aca="false">Revenue-Cost</f>
        <v>186.402811919136</v>
      </c>
      <c r="AB6" s="5" t="n">
        <f aca="false">Size</f>
        <v>1</v>
      </c>
      <c r="AC6" s="6" t="n">
        <f aca="false">Welfare/(Size)</f>
        <v>308.661960446075</v>
      </c>
      <c r="AD6" s="6" t="n">
        <f aca="false">Profit/(Size)</f>
        <v>186.402811919136</v>
      </c>
      <c r="AE6" s="6" t="n">
        <f aca="false">Utility/(Size)</f>
        <v>122.259148526939</v>
      </c>
      <c r="AF6" s="2" t="n">
        <v>308.660962030988</v>
      </c>
    </row>
    <row r="7" customFormat="false" ht="13" hidden="false" customHeight="false" outlineLevel="0" collapsed="false">
      <c r="A7" s="7" t="n">
        <f aca="false">C6</f>
        <v>0.700084887705133</v>
      </c>
      <c r="B7" s="2" t="n">
        <f aca="false">(I7+J7)*Beta*2</f>
        <v>553.062603529837</v>
      </c>
      <c r="C7" s="7" t="n">
        <f aca="false">(W7+B7*Theta-'W-Tax(All-Tax)'!$T$2)/B7</f>
        <v>0.700084887707819</v>
      </c>
      <c r="D7" s="2" t="n">
        <v>1.20903691874458</v>
      </c>
      <c r="E7" s="2" t="n">
        <v>0</v>
      </c>
      <c r="F7" s="2" t="n">
        <v>1</v>
      </c>
      <c r="G7" s="2" t="n">
        <v>0</v>
      </c>
      <c r="H7" s="2" t="n">
        <f aca="false">Size-a</f>
        <v>1</v>
      </c>
      <c r="I7" s="4" t="n">
        <f aca="false">(EXP(alpha*(Tau+OldTau+zeta-2*a*psi))*((EXP(alpha*a*psi)-EXP(alpha*b*psi))^2))/((EXP(alpha*a*psi)-EXP(alpha*(2*OldTau+b*psi)))*(alpha^2)*(psi^2))</f>
        <v>0.540111537634706</v>
      </c>
      <c r="J7" s="4" t="n">
        <f aca="false">(EXP(alpha*(zeta+(2*b-a)*psi))*(-1+EXP(alpha*(-1)*Size*psi))*(EXP(alpha*(2*(Tau+OldTau)+a*psi))-EXP(alpha*(2*(Tau+OldTau)+b*psi))))/(((EXP(alpha*a*psi)-EXP(alpha*(2*OldTau+b*psi)))^2)*(alpha^2)*(psi^2))</f>
        <v>0.996173472170397</v>
      </c>
      <c r="K7" s="5" t="n">
        <f aca="false">-Beta/alpha</f>
        <v>180</v>
      </c>
      <c r="L7" s="5" t="n">
        <f aca="false">(-EXP(alpha*zeta)*Beta*(-1+EXP(alpha*Size*psi)-Size*alpha*psi))/((alpha^3)*(psi^2))</f>
        <v>25.0388962482082</v>
      </c>
      <c r="M7" s="5" t="n">
        <f aca="false">Beta*Theta</f>
        <v>126.015279786924</v>
      </c>
      <c r="N7" s="5" t="n">
        <f aca="false">Beta*Theta</f>
        <v>126.015279786924</v>
      </c>
      <c r="O7" s="5" t="n">
        <f aca="false">kappa</f>
        <v>90</v>
      </c>
      <c r="P7" s="5" t="n">
        <f aca="false">Gamma*Size</f>
        <v>0</v>
      </c>
      <c r="Q7" s="5" t="n">
        <f aca="false">Size*Beta*Phi</f>
        <v>3.24</v>
      </c>
      <c r="R7" s="5" t="n">
        <f aca="false">-(EXP(alpha*a*psi)+EXP(alpha*b*psi)*(-1+Size*psi*alpha))*(Beta*Phi)/((alpha*psi)*(EXP(alpha*a*psi)-EXP(alpha*b*psi)))</f>
        <v>1.57951517936842</v>
      </c>
      <c r="S7" s="5" t="n">
        <f aca="false">(EXP(alpha*(zeta-a*psi))*Beta*Phi*(-EXP(alpha*a*psi)*(-2+(-1)*Size*alpha*psi)+EXP(alpha*b*psi)*(-2+Size*alpha*psi)))/((alpha^3)*(psi^3))</f>
        <v>0.146515554131081</v>
      </c>
      <c r="T7" s="5" t="n">
        <f aca="false">Tau*Beta</f>
        <v>217.626645374024</v>
      </c>
      <c r="U7" s="5" t="n">
        <f aca="false">Tau*Beta</f>
        <v>217.626645374024</v>
      </c>
      <c r="V7" s="6" t="n">
        <f aca="false">Tau</f>
        <v>1.20903691874458</v>
      </c>
      <c r="W7" s="5" t="n">
        <f aca="false">Profit+Utility</f>
        <v>308.660962032473</v>
      </c>
      <c r="X7" s="5" t="n">
        <f aca="false">(2*ij*BRIJ)+2*jj*BRJJ</f>
        <v>668.673106044568</v>
      </c>
      <c r="Y7" s="5" t="n">
        <f aca="false">2*(ij*BCCIJ)+(2*jj*BCCJJ)+BCS+jj*BCPTJJ+2*(ij*BCPTIJ)+BCPTII+BCk</f>
        <v>482.27111703455</v>
      </c>
      <c r="Z7" s="5" t="n">
        <f aca="false">ij*BUTIJ+BUTII</f>
        <v>122.258973022455</v>
      </c>
      <c r="AA7" s="5" t="n">
        <f aca="false">Revenue-Cost</f>
        <v>186.401989010018</v>
      </c>
      <c r="AB7" s="5" t="n">
        <f aca="false">Size</f>
        <v>1</v>
      </c>
      <c r="AC7" s="6" t="n">
        <f aca="false">Welfare/(Size)</f>
        <v>308.660962032473</v>
      </c>
      <c r="AD7" s="6" t="n">
        <f aca="false">Profit/(Size)</f>
        <v>186.401989010018</v>
      </c>
      <c r="AE7" s="6" t="n">
        <f aca="false">Utility/(Size)</f>
        <v>122.258973022455</v>
      </c>
      <c r="AF7" s="2" t="n">
        <v>308.660962030988</v>
      </c>
    </row>
    <row r="8" customFormat="false" ht="13" hidden="false" customHeight="false" outlineLevel="0" collapsed="false">
      <c r="I8" s="2"/>
    </row>
    <row r="9" customFormat="false" ht="13" hidden="false" customHeight="false" outlineLevel="0" collapsed="false">
      <c r="A9" s="2" t="n">
        <v>0.08</v>
      </c>
      <c r="B9" s="2" t="n">
        <f aca="false">(I9+J9)*Beta*2</f>
        <v>2172.96552521004</v>
      </c>
      <c r="C9" s="7" t="n">
        <f aca="false">(W9+B9*Theta-'W-Tax(All-Tax)'!$T$5)/B9</f>
        <v>0.297170431969062</v>
      </c>
      <c r="D9" s="2" t="n">
        <v>0.653294561414047</v>
      </c>
      <c r="E9" s="2" t="n">
        <v>0</v>
      </c>
      <c r="F9" s="2" t="n">
        <v>10</v>
      </c>
      <c r="G9" s="2" t="n">
        <v>0</v>
      </c>
      <c r="H9" s="2" t="n">
        <f aca="false">Size-a</f>
        <v>10</v>
      </c>
      <c r="I9" s="4" t="n">
        <f aca="false">(EXP(alpha*(Tau+OldTau+zeta-2*a*psi))*((EXP(alpha*a*psi)-EXP(alpha*b*psi))^2))/((EXP(alpha*a*psi)-EXP(alpha*(2*OldTau+b*psi)))*(alpha^2)*(psi^2))</f>
        <v>5.25123322717094</v>
      </c>
      <c r="J9" s="4" t="n">
        <f aca="false">(EXP(alpha*(zeta+(2*b-a)*psi))*(-1+EXP(alpha*(-1)*Size*psi))*(EXP(alpha*(2*(Tau+OldTau)+a*psi))-EXP(alpha*(2*(Tau+OldTau)+b*psi))))/(((EXP(alpha*a*psi)-EXP(alpha*(2*OldTau+b*psi)))^2)*(alpha^2)*(psi^2))</f>
        <v>0.784782120634734</v>
      </c>
      <c r="K9" s="5" t="n">
        <f aca="false">-Beta/alpha</f>
        <v>180</v>
      </c>
      <c r="L9" s="5" t="n">
        <f aca="false">(-EXP(alpha*zeta)*Beta*(-1+EXP(alpha*Size*psi)-Size*alpha*psi))/((alpha^3)*(psi^2))</f>
        <v>1690.92462806846</v>
      </c>
      <c r="M9" s="5" t="n">
        <f aca="false">Beta*Theta</f>
        <v>14.4</v>
      </c>
      <c r="N9" s="5" t="n">
        <f aca="false">Beta*Theta</f>
        <v>14.4</v>
      </c>
      <c r="O9" s="5" t="n">
        <f aca="false">kappa</f>
        <v>90</v>
      </c>
      <c r="P9" s="5" t="n">
        <f aca="false">Gamma*Size</f>
        <v>0</v>
      </c>
      <c r="Q9" s="5" t="n">
        <f aca="false">Size*Beta*Phi</f>
        <v>32.4</v>
      </c>
      <c r="R9" s="5" t="n">
        <f aca="false">-(EXP(alpha*a*psi)+EXP(alpha*b*psi)*(-1+Size*psi*alpha))*(Beta*Phi)/((alpha*psi)*(EXP(alpha*a*psi)-EXP(alpha*b*psi)))</f>
        <v>12.2941718960407</v>
      </c>
      <c r="S9" s="5" t="n">
        <f aca="false">(EXP(alpha*(zeta-a*psi))*Beta*Phi*(-EXP(alpha*a*psi)*(-2+(-1)*Size*alpha*psi)+EXP(alpha*b*psi)*(-2+Size*alpha*psi)))/((alpha^3)*(psi^3))</f>
        <v>78.836375998096</v>
      </c>
      <c r="T9" s="5" t="n">
        <f aca="false">Tau*Beta</f>
        <v>117.593021054528</v>
      </c>
      <c r="U9" s="5" t="n">
        <f aca="false">Tau*Beta</f>
        <v>117.593021054528</v>
      </c>
      <c r="V9" s="6" t="n">
        <f aca="false">Tau</f>
        <v>0.653294561414047</v>
      </c>
      <c r="W9" s="5" t="n">
        <f aca="false">Profit+Utility</f>
        <v>3558.51348207362</v>
      </c>
      <c r="X9" s="5" t="n">
        <f aca="false">(2*ij*BRIJ)+2*jj*BRJJ</f>
        <v>1419.58655975994</v>
      </c>
      <c r="Y9" s="5" t="n">
        <f aca="false">2*(ij*BCCIJ)+(2*jj*BCCJJ)+BCS+jj*BCPTJJ+2*(ij*BCPTIJ)+BCPTII+BCk</f>
        <v>497.219686645544</v>
      </c>
      <c r="Z9" s="5" t="n">
        <f aca="false">ij*BUTIJ+BUTII</f>
        <v>2636.14660895923</v>
      </c>
      <c r="AA9" s="5" t="n">
        <f aca="false">Revenue-Cost</f>
        <v>922.366873114394</v>
      </c>
      <c r="AB9" s="5" t="n">
        <f aca="false">Size</f>
        <v>10</v>
      </c>
      <c r="AC9" s="6" t="n">
        <f aca="false">Welfare/(Size)</f>
        <v>355.851348207362</v>
      </c>
      <c r="AD9" s="6" t="n">
        <f aca="false">Profit/(Size)</f>
        <v>92.2366873114394</v>
      </c>
      <c r="AE9" s="6" t="n">
        <f aca="false">Utility/(Size)</f>
        <v>263.614660895923</v>
      </c>
      <c r="AF9" s="2" t="n">
        <v>308.660962030988</v>
      </c>
    </row>
    <row r="10" customFormat="false" ht="13" hidden="false" customHeight="false" outlineLevel="0" collapsed="false">
      <c r="A10" s="7" t="n">
        <f aca="false">C9</f>
        <v>0.297170431969062</v>
      </c>
      <c r="B10" s="2" t="n">
        <f aca="false">(I10+J10)*Beta*2</f>
        <v>1705.88175578734</v>
      </c>
      <c r="C10" s="7" t="n">
        <f aca="false">(W10+B10*Theta-'W-Tax(All-Tax)'!$T$5)/B10</f>
        <v>0.328197652364473</v>
      </c>
      <c r="D10" s="2" t="n">
        <v>0.869681591259472</v>
      </c>
      <c r="E10" s="2" t="n">
        <v>0</v>
      </c>
      <c r="F10" s="2" t="n">
        <v>10</v>
      </c>
      <c r="G10" s="2" t="n">
        <v>0</v>
      </c>
      <c r="H10" s="2" t="n">
        <f aca="false">Size-a</f>
        <v>10</v>
      </c>
      <c r="I10" s="4" t="n">
        <f aca="false">(EXP(alpha*(Tau+OldTau+zeta-2*a*psi))*((EXP(alpha*a*psi)-EXP(alpha*b*psi))^2))/((EXP(alpha*a*psi)-EXP(alpha*(2*OldTau+b*psi)))*(alpha^2)*(psi^2))</f>
        <v>4.22946674283169</v>
      </c>
      <c r="J10" s="4" t="n">
        <f aca="false">(EXP(alpha*(zeta+(2*b-a)*psi))*(-1+EXP(alpha*(-1)*Size*psi))*(EXP(alpha*(2*(Tau+OldTau)+a*psi))-EXP(alpha*(2*(Tau+OldTau)+b*psi))))/(((EXP(alpha*a*psi)-EXP(alpha*(2*OldTau+b*psi)))^2)*(alpha^2)*(psi^2))</f>
        <v>0.509093689910911</v>
      </c>
      <c r="K10" s="5" t="n">
        <f aca="false">-Beta/alpha</f>
        <v>180</v>
      </c>
      <c r="L10" s="5" t="n">
        <f aca="false">(-EXP(alpha*zeta)*Beta*(-1+EXP(alpha*Size*psi)-Size*alpha*psi))/((alpha^3)*(psi^2))</f>
        <v>1690.92462806846</v>
      </c>
      <c r="M10" s="5" t="n">
        <f aca="false">Beta*Theta</f>
        <v>53.4906777544312</v>
      </c>
      <c r="N10" s="5" t="n">
        <f aca="false">Beta*Theta</f>
        <v>53.4906777544312</v>
      </c>
      <c r="O10" s="5" t="n">
        <f aca="false">kappa</f>
        <v>90</v>
      </c>
      <c r="P10" s="5" t="n">
        <f aca="false">Gamma*Size</f>
        <v>0</v>
      </c>
      <c r="Q10" s="5" t="n">
        <f aca="false">Size*Beta*Phi</f>
        <v>32.4</v>
      </c>
      <c r="R10" s="5" t="n">
        <f aca="false">-(EXP(alpha*a*psi)+EXP(alpha*b*psi)*(-1+Size*psi*alpha))*(Beta*Phi)/((alpha*psi)*(EXP(alpha*a*psi)-EXP(alpha*b*psi)))</f>
        <v>12.2941718960407</v>
      </c>
      <c r="S10" s="5" t="n">
        <f aca="false">(EXP(alpha*(zeta-a*psi))*Beta*Phi*(-EXP(alpha*a*psi)*(-2+(-1)*Size*alpha*psi)+EXP(alpha*b*psi)*(-2+Size*alpha*psi)))/((alpha^3)*(psi^3))</f>
        <v>78.836375998096</v>
      </c>
      <c r="T10" s="5" t="n">
        <f aca="false">Tau*Beta</f>
        <v>156.542686426705</v>
      </c>
      <c r="U10" s="5" t="n">
        <f aca="false">Tau*Beta</f>
        <v>156.542686426705</v>
      </c>
      <c r="V10" s="6" t="n">
        <f aca="false">Tau</f>
        <v>0.869681591259472</v>
      </c>
      <c r="W10" s="5" t="n">
        <f aca="false">Profit+Utility</f>
        <v>3139.5383895152</v>
      </c>
      <c r="X10" s="5" t="n">
        <f aca="false">(2*ij*BRIJ)+2*jj*BRJJ</f>
        <v>1483.57395987363</v>
      </c>
      <c r="Y10" s="5" t="n">
        <f aca="false">2*(ij*BCCIJ)+(2*jj*BCCJJ)+BCS+jj*BCPTJJ+2*(ij*BCPTIJ)+BCPTII+BCk</f>
        <v>796.264212136594</v>
      </c>
      <c r="Z10" s="5" t="n">
        <f aca="false">ij*BUTIJ+BUTII</f>
        <v>2452.22864177816</v>
      </c>
      <c r="AA10" s="5" t="n">
        <f aca="false">Revenue-Cost</f>
        <v>687.309747737038</v>
      </c>
      <c r="AB10" s="5" t="n">
        <f aca="false">Size</f>
        <v>10</v>
      </c>
      <c r="AC10" s="6" t="n">
        <f aca="false">Welfare/(Size)</f>
        <v>313.95383895152</v>
      </c>
      <c r="AD10" s="6" t="n">
        <f aca="false">Profit/(Size)</f>
        <v>68.7309747737038</v>
      </c>
      <c r="AE10" s="6" t="n">
        <f aca="false">Utility/(Size)</f>
        <v>245.222864177816</v>
      </c>
      <c r="AF10" s="2" t="n">
        <v>308.660962030988</v>
      </c>
    </row>
    <row r="11" customFormat="false" ht="13" hidden="false" customHeight="false" outlineLevel="0" collapsed="false">
      <c r="A11" s="7" t="n">
        <f aca="false">C10</f>
        <v>0.328197652364473</v>
      </c>
      <c r="B11" s="2" t="n">
        <f aca="false">(I11+J11)*Beta*2</f>
        <v>1648.5268120798</v>
      </c>
      <c r="C11" s="7" t="n">
        <f aca="false">(W11+B11*Theta-'W-Tax(All-Tax)'!$T$5)/B11</f>
        <v>0.328740705191345</v>
      </c>
      <c r="D11" s="2" t="n">
        <v>0.90060487393148</v>
      </c>
      <c r="E11" s="2" t="n">
        <v>0</v>
      </c>
      <c r="F11" s="2" t="n">
        <v>10</v>
      </c>
      <c r="G11" s="2" t="n">
        <v>0</v>
      </c>
      <c r="H11" s="2" t="n">
        <f aca="false">Size-a</f>
        <v>10</v>
      </c>
      <c r="I11" s="4" t="n">
        <f aca="false">(EXP(alpha*(Tau+OldTau+zeta-2*a*psi))*((EXP(alpha*a*psi)-EXP(alpha*b*psi))^2))/((EXP(alpha*a*psi)-EXP(alpha*(2*OldTau+b*psi)))*(alpha^2)*(psi^2))</f>
        <v>4.10067927540264</v>
      </c>
      <c r="J11" s="4" t="n">
        <f aca="false">(EXP(alpha*(zeta+(2*b-a)*psi))*(-1+EXP(alpha*(-1)*Size*psi))*(EXP(alpha*(2*(Tau+OldTau)+a*psi))-EXP(alpha*(2*(Tau+OldTau)+b*psi))))/(((EXP(alpha*a*psi)-EXP(alpha*(2*OldTau+b*psi)))^2)*(alpha^2)*(psi^2))</f>
        <v>0.478561869263462</v>
      </c>
      <c r="K11" s="5" t="n">
        <f aca="false">-Beta/alpha</f>
        <v>180</v>
      </c>
      <c r="L11" s="5" t="n">
        <f aca="false">(-EXP(alpha*zeta)*Beta*(-1+EXP(alpha*Size*psi)-Size*alpha*psi))/((alpha^3)*(psi^2))</f>
        <v>1690.92462806846</v>
      </c>
      <c r="M11" s="5" t="n">
        <f aca="false">Beta*Theta</f>
        <v>59.0755774256051</v>
      </c>
      <c r="N11" s="5" t="n">
        <f aca="false">Beta*Theta</f>
        <v>59.0755774256051</v>
      </c>
      <c r="O11" s="5" t="n">
        <f aca="false">kappa</f>
        <v>90</v>
      </c>
      <c r="P11" s="5" t="n">
        <f aca="false">Gamma*Size</f>
        <v>0</v>
      </c>
      <c r="Q11" s="5" t="n">
        <f aca="false">Size*Beta*Phi</f>
        <v>32.4</v>
      </c>
      <c r="R11" s="5" t="n">
        <f aca="false">-(EXP(alpha*a*psi)+EXP(alpha*b*psi)*(-1+Size*psi*alpha))*(Beta*Phi)/((alpha*psi)*(EXP(alpha*a*psi)-EXP(alpha*b*psi)))</f>
        <v>12.2941718960407</v>
      </c>
      <c r="S11" s="5" t="n">
        <f aca="false">(EXP(alpha*(zeta-a*psi))*Beta*Phi*(-EXP(alpha*a*psi)*(-2+(-1)*Size*alpha*psi)+EXP(alpha*b*psi)*(-2+Size*alpha*psi)))/((alpha^3)*(psi^3))</f>
        <v>78.836375998096</v>
      </c>
      <c r="T11" s="5" t="n">
        <f aca="false">Tau*Beta</f>
        <v>162.108877307666</v>
      </c>
      <c r="U11" s="5" t="n">
        <f aca="false">Tau*Beta</f>
        <v>162.108877307666</v>
      </c>
      <c r="V11" s="6" t="n">
        <f aca="false">Tau</f>
        <v>0.90060487393148</v>
      </c>
      <c r="W11" s="5" t="n">
        <f aca="false">Profit+Utility</f>
        <v>3087.50485745535</v>
      </c>
      <c r="X11" s="5" t="n">
        <f aca="false">(2*ij*BRIJ)+2*jj*BRJJ</f>
        <v>1484.67128176579</v>
      </c>
      <c r="Y11" s="5" t="n">
        <f aca="false">2*(ij*BCCIJ)+(2*jj*BCCJJ)+BCS+jj*BCPTJJ+2*(ij*BCPTIJ)+BCPTII+BCk</f>
        <v>826.213321951373</v>
      </c>
      <c r="Z11" s="5" t="n">
        <f aca="false">ij*BUTIJ+BUTII</f>
        <v>2429.04689764093</v>
      </c>
      <c r="AA11" s="5" t="n">
        <f aca="false">Revenue-Cost</f>
        <v>658.457959814417</v>
      </c>
      <c r="AB11" s="5" t="n">
        <f aca="false">Size</f>
        <v>10</v>
      </c>
      <c r="AC11" s="6" t="n">
        <f aca="false">Welfare/(Size)</f>
        <v>308.750485745535</v>
      </c>
      <c r="AD11" s="6" t="n">
        <f aca="false">Profit/(Size)</f>
        <v>65.8457959814417</v>
      </c>
      <c r="AE11" s="6" t="n">
        <f aca="false">Utility/(Size)</f>
        <v>242.904689764093</v>
      </c>
      <c r="AF11" s="2" t="n">
        <v>308.660962030988</v>
      </c>
    </row>
    <row r="12" customFormat="false" ht="13" hidden="false" customHeight="false" outlineLevel="0" collapsed="false">
      <c r="A12" s="7" t="n">
        <f aca="false">C11</f>
        <v>0.328740705191345</v>
      </c>
      <c r="B12" s="2" t="n">
        <f aca="false">(I12+J12)*Beta*2</f>
        <v>1647.54161397975</v>
      </c>
      <c r="C12" s="7" t="n">
        <f aca="false">(W12+B12*Theta-'W-Tax(All-Tax)'!$T$5)/B12</f>
        <v>0.328740867574328</v>
      </c>
      <c r="D12" s="2" t="n">
        <v>0.90114612518566</v>
      </c>
      <c r="E12" s="2" t="n">
        <v>0</v>
      </c>
      <c r="F12" s="2" t="n">
        <v>10</v>
      </c>
      <c r="G12" s="2" t="n">
        <v>0</v>
      </c>
      <c r="H12" s="2" t="n">
        <f aca="false">Size-a</f>
        <v>10</v>
      </c>
      <c r="I12" s="4" t="n">
        <f aca="false">(EXP(alpha*(Tau+OldTau+zeta-2*a*psi))*((EXP(alpha*a*psi)-EXP(alpha*b*psi))^2))/((EXP(alpha*a*psi)-EXP(alpha*(2*OldTau+b*psi)))*(alpha^2)*(psi^2))</f>
        <v>4.09846037814647</v>
      </c>
      <c r="J12" s="4" t="n">
        <f aca="false">(EXP(alpha*(zeta+(2*b-a)*psi))*(-1+EXP(alpha*(-1)*Size*psi))*(EXP(alpha*(2*(Tau+OldTau)+a*psi))-EXP(alpha*(2*(Tau+OldTau)+b*psi))))/(((EXP(alpha*a*psi)-EXP(alpha*(2*OldTau+b*psi)))^2)*(alpha^2)*(psi^2))</f>
        <v>0.478044105130625</v>
      </c>
      <c r="K12" s="5" t="n">
        <f aca="false">-Beta/alpha</f>
        <v>180</v>
      </c>
      <c r="L12" s="5" t="n">
        <f aca="false">(-EXP(alpha*zeta)*Beta*(-1+EXP(alpha*Size*psi)-Size*alpha*psi))/((alpha^3)*(psi^2))</f>
        <v>1690.92462806846</v>
      </c>
      <c r="M12" s="5" t="n">
        <f aca="false">Beta*Theta</f>
        <v>59.1733269344421</v>
      </c>
      <c r="N12" s="5" t="n">
        <f aca="false">Beta*Theta</f>
        <v>59.1733269344421</v>
      </c>
      <c r="O12" s="5" t="n">
        <f aca="false">kappa</f>
        <v>90</v>
      </c>
      <c r="P12" s="5" t="n">
        <f aca="false">Gamma*Size</f>
        <v>0</v>
      </c>
      <c r="Q12" s="5" t="n">
        <f aca="false">Size*Beta*Phi</f>
        <v>32.4</v>
      </c>
      <c r="R12" s="5" t="n">
        <f aca="false">-(EXP(alpha*a*psi)+EXP(alpha*b*psi)*(-1+Size*psi*alpha))*(Beta*Phi)/((alpha*psi)*(EXP(alpha*a*psi)-EXP(alpha*b*psi)))</f>
        <v>12.2941718960407</v>
      </c>
      <c r="S12" s="5" t="n">
        <f aca="false">(EXP(alpha*(zeta-a*psi))*Beta*Phi*(-EXP(alpha*a*psi)*(-2+(-1)*Size*alpha*psi)+EXP(alpha*b*psi)*(-2+Size*alpha*psi)))/((alpha^3)*(psi^3))</f>
        <v>78.836375998096</v>
      </c>
      <c r="T12" s="5" t="n">
        <f aca="false">Tau*Beta</f>
        <v>162.206302533419</v>
      </c>
      <c r="U12" s="5" t="n">
        <f aca="false">Tau*Beta</f>
        <v>162.206302533419</v>
      </c>
      <c r="V12" s="6" t="n">
        <f aca="false">Tau</f>
        <v>0.90114612518566</v>
      </c>
      <c r="W12" s="5" t="n">
        <f aca="false">Profit+Utility</f>
        <v>3086.6098878426</v>
      </c>
      <c r="X12" s="5" t="n">
        <f aca="false">(2*ij*BRIJ)+2*jj*BRJJ</f>
        <v>1484.67574151998</v>
      </c>
      <c r="Y12" s="5" t="n">
        <f aca="false">2*(ij*BCCIJ)+(2*jj*BCCJJ)+BCS+jj*BCPTJJ+2*(ij*BCPTIJ)+BCPTII+BCk</f>
        <v>826.713349812208</v>
      </c>
      <c r="Z12" s="5" t="n">
        <f aca="false">ij*BUTIJ+BUTII</f>
        <v>2428.64749613482</v>
      </c>
      <c r="AA12" s="5" t="n">
        <f aca="false">Revenue-Cost</f>
        <v>657.962391707775</v>
      </c>
      <c r="AB12" s="5" t="n">
        <f aca="false">Size</f>
        <v>10</v>
      </c>
      <c r="AC12" s="6" t="n">
        <f aca="false">Welfare/(Size)</f>
        <v>308.66098878426</v>
      </c>
      <c r="AD12" s="6" t="n">
        <f aca="false">Profit/(Size)</f>
        <v>65.7962391707775</v>
      </c>
      <c r="AE12" s="6" t="n">
        <f aca="false">Utility/(Size)</f>
        <v>242.864749613482</v>
      </c>
      <c r="AF12" s="2" t="n">
        <v>308.660962030988</v>
      </c>
    </row>
    <row r="13" customFormat="false" ht="13" hidden="false" customHeight="false" outlineLevel="0" collapsed="false">
      <c r="I13" s="2"/>
    </row>
    <row r="14" customFormat="false" ht="13" hidden="false" customHeight="false" outlineLevel="0" collapsed="false">
      <c r="A14" s="2" t="n">
        <v>0.08</v>
      </c>
      <c r="B14" s="2" t="n">
        <f aca="false">(I14+J14)*Beta*2</f>
        <v>2322.01141691782</v>
      </c>
      <c r="C14" s="7" t="n">
        <f aca="false">(W14+B14*Theta-'W-Tax(All-Tax)'!$T$8)/B14</f>
        <v>0.27605071613227</v>
      </c>
      <c r="D14" s="2" t="n">
        <v>0.700154768110318</v>
      </c>
      <c r="E14" s="2" t="n">
        <v>0</v>
      </c>
      <c r="F14" s="2" t="n">
        <v>100</v>
      </c>
      <c r="G14" s="2" t="n">
        <v>0</v>
      </c>
      <c r="H14" s="2" t="n">
        <f aca="false">Size-a</f>
        <v>100</v>
      </c>
      <c r="I14" s="4" t="n">
        <f aca="false">(EXP(alpha*(Tau+OldTau+zeta-2*a*psi))*((EXP(alpha*a*psi)-EXP(alpha*b*psi))^2))/((EXP(alpha*a*psi)-EXP(alpha*(2*OldTau+b*psi)))*(alpha^2)*(psi^2))</f>
        <v>6.45003073400973</v>
      </c>
      <c r="J14" s="4" t="n">
        <f aca="false">(EXP(alpha*(zeta+(2*b-a)*psi))*(-1+EXP(alpha*(-1)*Size*psi))*(EXP(alpha*(2*(Tau+OldTau)+a*psi))-EXP(alpha*(2*(Tau+OldTau)+b*psi))))/(((EXP(alpha*a*psi)-EXP(alpha*(2*OldTau+b*psi)))^2)*(alpha^2)*(psi^2))</f>
        <v>9.79650887054629E-007</v>
      </c>
      <c r="K14" s="5" t="n">
        <f aca="false">-Beta/alpha</f>
        <v>180</v>
      </c>
      <c r="L14" s="5" t="n">
        <f aca="false">(-EXP(alpha*zeta)*Beta*(-1+EXP(alpha*Size*psi)-Size*alpha*psi))/((alpha^3)*(psi^2))</f>
        <v>32736.7694155601</v>
      </c>
      <c r="M14" s="5" t="n">
        <f aca="false">Beta*Theta</f>
        <v>14.4</v>
      </c>
      <c r="N14" s="5" t="n">
        <f aca="false">Beta*Theta</f>
        <v>14.4</v>
      </c>
      <c r="O14" s="5" t="n">
        <f aca="false">kappa</f>
        <v>90</v>
      </c>
      <c r="P14" s="5" t="n">
        <f aca="false">Gamma*Size</f>
        <v>0</v>
      </c>
      <c r="Q14" s="5" t="n">
        <f aca="false">Size*Beta*Phi</f>
        <v>324</v>
      </c>
      <c r="R14" s="5" t="n">
        <f aca="false">-(EXP(alpha*a*psi)+EXP(alpha*b*psi)*(-1+Size*psi*alpha))*(Beta*Phi)/((alpha*psi)*(EXP(alpha*a*psi)-EXP(alpha*b*psi)))</f>
        <v>21.5999008876178</v>
      </c>
      <c r="S14" s="5" t="n">
        <f aca="false">(EXP(alpha*(zeta-a*psi))*Beta*Phi*(-EXP(alpha*a*psi)*(-2+(-1)*Size*alpha*psi)+EXP(alpha*b*psi)*(-2+Size*alpha*psi)))/((alpha^3)*(psi^3))</f>
        <v>3647.81282867692</v>
      </c>
      <c r="T14" s="5" t="n">
        <f aca="false">Tau*Beta</f>
        <v>126.027858259857</v>
      </c>
      <c r="U14" s="5" t="n">
        <f aca="false">Tau*Beta</f>
        <v>126.027858259857</v>
      </c>
      <c r="V14" s="6" t="n">
        <f aca="false">Tau</f>
        <v>0.700154768110318</v>
      </c>
      <c r="W14" s="5" t="n">
        <f aca="false">Profit+Utility</f>
        <v>31321.3282042528</v>
      </c>
      <c r="X14" s="5" t="n">
        <f aca="false">(2*ij*BRIJ)+2*jj*BRJJ</f>
        <v>1625.76736516161</v>
      </c>
      <c r="Y14" s="5" t="n">
        <f aca="false">2*(ij*BCCIJ)+(2*jj*BCCJJ)+BCS+jj*BCPTJJ+2*(ij*BCPTIJ)+BCPTII+BCk</f>
        <v>4202.21410859063</v>
      </c>
      <c r="Z14" s="5" t="n">
        <f aca="false">ij*BUTIJ+BUTII</f>
        <v>33897.7749476818</v>
      </c>
      <c r="AA14" s="5" t="n">
        <f aca="false">Revenue-Cost</f>
        <v>-2576.44674342903</v>
      </c>
      <c r="AB14" s="5" t="n">
        <f aca="false">Size</f>
        <v>100</v>
      </c>
      <c r="AC14" s="6" t="n">
        <f aca="false">Welfare/(Size)</f>
        <v>313.213282042528</v>
      </c>
      <c r="AD14" s="6" t="n">
        <f aca="false">Profit/(Size)</f>
        <v>-25.7644674342903</v>
      </c>
      <c r="AE14" s="6" t="n">
        <f aca="false">Utility/(Size)</f>
        <v>338.977749476818</v>
      </c>
      <c r="AF14" s="2" t="n">
        <v>308.660962030988</v>
      </c>
    </row>
    <row r="15" customFormat="false" ht="13" hidden="false" customHeight="false" outlineLevel="0" collapsed="false">
      <c r="A15" s="7" t="n">
        <f aca="false">C14</f>
        <v>0.27605071613227</v>
      </c>
      <c r="B15" s="2" t="n">
        <f aca="false">(I15+J15)*Beta*2</f>
        <v>1908.9208884565</v>
      </c>
      <c r="C15" s="7" t="n">
        <f aca="false">(W15+B15*Theta-'W-Tax(All-Tax)'!$T$8)/B15</f>
        <v>0.29793820704064</v>
      </c>
      <c r="D15" s="2" t="n">
        <v>0.896050438668661</v>
      </c>
      <c r="E15" s="2" t="n">
        <v>0</v>
      </c>
      <c r="F15" s="2" t="n">
        <v>100</v>
      </c>
      <c r="G15" s="2" t="n">
        <v>0</v>
      </c>
      <c r="H15" s="2" t="n">
        <f aca="false">Size-a</f>
        <v>100</v>
      </c>
      <c r="I15" s="4" t="n">
        <f aca="false">(EXP(alpha*(Tau+OldTau+zeta-2*a*psi))*((EXP(alpha*a*psi)-EXP(alpha*b*psi))^2))/((EXP(alpha*a*psi)-EXP(alpha*(2*OldTau+b*psi)))*(alpha^2)*(psi^2))</f>
        <v>5.302557361398</v>
      </c>
      <c r="J15" s="4" t="n">
        <f aca="false">(EXP(alpha*(zeta+(2*b-a)*psi))*(-1+EXP(alpha*(-1)*Size*psi))*(EXP(alpha*(2*(Tau+OldTau)+a*psi))-EXP(alpha*(2*(Tau+OldTau)+b*psi))))/(((EXP(alpha*a*psi)-EXP(alpha*(2*OldTau+b*psi)))^2)*(alpha^2)*(psi^2))</f>
        <v>6.62092271649784E-007</v>
      </c>
      <c r="K15" s="5" t="n">
        <f aca="false">-Beta/alpha</f>
        <v>180</v>
      </c>
      <c r="L15" s="5" t="n">
        <f aca="false">(-EXP(alpha*zeta)*Beta*(-1+EXP(alpha*Size*psi)-Size*alpha*psi))/((alpha^3)*(psi^2))</f>
        <v>32736.7694155601</v>
      </c>
      <c r="M15" s="5" t="n">
        <f aca="false">Beta*Theta</f>
        <v>49.6891289038086</v>
      </c>
      <c r="N15" s="5" t="n">
        <f aca="false">Beta*Theta</f>
        <v>49.6891289038086</v>
      </c>
      <c r="O15" s="5" t="n">
        <f aca="false">kappa</f>
        <v>90</v>
      </c>
      <c r="P15" s="5" t="n">
        <f aca="false">Gamma*Size</f>
        <v>0</v>
      </c>
      <c r="Q15" s="5" t="n">
        <f aca="false">Size*Beta*Phi</f>
        <v>324</v>
      </c>
      <c r="R15" s="5" t="n">
        <f aca="false">-(EXP(alpha*a*psi)+EXP(alpha*b*psi)*(-1+Size*psi*alpha))*(Beta*Phi)/((alpha*psi)*(EXP(alpha*a*psi)-EXP(alpha*b*psi)))</f>
        <v>21.5999008876178</v>
      </c>
      <c r="S15" s="5" t="n">
        <f aca="false">(EXP(alpha*(zeta-a*psi))*Beta*Phi*(-EXP(alpha*a*psi)*(-2+(-1)*Size*alpha*psi)+EXP(alpha*b*psi)*(-2+Size*alpha*psi)))/((alpha^3)*(psi^3))</f>
        <v>3647.81282867692</v>
      </c>
      <c r="T15" s="5" t="n">
        <f aca="false">Tau*Beta</f>
        <v>161.289078960359</v>
      </c>
      <c r="U15" s="5" t="n">
        <f aca="false">Tau*Beta</f>
        <v>161.289078960359</v>
      </c>
      <c r="V15" s="6" t="n">
        <f aca="false">Tau</f>
        <v>0.896050438668661</v>
      </c>
      <c r="W15" s="5" t="n">
        <f aca="false">Profit+Utility</f>
        <v>30907.8776916896</v>
      </c>
      <c r="X15" s="5" t="n">
        <f aca="false">(2*ij*BRIJ)+2*jj*BRJJ</f>
        <v>1710.48939948522</v>
      </c>
      <c r="Y15" s="5" t="n">
        <f aca="false">2*(ij*BCCIJ)+(2*jj*BCCJJ)+BCS+jj*BCPTJJ+2*(ij*BCPTIJ)+BCPTII+BCk</f>
        <v>4493.8414484073</v>
      </c>
      <c r="Z15" s="5" t="n">
        <f aca="false">ij*BUTIJ+BUTII</f>
        <v>33691.2297406117</v>
      </c>
      <c r="AA15" s="5" t="n">
        <f aca="false">Revenue-Cost</f>
        <v>-2783.35204892208</v>
      </c>
      <c r="AB15" s="5" t="n">
        <f aca="false">Size</f>
        <v>100</v>
      </c>
      <c r="AC15" s="6" t="n">
        <f aca="false">Welfare/(Size)</f>
        <v>309.078776916896</v>
      </c>
      <c r="AD15" s="6" t="n">
        <f aca="false">Profit/(Size)</f>
        <v>-27.8335204892208</v>
      </c>
      <c r="AE15" s="6" t="n">
        <f aca="false">Utility/(Size)</f>
        <v>336.912297406117</v>
      </c>
      <c r="AF15" s="2" t="n">
        <v>308.660962030988</v>
      </c>
    </row>
    <row r="16" customFormat="false" ht="13" hidden="false" customHeight="false" outlineLevel="0" collapsed="false">
      <c r="A16" s="7" t="n">
        <f aca="false">C15</f>
        <v>0.29793820704064</v>
      </c>
      <c r="B16" s="2" t="n">
        <f aca="false">(I16+J16)*Beta*2</f>
        <v>1867.32629604701</v>
      </c>
      <c r="C16" s="7" t="n">
        <f aca="false">(W16+B16*Theta-'W-Tax(All-Tax)'!$T$8)/B16</f>
        <v>0.298181284953329</v>
      </c>
      <c r="D16" s="2" t="n">
        <v>0.918080918945688</v>
      </c>
      <c r="E16" s="2" t="n">
        <v>0</v>
      </c>
      <c r="F16" s="2" t="n">
        <v>100</v>
      </c>
      <c r="G16" s="2" t="n">
        <v>0</v>
      </c>
      <c r="H16" s="2" t="n">
        <f aca="false">Size-a</f>
        <v>100</v>
      </c>
      <c r="I16" s="4" t="n">
        <f aca="false">(EXP(alpha*(Tau+OldTau+zeta-2*a*psi))*((EXP(alpha*a*psi)-EXP(alpha*b*psi))^2))/((EXP(alpha*a*psi)-EXP(alpha*(2*OldTau+b*psi)))*(alpha^2)*(psi^2))</f>
        <v>5.18701685546629</v>
      </c>
      <c r="J16" s="4" t="n">
        <f aca="false">(EXP(alpha*(zeta+(2*b-a)*psi))*(-1+EXP(alpha*(-1)*Size*psi))*(EXP(alpha*(2*(Tau+OldTau)+a*psi))-EXP(alpha*(2*(Tau+OldTau)+b*psi))))/(((EXP(alpha*a*psi)-EXP(alpha*(2*OldTau+b*psi)))^2)*(alpha^2)*(psi^2))</f>
        <v>6.33553196636464E-007</v>
      </c>
      <c r="K16" s="5" t="n">
        <f aca="false">-Beta/alpha</f>
        <v>180</v>
      </c>
      <c r="L16" s="5" t="n">
        <f aca="false">(-EXP(alpha*zeta)*Beta*(-1+EXP(alpha*Size*psi)-Size*alpha*psi))/((alpha^3)*(psi^2))</f>
        <v>32736.7694155601</v>
      </c>
      <c r="M16" s="5" t="n">
        <f aca="false">Beta*Theta</f>
        <v>53.6288772673152</v>
      </c>
      <c r="N16" s="5" t="n">
        <f aca="false">Beta*Theta</f>
        <v>53.6288772673152</v>
      </c>
      <c r="O16" s="5" t="n">
        <f aca="false">kappa</f>
        <v>90</v>
      </c>
      <c r="P16" s="5" t="n">
        <f aca="false">Gamma*Size</f>
        <v>0</v>
      </c>
      <c r="Q16" s="5" t="n">
        <f aca="false">Size*Beta*Phi</f>
        <v>324</v>
      </c>
      <c r="R16" s="5" t="n">
        <f aca="false">-(EXP(alpha*a*psi)+EXP(alpha*b*psi)*(-1+Size*psi*alpha))*(Beta*Phi)/((alpha*psi)*(EXP(alpha*a*psi)-EXP(alpha*b*psi)))</f>
        <v>21.5999008876178</v>
      </c>
      <c r="S16" s="5" t="n">
        <f aca="false">(EXP(alpha*(zeta-a*psi))*Beta*Phi*(-EXP(alpha*a*psi)*(-2+(-1)*Size*alpha*psi)+EXP(alpha*b*psi)*(-2+Size*alpha*psi)))/((alpha^3)*(psi^3))</f>
        <v>3647.81282867692</v>
      </c>
      <c r="T16" s="5" t="n">
        <f aca="false">Tau*Beta</f>
        <v>165.254565410224</v>
      </c>
      <c r="U16" s="5" t="n">
        <f aca="false">Tau*Beta</f>
        <v>165.254565410224</v>
      </c>
      <c r="V16" s="6" t="n">
        <f aca="false">Tau</f>
        <v>0.918080918945688</v>
      </c>
      <c r="W16" s="5" t="n">
        <f aca="false">Profit+Utility</f>
        <v>30866.5501088771</v>
      </c>
      <c r="X16" s="5" t="n">
        <f aca="false">(2*ij*BRIJ)+2*jj*BRJJ</f>
        <v>1714.35664184629</v>
      </c>
      <c r="Y16" s="5" t="n">
        <f aca="false">2*(ij*BCCIJ)+(2*jj*BCCJJ)+BCS+jj*BCPTJJ+2*(ij*BCPTIJ)+BCPTII+BCk</f>
        <v>4518.2389825132</v>
      </c>
      <c r="Z16" s="5" t="n">
        <f aca="false">ij*BUTIJ+BUTII</f>
        <v>33670.432449544</v>
      </c>
      <c r="AA16" s="5" t="n">
        <f aca="false">Revenue-Cost</f>
        <v>-2803.8823406669</v>
      </c>
      <c r="AB16" s="5" t="n">
        <f aca="false">Size</f>
        <v>100</v>
      </c>
      <c r="AC16" s="6" t="n">
        <f aca="false">Welfare/(Size)</f>
        <v>308.665501088771</v>
      </c>
      <c r="AD16" s="6" t="n">
        <f aca="false">Profit/(Size)</f>
        <v>-28.038823406669</v>
      </c>
      <c r="AE16" s="6" t="n">
        <f aca="false">Utility/(Size)</f>
        <v>336.70432449544</v>
      </c>
      <c r="AF16" s="2" t="n">
        <v>308.660962030988</v>
      </c>
    </row>
    <row r="17" customFormat="false" ht="13" hidden="false" customHeight="false" outlineLevel="0" collapsed="false">
      <c r="A17" s="7" t="n">
        <f aca="false">C16</f>
        <v>0.298181284953329</v>
      </c>
      <c r="B17" s="2" t="n">
        <f aca="false">(I17+J17)*Beta*2</f>
        <v>1866.87820148878</v>
      </c>
      <c r="C17" s="7" t="n">
        <f aca="false">(W17+B17*Theta-'W-Tax(All-Tax)'!$T$8)/B17</f>
        <v>0.298181280156074</v>
      </c>
      <c r="D17" s="2" t="n">
        <v>0.91832091357156</v>
      </c>
      <c r="E17" s="2" t="n">
        <v>0</v>
      </c>
      <c r="F17" s="2" t="n">
        <v>100</v>
      </c>
      <c r="G17" s="2" t="n">
        <v>0</v>
      </c>
      <c r="H17" s="2" t="n">
        <f aca="false">Size-a</f>
        <v>100</v>
      </c>
      <c r="I17" s="4" t="n">
        <f aca="false">(EXP(alpha*(Tau+OldTau+zeta-2*a*psi))*((EXP(alpha*a*psi)-EXP(alpha*b*psi))^2))/((EXP(alpha*a*psi)-EXP(alpha*(2*OldTau+b*psi)))*(alpha^2)*(psi^2))</f>
        <v>5.18577214866412</v>
      </c>
      <c r="J17" s="4" t="n">
        <f aca="false">(EXP(alpha*(zeta+(2*b-a)*psi))*(-1+EXP(alpha*(-1)*Size*psi))*(EXP(alpha*(2*(Tau+OldTau)+a*psi))-EXP(alpha*(2*(Tau+OldTau)+b*psi))))/(((EXP(alpha*a*psi)-EXP(alpha*(2*OldTau+b*psi)))^2)*(alpha^2)*(psi^2))</f>
        <v>6.33249170882056E-007</v>
      </c>
      <c r="K17" s="5" t="n">
        <f aca="false">-Beta/alpha</f>
        <v>180</v>
      </c>
      <c r="L17" s="5" t="n">
        <f aca="false">(-EXP(alpha*zeta)*Beta*(-1+EXP(alpha*Size*psi)-Size*alpha*psi))/((alpha^3)*(psi^2))</f>
        <v>32736.7694155601</v>
      </c>
      <c r="M17" s="5" t="n">
        <f aca="false">Beta*Theta</f>
        <v>53.6726312915992</v>
      </c>
      <c r="N17" s="5" t="n">
        <f aca="false">Beta*Theta</f>
        <v>53.6726312915992</v>
      </c>
      <c r="O17" s="5" t="n">
        <f aca="false">kappa</f>
        <v>90</v>
      </c>
      <c r="P17" s="5" t="n">
        <f aca="false">Gamma*Size</f>
        <v>0</v>
      </c>
      <c r="Q17" s="5" t="n">
        <f aca="false">Size*Beta*Phi</f>
        <v>324</v>
      </c>
      <c r="R17" s="5" t="n">
        <f aca="false">-(EXP(alpha*a*psi)+EXP(alpha*b*psi)*(-1+Size*psi*alpha))*(Beta*Phi)/((alpha*psi)*(EXP(alpha*a*psi)-EXP(alpha*b*psi)))</f>
        <v>21.5999008876178</v>
      </c>
      <c r="S17" s="5" t="n">
        <f aca="false">(EXP(alpha*(zeta-a*psi))*Beta*Phi*(-EXP(alpha*a*psi)*(-2+(-1)*Size*alpha*psi)+EXP(alpha*b*psi)*(-2+Size*alpha*psi)))/((alpha^3)*(psi^3))</f>
        <v>3647.81282867692</v>
      </c>
      <c r="T17" s="5" t="n">
        <f aca="false">Tau*Beta</f>
        <v>165.297764442881</v>
      </c>
      <c r="U17" s="5" t="n">
        <f aca="false">Tau*Beta</f>
        <v>165.297764442881</v>
      </c>
      <c r="V17" s="6" t="n">
        <f aca="false">Tau</f>
        <v>0.91832091357156</v>
      </c>
      <c r="W17" s="5" t="n">
        <f aca="false">Profit+Utility</f>
        <v>30866.0961941429</v>
      </c>
      <c r="X17" s="5" t="n">
        <f aca="false">(2*ij*BRIJ)+2*jj*BRJJ</f>
        <v>1714.39329551801</v>
      </c>
      <c r="Y17" s="5" t="n">
        <f aca="false">2*(ij*BCCIJ)+(2*jj*BCCJJ)+BCS+jj*BCPTJJ+2*(ij*BCPTIJ)+BCPTII+BCk</f>
        <v>4518.50550369477</v>
      </c>
      <c r="Z17" s="5" t="n">
        <f aca="false">ij*BUTIJ+BUTII</f>
        <v>33670.2084023196</v>
      </c>
      <c r="AA17" s="5" t="n">
        <f aca="false">Revenue-Cost</f>
        <v>-2804.11220817676</v>
      </c>
      <c r="AB17" s="5" t="n">
        <f aca="false">Size</f>
        <v>100</v>
      </c>
      <c r="AC17" s="6" t="n">
        <f aca="false">Welfare/(Size)</f>
        <v>308.660961941429</v>
      </c>
      <c r="AD17" s="6" t="n">
        <f aca="false">Profit/(Size)</f>
        <v>-28.0411220817676</v>
      </c>
      <c r="AE17" s="6" t="n">
        <f aca="false">Utility/(Size)</f>
        <v>336.702084023196</v>
      </c>
      <c r="AF17" s="2" t="n">
        <v>308.660962030988</v>
      </c>
    </row>
    <row r="18" customFormat="false" ht="13" hidden="false" customHeight="false" outlineLevel="0" collapsed="false">
      <c r="A18" s="7" t="n">
        <f aca="false">C17</f>
        <v>0.298181280156074</v>
      </c>
      <c r="B18" s="2" t="n">
        <f aca="false">(I18+J18)*Beta*2</f>
        <v>1866.87820148878</v>
      </c>
      <c r="C18" s="7" t="n">
        <f aca="false">(W18+B18*Theta-'W-Tax(All-Tax)'!$T$8)/B18</f>
        <v>0.298181280156074</v>
      </c>
      <c r="D18" s="2" t="n">
        <v>0.91832091357156</v>
      </c>
      <c r="E18" s="2" t="n">
        <v>0</v>
      </c>
      <c r="F18" s="2" t="n">
        <v>100</v>
      </c>
      <c r="G18" s="2" t="n">
        <v>0</v>
      </c>
      <c r="H18" s="2" t="n">
        <f aca="false">Size-a</f>
        <v>100</v>
      </c>
      <c r="I18" s="4" t="n">
        <f aca="false">(EXP(alpha*(Tau+OldTau+zeta-2*a*psi))*((EXP(alpha*a*psi)-EXP(alpha*b*psi))^2))/((EXP(alpha*a*psi)-EXP(alpha*(2*OldTau+b*psi)))*(alpha^2)*(psi^2))</f>
        <v>5.18577214866412</v>
      </c>
      <c r="J18" s="4" t="n">
        <f aca="false">(EXP(alpha*(zeta+(2*b-a)*psi))*(-1+EXP(alpha*(-1)*Size*psi))*(EXP(alpha*(2*(Tau+OldTau)+a*psi))-EXP(alpha*(2*(Tau+OldTau)+b*psi))))/(((EXP(alpha*a*psi)-EXP(alpha*(2*OldTau+b*psi)))^2)*(alpha^2)*(psi^2))</f>
        <v>6.33249170882056E-007</v>
      </c>
      <c r="K18" s="5" t="n">
        <f aca="false">-Beta/alpha</f>
        <v>180</v>
      </c>
      <c r="L18" s="5" t="n">
        <f aca="false">(-EXP(alpha*zeta)*Beta*(-1+EXP(alpha*Size*psi)-Size*alpha*psi))/((alpha^3)*(psi^2))</f>
        <v>32736.7694155601</v>
      </c>
      <c r="M18" s="5" t="n">
        <f aca="false">Beta*Theta</f>
        <v>53.6726304280934</v>
      </c>
      <c r="N18" s="5" t="n">
        <f aca="false">Beta*Theta</f>
        <v>53.6726304280934</v>
      </c>
      <c r="O18" s="5" t="n">
        <f aca="false">kappa</f>
        <v>90</v>
      </c>
      <c r="P18" s="5" t="n">
        <f aca="false">Gamma*Size</f>
        <v>0</v>
      </c>
      <c r="Q18" s="5" t="n">
        <f aca="false">Size*Beta*Phi</f>
        <v>324</v>
      </c>
      <c r="R18" s="5" t="n">
        <f aca="false">-(EXP(alpha*a*psi)+EXP(alpha*b*psi)*(-1+Size*psi*alpha))*(Beta*Phi)/((alpha*psi)*(EXP(alpha*a*psi)-EXP(alpha*b*psi)))</f>
        <v>21.5999008876178</v>
      </c>
      <c r="S18" s="5" t="n">
        <f aca="false">(EXP(alpha*(zeta-a*psi))*Beta*Phi*(-EXP(alpha*a*psi)*(-2+(-1)*Size*alpha*psi)+EXP(alpha*b*psi)*(-2+Size*alpha*psi)))/((alpha^3)*(psi^3))</f>
        <v>3647.81282867692</v>
      </c>
      <c r="T18" s="5" t="n">
        <f aca="false">Tau*Beta</f>
        <v>165.297764442881</v>
      </c>
      <c r="U18" s="5" t="n">
        <f aca="false">Tau*Beta</f>
        <v>165.297764442881</v>
      </c>
      <c r="V18" s="6" t="n">
        <f aca="false">Tau</f>
        <v>0.91832091357156</v>
      </c>
      <c r="W18" s="5" t="n">
        <f aca="false">Profit+Utility</f>
        <v>30866.0962030988</v>
      </c>
      <c r="X18" s="5" t="n">
        <f aca="false">(2*ij*BRIJ)+2*jj*BRJJ</f>
        <v>1714.39329551801</v>
      </c>
      <c r="Y18" s="5" t="n">
        <f aca="false">2*(ij*BCCIJ)+(2*jj*BCCJJ)+BCS+jj*BCPTJJ+2*(ij*BCPTIJ)+BCPTII+BCk</f>
        <v>4518.50549473888</v>
      </c>
      <c r="Z18" s="5" t="n">
        <f aca="false">ij*BUTIJ+BUTII</f>
        <v>33670.2084023196</v>
      </c>
      <c r="AA18" s="5" t="n">
        <f aca="false">Revenue-Cost</f>
        <v>-2804.11219922087</v>
      </c>
      <c r="AB18" s="5" t="n">
        <f aca="false">Size</f>
        <v>100</v>
      </c>
      <c r="AC18" s="6" t="n">
        <f aca="false">Welfare/(Size)</f>
        <v>308.660962030988</v>
      </c>
      <c r="AD18" s="6" t="n">
        <f aca="false">Profit/(Size)</f>
        <v>-28.0411219922087</v>
      </c>
      <c r="AE18" s="6" t="n">
        <f aca="false">Utility/(Size)</f>
        <v>336.702084023196</v>
      </c>
      <c r="AF18" s="2" t="n">
        <v>308.660962030988</v>
      </c>
    </row>
    <row r="20" customFormat="false" ht="13" hidden="false" customHeight="false" outlineLevel="0" collapsed="false">
      <c r="A20" s="2" t="n">
        <v>0.08</v>
      </c>
      <c r="B20" s="2" t="n">
        <f aca="false">(I20+J20)*Beta*2</f>
        <v>2322.36901484634</v>
      </c>
      <c r="C20" s="7" t="n">
        <f aca="false">(W20+B20*Theta-'W-Tax(All-Tax)'!$T$11)/B20</f>
        <v>0.276020658442794</v>
      </c>
      <c r="D20" s="2" t="n">
        <v>0.700000930468249</v>
      </c>
      <c r="E20" s="2" t="n">
        <v>0</v>
      </c>
      <c r="F20" s="2" t="n">
        <v>1000</v>
      </c>
      <c r="G20" s="2" t="n">
        <v>0</v>
      </c>
      <c r="H20" s="2" t="n">
        <f aca="false">Size-a</f>
        <v>1000</v>
      </c>
      <c r="I20" s="4" t="n">
        <f aca="false">(EXP(alpha*(Tau+OldTau+zeta-2*a*psi))*((EXP(alpha*a*psi)-EXP(alpha*b*psi))^2))/((EXP(alpha*a*psi)-EXP(alpha*(2*OldTau+b*psi)))*(alpha^2)*(psi^2))</f>
        <v>6.45102504123984</v>
      </c>
      <c r="J20" s="4" t="n">
        <f aca="false">(EXP(alpha*(zeta+(2*b-a)*psi))*(-1+EXP(alpha*(-1)*Size*psi))*(EXP(alpha*(2*(Tau+OldTau)+a*psi))-EXP(alpha*(2*(Tau+OldTau)+b*psi))))/(((EXP(alpha*a*psi)-EXP(alpha*(2*OldTau+b*psi)))^2)*(alpha^2)*(psi^2))</f>
        <v>2.29852854107479E-065</v>
      </c>
      <c r="K20" s="5" t="n">
        <f aca="false">-Beta/alpha</f>
        <v>180</v>
      </c>
      <c r="L20" s="5" t="n">
        <f aca="false">(-EXP(alpha*zeta)*Beta*(-1+EXP(alpha*Size*psi)-Size*alpha*psi))/((alpha^3)*(psi^2))</f>
        <v>348412.752595584</v>
      </c>
      <c r="M20" s="5" t="n">
        <f aca="false">Beta*Theta</f>
        <v>14.4</v>
      </c>
      <c r="N20" s="5" t="n">
        <f aca="false">Beta*Theta</f>
        <v>14.4</v>
      </c>
      <c r="O20" s="5" t="n">
        <f aca="false">kappa</f>
        <v>90</v>
      </c>
      <c r="P20" s="5" t="n">
        <f aca="false">Gamma*Size</f>
        <v>0</v>
      </c>
      <c r="Q20" s="5" t="n">
        <f aca="false">Size*Beta*Phi</f>
        <v>3240</v>
      </c>
      <c r="R20" s="5" t="n">
        <f aca="false">-(EXP(alpha*a*psi)+EXP(alpha*b*psi)*(-1+Size*psi*alpha))*(Beta*Phi)/((alpha*psi)*(EXP(alpha*a*psi)-EXP(alpha*b*psi)))</f>
        <v>21.6</v>
      </c>
      <c r="S20" s="5" t="n">
        <f aca="false">(EXP(alpha*(zeta-a*psi))*Beta*Phi*(-EXP(alpha*a*psi)*(-2+(-1)*Size*alpha*psi)+EXP(alpha*b*psi)*(-2+Size*alpha*psi)))/((alpha^3)*(psi^3))</f>
        <v>41528.9294368965</v>
      </c>
      <c r="T20" s="5" t="n">
        <f aca="false">Tau*Beta</f>
        <v>126.000167484285</v>
      </c>
      <c r="U20" s="5" t="n">
        <f aca="false">Tau*Beta</f>
        <v>126.000167484285</v>
      </c>
      <c r="V20" s="6" t="n">
        <f aca="false">Tau</f>
        <v>0.700000930468249</v>
      </c>
      <c r="W20" s="5" t="n">
        <f aca="false">Profit+Utility</f>
        <v>309116.194334425</v>
      </c>
      <c r="X20" s="5" t="n">
        <f aca="false">(2*ij*BRIJ)+2*jj*BRJJ</f>
        <v>1625.66047128307</v>
      </c>
      <c r="Y20" s="5" t="n">
        <f aca="false">2*(ij*BCCIJ)+(2*jj*BCCJJ)+BCS+jj*BCPTJJ+2*(ij*BCPTIJ)+BCPTII+BCk</f>
        <v>42083.4032398658</v>
      </c>
      <c r="Z20" s="5" t="n">
        <f aca="false">ij*BUTIJ+BUTII</f>
        <v>349573.937103008</v>
      </c>
      <c r="AA20" s="5" t="n">
        <f aca="false">Revenue-Cost</f>
        <v>-40457.7427685827</v>
      </c>
      <c r="AB20" s="5" t="n">
        <f aca="false">Size</f>
        <v>1000</v>
      </c>
      <c r="AC20" s="6" t="n">
        <f aca="false">Welfare/(Size)</f>
        <v>309.116194334425</v>
      </c>
      <c r="AD20" s="6" t="n">
        <f aca="false">Profit/(Size)</f>
        <v>-40.4577427685827</v>
      </c>
      <c r="AE20" s="6" t="n">
        <f aca="false">Utility/(Size)</f>
        <v>349.573937103008</v>
      </c>
      <c r="AF20" s="2" t="n">
        <v>308.660962030988</v>
      </c>
    </row>
    <row r="21" customFormat="false" ht="13" hidden="false" customHeight="false" outlineLevel="0" collapsed="false">
      <c r="A21" s="7" t="n">
        <f aca="false">C20</f>
        <v>0.276020658442794</v>
      </c>
      <c r="B21" s="2" t="n">
        <f aca="false">(I21+J21)*Beta*2</f>
        <v>1906.02672401416</v>
      </c>
      <c r="C21" s="7" t="n">
        <f aca="false">(W21+B21*Theta-'W-Tax(All-Tax)'!$T$11)/B21</f>
        <v>0.297970470338838</v>
      </c>
      <c r="D21" s="2" t="n">
        <v>0.897567896112276</v>
      </c>
      <c r="E21" s="2" t="n">
        <v>0</v>
      </c>
      <c r="F21" s="2" t="n">
        <v>1000</v>
      </c>
      <c r="G21" s="2" t="n">
        <v>0</v>
      </c>
      <c r="H21" s="2" t="n">
        <f aca="false">Size-a</f>
        <v>1000</v>
      </c>
      <c r="I21" s="4" t="n">
        <f aca="false">(EXP(alpha*(Tau+OldTau+zeta-2*a*psi))*((EXP(alpha*a*psi)-EXP(alpha*b*psi))^2))/((EXP(alpha*a*psi)-EXP(alpha*(2*OldTau+b*psi)))*(alpha^2)*(psi^2))</f>
        <v>5.29451867781711</v>
      </c>
      <c r="J21" s="4" t="n">
        <f aca="false">(EXP(alpha*(zeta+(2*b-a)*psi))*(-1+EXP(alpha*(-1)*Size*psi))*(EXP(alpha*(2*(Tau+OldTau)+a*psi))-EXP(alpha*(2*(Tau+OldTau)+b*psi))))/(((EXP(alpha*a*psi)-EXP(alpha*(2*OldTau+b*psi)))^2)*(alpha^2)*(psi^2))</f>
        <v>1.5482654226969E-065</v>
      </c>
      <c r="K21" s="5" t="n">
        <f aca="false">-Beta/alpha</f>
        <v>180</v>
      </c>
      <c r="L21" s="5" t="n">
        <f aca="false">(-EXP(alpha*zeta)*Beta*(-1+EXP(alpha*Size*psi)-Size*alpha*psi))/((alpha^3)*(psi^2))</f>
        <v>348412.752595584</v>
      </c>
      <c r="M21" s="5" t="n">
        <f aca="false">Beta*Theta</f>
        <v>49.6837185197029</v>
      </c>
      <c r="N21" s="5" t="n">
        <f aca="false">Beta*Theta</f>
        <v>49.6837185197029</v>
      </c>
      <c r="O21" s="5" t="n">
        <f aca="false">kappa</f>
        <v>90</v>
      </c>
      <c r="P21" s="5" t="n">
        <f aca="false">Gamma*Size</f>
        <v>0</v>
      </c>
      <c r="Q21" s="5" t="n">
        <f aca="false">Size*Beta*Phi</f>
        <v>3240</v>
      </c>
      <c r="R21" s="5" t="n">
        <f aca="false">-(EXP(alpha*a*psi)+EXP(alpha*b*psi)*(-1+Size*psi*alpha))*(Beta*Phi)/((alpha*psi)*(EXP(alpha*a*psi)-EXP(alpha*b*psi)))</f>
        <v>21.6</v>
      </c>
      <c r="S21" s="5" t="n">
        <f aca="false">(EXP(alpha*(zeta-a*psi))*Beta*Phi*(-EXP(alpha*a*psi)*(-2+(-1)*Size*alpha*psi)+EXP(alpha*b*psi)*(-2+Size*alpha*psi)))/((alpha^3)*(psi^3))</f>
        <v>41528.9294368965</v>
      </c>
      <c r="T21" s="5" t="n">
        <f aca="false">Tau*Beta</f>
        <v>161.56222130021</v>
      </c>
      <c r="U21" s="5" t="n">
        <f aca="false">Tau*Beta</f>
        <v>161.56222130021</v>
      </c>
      <c r="V21" s="6" t="n">
        <f aca="false">Tau</f>
        <v>0.897567896112276</v>
      </c>
      <c r="W21" s="5" t="n">
        <f aca="false">Profit+Utility</f>
        <v>308702.798959049</v>
      </c>
      <c r="X21" s="5" t="n">
        <f aca="false">(2*ij*BRIJ)+2*jj*BRJJ</f>
        <v>1710.78839660716</v>
      </c>
      <c r="Y21" s="5" t="n">
        <f aca="false">2*(ij*BCCIJ)+(2*jj*BCCJJ)+BCS+jj*BCPTJJ+2*(ij*BCPTIJ)+BCPTII+BCk</f>
        <v>42373.7553951502</v>
      </c>
      <c r="Z21" s="5" t="n">
        <f aca="false">ij*BUTIJ+BUTII</f>
        <v>349365.765957592</v>
      </c>
      <c r="AA21" s="5" t="n">
        <f aca="false">Revenue-Cost</f>
        <v>-40662.966998543</v>
      </c>
      <c r="AB21" s="5" t="n">
        <f aca="false">Size</f>
        <v>1000</v>
      </c>
      <c r="AC21" s="6" t="n">
        <f aca="false">Welfare/(Size)</f>
        <v>308.702798959049</v>
      </c>
      <c r="AD21" s="6" t="n">
        <f aca="false">Profit/(Size)</f>
        <v>-40.662966998543</v>
      </c>
      <c r="AE21" s="6" t="n">
        <f aca="false">Utility/(Size)</f>
        <v>349.365765957592</v>
      </c>
      <c r="AF21" s="2" t="n">
        <v>308.660962030988</v>
      </c>
    </row>
    <row r="22" customFormat="false" ht="13" hidden="false" customHeight="false" outlineLevel="0" collapsed="false">
      <c r="A22" s="7" t="n">
        <f aca="false">C21</f>
        <v>0.297970470338838</v>
      </c>
      <c r="B22" s="2" t="n">
        <f aca="false">(I22+J22)*Beta*2</f>
        <v>2.22959189157038E-012</v>
      </c>
      <c r="C22" s="7" t="n">
        <f aca="false">(W22+B22*Theta-'W-Tax(All-Tax)'!$T$11)/B22</f>
        <v>-837435263089555</v>
      </c>
      <c r="D22" s="2" t="n">
        <v>35.2795465566909</v>
      </c>
      <c r="E22" s="2" t="n">
        <v>0</v>
      </c>
      <c r="F22" s="2" t="n">
        <v>1000</v>
      </c>
      <c r="G22" s="2" t="n">
        <v>0</v>
      </c>
      <c r="H22" s="2" t="n">
        <f aca="false">Size-a</f>
        <v>1000</v>
      </c>
      <c r="I22" s="4" t="n">
        <f aca="false">(EXP(alpha*(Tau+OldTau+zeta-2*a*psi))*((EXP(alpha*a*psi)-EXP(alpha*b*psi))^2))/((EXP(alpha*a*psi)-EXP(alpha*(2*OldTau+b*psi)))*(alpha^2)*(psi^2))</f>
        <v>6.19331080991771E-015</v>
      </c>
      <c r="J22" s="4" t="n">
        <f aca="false">(EXP(alpha*(zeta+(2*b-a)*psi))*(-1+EXP(alpha*(-1)*Size*psi))*(EXP(alpha*(2*(Tau+OldTau)+a*psi))-EXP(alpha*(2*(Tau+OldTau)+b*psi))))/(((EXP(alpha*a*psi)-EXP(alpha*(2*OldTau+b*psi)))^2)*(alpha^2)*(psi^2))</f>
        <v>2.11854745438025E-095</v>
      </c>
      <c r="K22" s="5" t="n">
        <f aca="false">-Beta/alpha</f>
        <v>180</v>
      </c>
      <c r="L22" s="5" t="n">
        <f aca="false">(-EXP(alpha*zeta)*Beta*(-1+EXP(alpha*Size*psi)-Size*alpha*psi))/((alpha^3)*(psi^2))</f>
        <v>348412.752595584</v>
      </c>
      <c r="M22" s="5" t="n">
        <f aca="false">Beta*Theta</f>
        <v>53.6346846609908</v>
      </c>
      <c r="N22" s="5" t="n">
        <f aca="false">Beta*Theta</f>
        <v>53.6346846609908</v>
      </c>
      <c r="O22" s="5" t="n">
        <f aca="false">kappa</f>
        <v>90</v>
      </c>
      <c r="P22" s="5" t="n">
        <f aca="false">Gamma*Size</f>
        <v>0</v>
      </c>
      <c r="Q22" s="5" t="n">
        <f aca="false">Size*Beta*Phi</f>
        <v>3240</v>
      </c>
      <c r="R22" s="5" t="n">
        <f aca="false">-(EXP(alpha*a*psi)+EXP(alpha*b*psi)*(-1+Size*psi*alpha))*(Beta*Phi)/((alpha*psi)*(EXP(alpha*a*psi)-EXP(alpha*b*psi)))</f>
        <v>21.6</v>
      </c>
      <c r="S22" s="5" t="n">
        <f aca="false">(EXP(alpha*(zeta-a*psi))*Beta*Phi*(-EXP(alpha*a*psi)*(-2+(-1)*Size*alpha*psi)+EXP(alpha*b*psi)*(-2+Size*alpha*psi)))/((alpha^3)*(psi^3))</f>
        <v>41528.9294368965</v>
      </c>
      <c r="T22" s="5" t="n">
        <f aca="false">Tau*Beta</f>
        <v>6350.31838020436</v>
      </c>
      <c r="U22" s="5" t="n">
        <f aca="false">Tau*Beta</f>
        <v>6350.31838020436</v>
      </c>
      <c r="V22" s="6" t="n">
        <f aca="false">Tau</f>
        <v>35.2795465566909</v>
      </c>
      <c r="W22" s="5" t="n">
        <f aca="false">Profit+Utility</f>
        <v>306793.823158688</v>
      </c>
      <c r="X22" s="5" t="n">
        <f aca="false">(2*ij*BRIJ)+2*jj*BRJJ</f>
        <v>7.86589909410777E-011</v>
      </c>
      <c r="Y22" s="5" t="n">
        <f aca="false">2*(ij*BCCIJ)+(2*jj*BCCJJ)+BCS+jj*BCPTJJ+2*(ij*BCPTIJ)+BCPTII+BCk</f>
        <v>41618.9294368965</v>
      </c>
      <c r="Z22" s="5" t="n">
        <f aca="false">ij*BUTIJ+BUTII</f>
        <v>348412.752595584</v>
      </c>
      <c r="AA22" s="5" t="n">
        <f aca="false">Revenue-Cost</f>
        <v>-41618.9294368964</v>
      </c>
      <c r="AB22" s="5" t="n">
        <f aca="false">Size</f>
        <v>1000</v>
      </c>
      <c r="AC22" s="6" t="n">
        <f aca="false">Welfare/(Size)</f>
        <v>306.793823158688</v>
      </c>
      <c r="AD22" s="6" t="n">
        <f aca="false">Profit/(Size)</f>
        <v>-41.6189294368964</v>
      </c>
      <c r="AE22" s="6" t="n">
        <f aca="false">Utility/(Size)</f>
        <v>348.412752595584</v>
      </c>
      <c r="AF22" s="2" t="n">
        <v>308.660962030988</v>
      </c>
    </row>
    <row r="23" customFormat="false" ht="13" hidden="false" customHeight="false" outlineLevel="0" collapsed="false">
      <c r="A23" s="7" t="n">
        <f aca="false">C22</f>
        <v>-837435263089555</v>
      </c>
      <c r="B23" s="2" t="e">
        <f aca="false">(I23+J23)*Beta*2</f>
        <v>#NUM!</v>
      </c>
      <c r="C23" s="7" t="e">
        <f aca="false">(W23+B23*Theta-'W-Tax(All-Tax)'!$T$11)/B23</f>
        <v>#NUM!</v>
      </c>
      <c r="D23" s="2" t="n">
        <v>-427.714407492119</v>
      </c>
      <c r="E23" s="2" t="n">
        <v>0</v>
      </c>
      <c r="F23" s="2" t="n">
        <v>1000</v>
      </c>
      <c r="G23" s="2" t="n">
        <v>0</v>
      </c>
      <c r="H23" s="2" t="n">
        <f aca="false">Size-a</f>
        <v>1000</v>
      </c>
      <c r="I23" s="4" t="n">
        <f aca="false">(EXP(alpha*(Tau+OldTau+zeta-2*a*psi))*((EXP(alpha*a*psi)-EXP(alpha*b*psi))^2))/((EXP(alpha*a*psi)-EXP(alpha*(2*OldTau+b*psi)))*(alpha^2)*(psi^2))</f>
        <v>7.37296671828308E+186</v>
      </c>
      <c r="J23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K23" s="5" t="n">
        <f aca="false">-Beta/alpha</f>
        <v>180</v>
      </c>
      <c r="L23" s="5" t="n">
        <f aca="false">(-EXP(alpha*zeta)*Beta*(-1+EXP(alpha*Size*psi)-Size*alpha*psi))/((alpha^3)*(psi^2))</f>
        <v>348412.752595584</v>
      </c>
      <c r="M23" s="5" t="n">
        <f aca="false">Beta*Theta</f>
        <v>-1.5073834735612E+017</v>
      </c>
      <c r="N23" s="5" t="n">
        <f aca="false">Beta*Theta</f>
        <v>-1.5073834735612E+017</v>
      </c>
      <c r="O23" s="5" t="n">
        <f aca="false">kappa</f>
        <v>90</v>
      </c>
      <c r="P23" s="5" t="n">
        <f aca="false">Gamma*Size</f>
        <v>0</v>
      </c>
      <c r="Q23" s="5" t="n">
        <f aca="false">Size*Beta*Phi</f>
        <v>3240</v>
      </c>
      <c r="R23" s="5" t="n">
        <f aca="false">-(EXP(alpha*a*psi)+EXP(alpha*b*psi)*(-1+Size*psi*alpha))*(Beta*Phi)/((alpha*psi)*(EXP(alpha*a*psi)-EXP(alpha*b*psi)))</f>
        <v>21.6</v>
      </c>
      <c r="S23" s="5" t="n">
        <f aca="false">(EXP(alpha*(zeta-a*psi))*Beta*Phi*(-EXP(alpha*a*psi)*(-2+(-1)*Size*alpha*psi)+EXP(alpha*b*psi)*(-2+Size*alpha*psi)))/((alpha^3)*(psi^3))</f>
        <v>41528.9294368965</v>
      </c>
      <c r="T23" s="5" t="n">
        <f aca="false">Tau*Beta</f>
        <v>-76988.5933485814</v>
      </c>
      <c r="U23" s="5" t="n">
        <f aca="false">Tau*Beta</f>
        <v>-76988.5933485814</v>
      </c>
      <c r="V23" s="6" t="n">
        <f aca="false">Tau</f>
        <v>-427.714407492119</v>
      </c>
      <c r="W23" s="5" t="e">
        <f aca="false">Profit+Utility</f>
        <v>#NUM!</v>
      </c>
      <c r="X23" s="5" t="e">
        <f aca="false">(2*ij*BRIJ)+2*jj*BRJJ</f>
        <v>#NUM!</v>
      </c>
      <c r="Y23" s="5" t="e">
        <f aca="false">2*(ij*BCCIJ)+(2*jj*BCCJJ)+BCS+jj*BCPTJJ+2*(ij*BCPTIJ)+BCPTII+BCk</f>
        <v>#NUM!</v>
      </c>
      <c r="Z23" s="5" t="n">
        <f aca="false">ij*BUTIJ+BUTII</f>
        <v>1.32713400929095E+189</v>
      </c>
      <c r="AA23" s="5" t="e">
        <f aca="false">Revenue-Cost</f>
        <v>#NUM!</v>
      </c>
      <c r="AB23" s="5" t="n">
        <f aca="false">Size</f>
        <v>1000</v>
      </c>
      <c r="AC23" s="6" t="e">
        <f aca="false">Welfare/(Size)</f>
        <v>#NUM!</v>
      </c>
      <c r="AD23" s="6" t="e">
        <f aca="false">Profit/(Size)</f>
        <v>#NUM!</v>
      </c>
      <c r="AE23" s="6" t="n">
        <f aca="false">Utility/(Size)</f>
        <v>1.32713400929095E+186</v>
      </c>
      <c r="AF23" s="2" t="n">
        <v>308.660962030988</v>
      </c>
    </row>
    <row r="24" customFormat="false" ht="13" hidden="false" customHeight="false" outlineLevel="0" collapsed="false">
      <c r="A24" s="7" t="e">
        <f aca="false">C23</f>
        <v>#NUM!</v>
      </c>
      <c r="B24" s="2" t="n">
        <f aca="false">(I24+J24)*Beta*2</f>
        <v>2320.84104062222</v>
      </c>
      <c r="C24" s="7" t="e">
        <f aca="false">(W24+B24*Theta-'W-Tax(All-Tax)'!$T$11)/B24</f>
        <v>#NUM!</v>
      </c>
      <c r="D24" s="2" t="n">
        <v>0.700659084745583</v>
      </c>
      <c r="E24" s="2" t="n">
        <v>0</v>
      </c>
      <c r="F24" s="2" t="n">
        <v>1000</v>
      </c>
      <c r="G24" s="2" t="n">
        <v>0</v>
      </c>
      <c r="H24" s="2" t="n">
        <f aca="false">Size-a</f>
        <v>1000</v>
      </c>
      <c r="I24" s="4" t="n">
        <f aca="false">(EXP(alpha*(Tau+OldTau+zeta-2*a*psi))*((EXP(alpha*a*psi)-EXP(alpha*b*psi))^2))/((EXP(alpha*a*psi)-EXP(alpha*(2*OldTau+b*psi)))*(alpha^2)*(psi^2))</f>
        <v>6.44678066839505</v>
      </c>
      <c r="J24" s="4" t="n">
        <f aca="false">(EXP(alpha*(zeta+(2*b-a)*psi))*(-1+EXP(alpha*(-1)*Size*psi))*(EXP(alpha*(2*(Tau+OldTau)+a*psi))-EXP(alpha*(2*(Tau+OldTau)+b*psi))))/(((EXP(alpha*a*psi)-EXP(alpha*(2*OldTau+b*psi)))^2)*(alpha^2)*(psi^2))</f>
        <v>2.29550495871326E-065</v>
      </c>
      <c r="K24" s="5" t="n">
        <f aca="false">-Beta/alpha</f>
        <v>180</v>
      </c>
      <c r="L24" s="5" t="n">
        <f aca="false">(-EXP(alpha*zeta)*Beta*(-1+EXP(alpha*Size*psi)-Size*alpha*psi))/((alpha^3)*(psi^2))</f>
        <v>348412.752595584</v>
      </c>
      <c r="M24" s="5" t="e">
        <f aca="false">Beta*Theta</f>
        <v>#NUM!</v>
      </c>
      <c r="N24" s="5" t="e">
        <f aca="false">Beta*Theta</f>
        <v>#NUM!</v>
      </c>
      <c r="O24" s="5" t="n">
        <f aca="false">kappa</f>
        <v>90</v>
      </c>
      <c r="P24" s="5" t="n">
        <f aca="false">Gamma*Size</f>
        <v>0</v>
      </c>
      <c r="Q24" s="5" t="n">
        <f aca="false">Size*Beta*Phi</f>
        <v>3240</v>
      </c>
      <c r="R24" s="5" t="n">
        <f aca="false">-(EXP(alpha*a*psi)+EXP(alpha*b*psi)*(-1+Size*psi*alpha))*(Beta*Phi)/((alpha*psi)*(EXP(alpha*a*psi)-EXP(alpha*b*psi)))</f>
        <v>21.6</v>
      </c>
      <c r="S24" s="5" t="n">
        <f aca="false">(EXP(alpha*(zeta-a*psi))*Beta*Phi*(-EXP(alpha*a*psi)*(-2+(-1)*Size*alpha*psi)+EXP(alpha*b*psi)*(-2+Size*alpha*psi)))/((alpha^3)*(psi^3))</f>
        <v>41528.9294368965</v>
      </c>
      <c r="T24" s="5" t="n">
        <f aca="false">Tau*Beta</f>
        <v>126.118635254205</v>
      </c>
      <c r="U24" s="5" t="n">
        <f aca="false">Tau*Beta</f>
        <v>126.118635254205</v>
      </c>
      <c r="V24" s="6" t="n">
        <f aca="false">Tau</f>
        <v>0.700659084745583</v>
      </c>
      <c r="W24" s="5" t="e">
        <f aca="false">Profit+Utility</f>
        <v>#NUM!</v>
      </c>
      <c r="X24" s="5" t="n">
        <f aca="false">(2*ij*BRIJ)+2*jj*BRJJ</f>
        <v>1626.11835936235</v>
      </c>
      <c r="Y24" s="5" t="e">
        <f aca="false">2*(ij*BCCIJ)+(2*jj*BCCJJ)+BCS+jj*BCPTJJ+2*(ij*BCPTIJ)+BCPTII+BCk</f>
        <v>#NUM!</v>
      </c>
      <c r="Z24" s="5" t="n">
        <f aca="false">ij*BUTIJ+BUTII</f>
        <v>349573.173115896</v>
      </c>
      <c r="AA24" s="5" t="e">
        <f aca="false">Revenue-Cost</f>
        <v>#NUM!</v>
      </c>
      <c r="AB24" s="5" t="n">
        <f aca="false">Size</f>
        <v>1000</v>
      </c>
      <c r="AC24" s="6" t="e">
        <f aca="false">Welfare/(Size)</f>
        <v>#NUM!</v>
      </c>
      <c r="AD24" s="6" t="e">
        <f aca="false">Profit/(Size)</f>
        <v>#NUM!</v>
      </c>
      <c r="AE24" s="6" t="n">
        <f aca="false">Utility/(Size)</f>
        <v>349.573173115896</v>
      </c>
      <c r="AF24" s="2" t="n">
        <v>308.660962030988</v>
      </c>
    </row>
    <row r="26" customFormat="false" ht="13" hidden="false" customHeight="false" outlineLevel="0" collapsed="false">
      <c r="D26" s="2" t="n">
        <v>0</v>
      </c>
    </row>
    <row r="27" customFormat="false" ht="13" hidden="false" customHeight="false" outlineLevel="0" collapsed="false">
      <c r="D27" s="2" t="n">
        <v>-58.7992442611515</v>
      </c>
    </row>
    <row r="28" customFormat="false" ht="13" hidden="false" customHeight="false" outlineLevel="0" collapsed="false">
      <c r="D28" s="2" t="n">
        <v>-57.7992442556917</v>
      </c>
    </row>
    <row r="29" customFormat="false" ht="13" hidden="false" customHeight="false" outlineLevel="0" collapsed="false">
      <c r="D29" s="2" t="n">
        <v>0.700659084745583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Z1" activeCellId="0" sqref="Z1:Z11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6.28"/>
    <col collapsed="false" customWidth="true" hidden="false" outlineLevel="0" max="2" min="2" style="2" width="6.42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4.71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19" min="10" style="2" width="8.28"/>
    <col collapsed="false" customWidth="true" hidden="false" outlineLevel="0" max="20" min="20" style="2" width="9.99"/>
    <col collapsed="false" customWidth="false" hidden="false" outlineLevel="0" max="21" min="21" style="2" width="8.28"/>
    <col collapsed="false" customWidth="true" hidden="false" outlineLevel="0" max="22" min="22" style="2" width="8.99"/>
    <col collapsed="false" customWidth="true" hidden="false" outlineLevel="0" max="23" min="23" style="2" width="9.13"/>
    <col collapsed="false" customWidth="false" hidden="false" outlineLevel="0" max="257" min="24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</row>
    <row r="2" customFormat="false" ht="13" hidden="false" customHeight="false" outlineLevel="0" collapsed="false">
      <c r="A2" s="2" t="n">
        <v>0</v>
      </c>
      <c r="B2" s="2" t="n">
        <f aca="false">'W-Toll(All-Toll)-NONC'!A2</f>
        <v>0.588869338714299</v>
      </c>
      <c r="C2" s="2" t="n">
        <v>1</v>
      </c>
      <c r="D2" s="2" t="n">
        <v>0</v>
      </c>
      <c r="E2" s="2" t="n">
        <f aca="false">Size-a</f>
        <v>1</v>
      </c>
      <c r="F2" s="4" t="n">
        <f aca="false">(EXP(alpha*(Tau+OldTau+zeta-2*a*psi))*((EXP(alpha*a*psi)-EXP(alpha*b*psi))^2))/((EXP(alpha*a*psi)-EXP(alpha*(2*OldTau+b*psi)))*(alpha^2)*(psi^2))</f>
        <v>0.190327978010913</v>
      </c>
      <c r="G2" s="4" t="n">
        <f aca="false">(EXP(alpha*(zeta+(2*b-a)*psi))*(-1+EXP(alpha*(-1)*Size*psi))*(EXP(alpha*(2*(Tau+OldTau)+a*psi))-EXP(alpha*(2*(Tau+OldTau)+b*psi))))/(((EXP(alpha*a*psi)-EXP(alpha*(2*OldTau+b*psi)))^2)*(alpha^2)*(psi^2))</f>
        <v>0.123701034278616</v>
      </c>
      <c r="H2" s="5" t="n">
        <f aca="false">-Beta/alpha</f>
        <v>180</v>
      </c>
      <c r="I2" s="5" t="n">
        <f aca="false">(-EXP(alpha*zeta)*Beta*(-1+EXP(alpha*Size*psi)-Size*alpha*psi))/((alpha^3)*(psi^2))</f>
        <v>25.0388962482082</v>
      </c>
      <c r="J2" s="5" t="n">
        <f aca="false">Beta*Theta</f>
        <v>14.4</v>
      </c>
      <c r="K2" s="5" t="n">
        <f aca="false">Beta*Theta</f>
        <v>14.4</v>
      </c>
      <c r="L2" s="5" t="n">
        <f aca="false">kappa</f>
        <v>90</v>
      </c>
      <c r="M2" s="5" t="n">
        <f aca="false">Gamma*Size</f>
        <v>0</v>
      </c>
      <c r="N2" s="5" t="n">
        <f aca="false">Size*Beta*Phi</f>
        <v>3.24</v>
      </c>
      <c r="O2" s="5" t="n">
        <f aca="false">-(EXP(alpha*a*psi)+EXP(alpha*b*psi)*(-1+Size*psi*alpha))*(Beta*Phi)/((alpha*psi)*(EXP(alpha*a*psi)-EXP(alpha*b*psi)))</f>
        <v>1.57951517936842</v>
      </c>
      <c r="P2" s="5" t="n">
        <f aca="false">(EXP(alpha*(zeta-a*psi))*Beta*Phi*(-EXP(alpha*a*psi)*(-2+(-1)*Size*alpha*psi)+EXP(alpha*b*psi)*(-2+Size*alpha*psi)))/((alpha^3)*(psi^3))</f>
        <v>0.146515554131081</v>
      </c>
      <c r="Q2" s="5" t="n">
        <f aca="false">Tau*Beta</f>
        <v>0</v>
      </c>
      <c r="R2" s="5" t="n">
        <f aca="false">Tau*Beta</f>
        <v>0</v>
      </c>
      <c r="S2" s="6" t="n">
        <f aca="false">Tau</f>
        <v>0</v>
      </c>
      <c r="T2" s="5" t="n">
        <f aca="false">Profit+Utility</f>
        <v>-40.8946620296133</v>
      </c>
      <c r="U2" s="5" t="n">
        <f aca="false">(2*ij*BRIJ)+2*jj*BRJJ</f>
        <v>0</v>
      </c>
      <c r="V2" s="5" t="n">
        <f aca="false">2*(ij*BCCIJ)+(2*jj*BCCJJ)+BCS+jj*BCPTJJ+2*(ij*BCPTIJ)+BCPTII+BCk</f>
        <v>100.192594319786</v>
      </c>
      <c r="W2" s="5" t="n">
        <f aca="false">ij*BUTIJ+BUTII</f>
        <v>59.2979322901724</v>
      </c>
      <c r="X2" s="5" t="n">
        <f aca="false">Revenue-Cost</f>
        <v>-100.192594319786</v>
      </c>
      <c r="Y2" s="5" t="n">
        <f aca="false">Size</f>
        <v>1</v>
      </c>
      <c r="Z2" s="6" t="n">
        <f aca="false">Welfare/(Size)</f>
        <v>-40.8946620296133</v>
      </c>
      <c r="AA2" s="6" t="n">
        <f aca="false">Profit/(Size)</f>
        <v>-100.192594319786</v>
      </c>
      <c r="AB2" s="6" t="n">
        <f aca="false">Utility/(Size)</f>
        <v>59.2979322901724</v>
      </c>
    </row>
    <row r="3" customFormat="false" ht="13" hidden="false" customHeight="false" outlineLevel="0" collapsed="false">
      <c r="A3" s="2" t="n">
        <v>0</v>
      </c>
      <c r="B3" s="2" t="n">
        <f aca="false">'W-Toll(All-Toll)-NONC'!A3</f>
        <v>0.597430597149462</v>
      </c>
      <c r="C3" s="2" t="n">
        <v>2</v>
      </c>
      <c r="D3" s="2" t="n">
        <v>0</v>
      </c>
      <c r="E3" s="2" t="n">
        <f aca="false">Size-a</f>
        <v>2</v>
      </c>
      <c r="F3" s="4" t="n">
        <f aca="false">(EXP(alpha*(Tau+OldTau+zeta-2*a*psi))*((EXP(alpha*a*psi)-EXP(alpha*b*psi))^2))/((EXP(alpha*a*psi)-EXP(alpha*(2*OldTau+b*psi)))*(alpha^2)*(psi^2))</f>
        <v>0.618982333296898</v>
      </c>
      <c r="G3" s="4" t="n">
        <f aca="false">(EXP(alpha*(zeta+(2*b-a)*psi))*(-1+EXP(alpha*(-1)*Size*psi))*(EXP(alpha*(2*(Tau+OldTau)+a*psi))-EXP(alpha*(2*(Tau+OldTau)+b*psi))))/(((EXP(alpha*a*psi)-EXP(alpha*(2*OldTau+b*psi)))^2)*(alpha^2)*(psi^2))</f>
        <v>0.32525498371582</v>
      </c>
      <c r="H3" s="5" t="n">
        <f aca="false">-Beta/alpha</f>
        <v>180</v>
      </c>
      <c r="I3" s="5" t="n">
        <f aca="false">(-EXP(alpha*zeta)*Beta*(-1+EXP(alpha*Size*psi)-Size*alpha*psi))/((alpha^3)*(psi^2))</f>
        <v>95.4469035152439</v>
      </c>
      <c r="J3" s="5" t="n">
        <f aca="false">Beta*Theta</f>
        <v>14.4</v>
      </c>
      <c r="K3" s="5" t="n">
        <f aca="false">Beta*Theta</f>
        <v>14.4</v>
      </c>
      <c r="L3" s="5" t="n">
        <f aca="false">kappa</f>
        <v>90</v>
      </c>
      <c r="M3" s="5" t="n">
        <f aca="false">Gamma*Size</f>
        <v>0</v>
      </c>
      <c r="N3" s="5" t="n">
        <f aca="false">Size*Beta*Phi</f>
        <v>6.48</v>
      </c>
      <c r="O3" s="5" t="n">
        <f aca="false">-(EXP(alpha*a*psi)+EXP(alpha*b*psi)*(-1+Size*psi*alpha))*(Beta*Phi)/((alpha*psi)*(EXP(alpha*a*psi)-EXP(alpha*b*psi)))</f>
        <v>3.07824248045466</v>
      </c>
      <c r="P3" s="5" t="n">
        <f aca="false">(EXP(alpha*(zeta-a*psi))*Beta*Phi*(-EXP(alpha*a*psi)*(-2+(-1)*Size*alpha*psi)+EXP(alpha*b*psi)*(-2+Size*alpha*psi)))/((alpha^3)*(psi^3))</f>
        <v>1.08926665858103</v>
      </c>
      <c r="Q3" s="5" t="n">
        <f aca="false">Tau*Beta</f>
        <v>0</v>
      </c>
      <c r="R3" s="5" t="n">
        <f aca="false">Tau*Beta</f>
        <v>0</v>
      </c>
      <c r="S3" s="6" t="n">
        <f aca="false">Tau</f>
        <v>0</v>
      </c>
      <c r="T3" s="5" t="n">
        <f aca="false">Profit+Utility</f>
        <v>82.6620143996488</v>
      </c>
      <c r="U3" s="5" t="n">
        <f aca="false">(2*ij*BRIJ)+2*jj*BRJJ</f>
        <v>0</v>
      </c>
      <c r="V3" s="5" t="n">
        <f aca="false">2*(ij*BCCIJ)+(2*jj*BCCJJ)+BCS+jj*BCPTJJ+2*(ij*BCPTIJ)+BCPTII+BCk</f>
        <v>124.201709109037</v>
      </c>
      <c r="W3" s="5" t="n">
        <f aca="false">ij*BUTIJ+BUTII</f>
        <v>206.863723508686</v>
      </c>
      <c r="X3" s="5" t="n">
        <f aca="false">Revenue-Cost</f>
        <v>-124.201709109037</v>
      </c>
      <c r="Y3" s="5" t="n">
        <f aca="false">Size</f>
        <v>2</v>
      </c>
      <c r="Z3" s="6" t="n">
        <f aca="false">Welfare/(Size)</f>
        <v>41.3310071998244</v>
      </c>
      <c r="AA3" s="6" t="n">
        <f aca="false">Profit/(Size)</f>
        <v>-62.1008545545184</v>
      </c>
      <c r="AB3" s="6" t="n">
        <f aca="false">Utility/(Size)</f>
        <v>103.431861754343</v>
      </c>
    </row>
    <row r="4" customFormat="false" ht="13" hidden="false" customHeight="false" outlineLevel="0" collapsed="false">
      <c r="A4" s="2" t="n">
        <v>0</v>
      </c>
      <c r="B4" s="2" t="n">
        <f aca="false">'W-Toll(All-Toll)-NONC'!A4</f>
        <v>0.620765513567254</v>
      </c>
      <c r="C4" s="2" t="n">
        <v>5</v>
      </c>
      <c r="D4" s="2" t="n">
        <v>0</v>
      </c>
      <c r="E4" s="2" t="n">
        <f aca="false">Size-a</f>
        <v>5</v>
      </c>
      <c r="F4" s="4" t="n">
        <f aca="false">(EXP(alpha*(Tau+OldTau+zeta-2*a*psi))*((EXP(alpha*a*psi)-EXP(alpha*b*psi))^2))/((EXP(alpha*a*psi)-EXP(alpha*(2*OldTau+b*psi)))*(alpha^2)*(psi^2))</f>
        <v>2.25131174323976</v>
      </c>
      <c r="G4" s="4" t="n">
        <f aca="false">(EXP(alpha*(zeta+(2*b-a)*psi))*(-1+EXP(alpha*(-1)*Size*psi))*(EXP(alpha*(2*(Tau+OldTau)+a*psi))-EXP(alpha*(2*(Tau+OldTau)+b*psi))))/(((EXP(alpha*a*psi)-EXP(alpha*(2*OldTau+b*psi)))^2)*(alpha^2)*(psi^2))</f>
        <v>0.661988593854271</v>
      </c>
      <c r="H4" s="5" t="n">
        <f aca="false">-Beta/alpha</f>
        <v>180</v>
      </c>
      <c r="I4" s="5" t="n">
        <f aca="false">(-EXP(alpha*zeta)*Beta*(-1+EXP(alpha*Size*psi)-Size*alpha*psi))/((alpha^3)*(psi^2))</f>
        <v>519.968743125424</v>
      </c>
      <c r="J4" s="5" t="n">
        <f aca="false">Beta*Theta</f>
        <v>14.4</v>
      </c>
      <c r="K4" s="5" t="n">
        <f aca="false">Beta*Theta</f>
        <v>14.4</v>
      </c>
      <c r="L4" s="5" t="n">
        <f aca="false">kappa</f>
        <v>90</v>
      </c>
      <c r="M4" s="5" t="n">
        <f aca="false">Gamma*Size</f>
        <v>0</v>
      </c>
      <c r="N4" s="5" t="n">
        <f aca="false">Size*Beta*Phi</f>
        <v>16.2</v>
      </c>
      <c r="O4" s="5" t="n">
        <f aca="false">-(EXP(alpha*a*psi)+EXP(alpha*b*psi)*(-1+Size*psi*alpha))*(Beta*Phi)/((alpha*psi)*(EXP(alpha*a*psi)-EXP(alpha*b*psi)))</f>
        <v>7.09686682268204</v>
      </c>
      <c r="P4" s="5" t="n">
        <f aca="false">(EXP(alpha*(zeta-a*psi))*Beta*Phi*(-EXP(alpha*a*psi)*(-2+(-1)*Size*alpha*psi)+EXP(alpha*b*psi)*(-2+Size*alpha*psi)))/((alpha^3)*(psi^3))</f>
        <v>13.7516932837258</v>
      </c>
      <c r="Q4" s="5" t="n">
        <f aca="false">Tau*Beta</f>
        <v>0</v>
      </c>
      <c r="R4" s="5" t="n">
        <f aca="false">Tau*Beta</f>
        <v>0</v>
      </c>
      <c r="S4" s="6" t="n">
        <f aca="false">Tau</f>
        <v>0</v>
      </c>
      <c r="T4" s="5" t="n">
        <f aca="false">Profit+Utility</f>
        <v>694.871379459883</v>
      </c>
      <c r="U4" s="5" t="n">
        <f aca="false">(2*ij*BRIJ)+2*jj*BRJJ</f>
        <v>0</v>
      </c>
      <c r="V4" s="5" t="n">
        <f aca="false">2*(ij*BCCIJ)+(2*jj*BCCJJ)+BCS+jj*BCPTJJ+2*(ij*BCPTIJ)+BCPTII+BCk</f>
        <v>230.333477448699</v>
      </c>
      <c r="W4" s="5" t="n">
        <f aca="false">ij*BUTIJ+BUTII</f>
        <v>925.204856908581</v>
      </c>
      <c r="X4" s="5" t="n">
        <f aca="false">Revenue-Cost</f>
        <v>-230.333477448699</v>
      </c>
      <c r="Y4" s="5" t="n">
        <f aca="false">Size</f>
        <v>5</v>
      </c>
      <c r="Z4" s="6" t="n">
        <f aca="false">Welfare/(Size)</f>
        <v>138.974275891977</v>
      </c>
      <c r="AA4" s="6" t="n">
        <f aca="false">Profit/(Size)</f>
        <v>-46.0666954897397</v>
      </c>
      <c r="AB4" s="6" t="n">
        <f aca="false">Utility/(Size)</f>
        <v>185.040971381716</v>
      </c>
    </row>
    <row r="5" customFormat="false" ht="13" hidden="false" customHeight="false" outlineLevel="0" collapsed="false">
      <c r="A5" s="2" t="n">
        <v>0</v>
      </c>
      <c r="B5" s="2" t="n">
        <f aca="false">'W-Toll(All-Toll)-NONC'!A5</f>
        <v>0.650784678032378</v>
      </c>
      <c r="C5" s="2" t="n">
        <v>10</v>
      </c>
      <c r="D5" s="2" t="n">
        <v>0</v>
      </c>
      <c r="E5" s="2" t="n">
        <f aca="false">Size-a</f>
        <v>10</v>
      </c>
      <c r="F5" s="4" t="n">
        <f aca="false">(EXP(alpha*(Tau+OldTau+zeta-2*a*psi))*((EXP(alpha*a*psi)-EXP(alpha*b*psi))^2))/((EXP(alpha*a*psi)-EXP(alpha*(2*OldTau+b*psi)))*(alpha^2)*(psi^2))</f>
        <v>4.35413684085483</v>
      </c>
      <c r="G5" s="4" t="n">
        <f aca="false">(EXP(alpha*(zeta+(2*b-a)*psi))*(-1+EXP(alpha*(-1)*Size*psi))*(EXP(alpha*(2*(Tau+OldTau)+a*psi))-EXP(alpha*(2*(Tau+OldTau)+b*psi))))/(((EXP(alpha*a*psi)-EXP(alpha*(2*OldTau+b*psi)))^2)*(alpha^2)*(psi^2))</f>
        <v>0.539548678332902</v>
      </c>
      <c r="H5" s="5" t="n">
        <f aca="false">-Beta/alpha</f>
        <v>180</v>
      </c>
      <c r="I5" s="5" t="n">
        <f aca="false">(-EXP(alpha*zeta)*Beta*(-1+EXP(alpha*Size*psi)-Size*alpha*psi))/((alpha^3)*(psi^2))</f>
        <v>1690.92462806846</v>
      </c>
      <c r="J5" s="5" t="n">
        <f aca="false">Beta*Theta</f>
        <v>14.4</v>
      </c>
      <c r="K5" s="5" t="n">
        <f aca="false">Beta*Theta</f>
        <v>14.4</v>
      </c>
      <c r="L5" s="5" t="n">
        <f aca="false">kappa</f>
        <v>90</v>
      </c>
      <c r="M5" s="5" t="n">
        <f aca="false">Gamma*Size</f>
        <v>0</v>
      </c>
      <c r="N5" s="5" t="n">
        <f aca="false">Size*Beta*Phi</f>
        <v>32.4</v>
      </c>
      <c r="O5" s="5" t="n">
        <f aca="false">-(EXP(alpha*a*psi)+EXP(alpha*b*psi)*(-1+Size*psi*alpha))*(Beta*Phi)/((alpha*psi)*(EXP(alpha*a*psi)-EXP(alpha*b*psi)))</f>
        <v>12.2941718960407</v>
      </c>
      <c r="P5" s="5" t="n">
        <f aca="false">(EXP(alpha*(zeta-a*psi))*Beta*Phi*(-EXP(alpha*a*psi)*(-2+(-1)*Size*alpha*psi)+EXP(alpha*b*psi)*(-2+Size*alpha*psi)))/((alpha^3)*(psi^3))</f>
        <v>78.836375998096</v>
      </c>
      <c r="Q5" s="5" t="n">
        <f aca="false">Tau*Beta</f>
        <v>0</v>
      </c>
      <c r="R5" s="5" t="n">
        <f aca="false">Tau*Beta</f>
        <v>0</v>
      </c>
      <c r="S5" s="6" t="n">
        <f aca="false">Tau</f>
        <v>0</v>
      </c>
      <c r="T5" s="5" t="n">
        <f aca="false">Profit+Utility</f>
        <v>2040.35234973293</v>
      </c>
      <c r="U5" s="5" t="n">
        <f aca="false">(2*ij*BRIJ)+2*jj*BRJJ</f>
        <v>0</v>
      </c>
      <c r="V5" s="5" t="n">
        <f aca="false">2*(ij*BCCIJ)+(2*jj*BCCJJ)+BCS+jj*BCPTJJ+2*(ij*BCPTIJ)+BCPTII+BCk</f>
        <v>434.316909689394</v>
      </c>
      <c r="W5" s="5" t="n">
        <f aca="false">ij*BUTIJ+BUTII</f>
        <v>2474.66925942233</v>
      </c>
      <c r="X5" s="5" t="n">
        <f aca="false">Revenue-Cost</f>
        <v>-434.316909689394</v>
      </c>
      <c r="Y5" s="5" t="n">
        <f aca="false">Size</f>
        <v>10</v>
      </c>
      <c r="Z5" s="6" t="n">
        <f aca="false">Welfare/(Size)</f>
        <v>204.035234973293</v>
      </c>
      <c r="AA5" s="6" t="n">
        <f aca="false">Profit/(Size)</f>
        <v>-43.4316909689394</v>
      </c>
      <c r="AB5" s="6" t="n">
        <f aca="false">Utility/(Size)</f>
        <v>247.466925942233</v>
      </c>
    </row>
    <row r="6" customFormat="false" ht="13" hidden="false" customHeight="false" outlineLevel="0" collapsed="false">
      <c r="A6" s="2" t="n">
        <v>0</v>
      </c>
      <c r="B6" s="2" t="n">
        <f aca="false">'W-Toll(All-Toll)-NONC'!A6</f>
        <v>0.683115162720272</v>
      </c>
      <c r="C6" s="2" t="n">
        <v>20</v>
      </c>
      <c r="D6" s="2" t="n">
        <v>0</v>
      </c>
      <c r="E6" s="2" t="n">
        <f aca="false">Size-a</f>
        <v>20</v>
      </c>
      <c r="F6" s="4" t="n">
        <f aca="false">(EXP(alpha*(Tau+OldTau+zeta-2*a*psi))*((EXP(alpha*a*psi)-EXP(alpha*b*psi))^2))/((EXP(alpha*a*psi)-EXP(alpha*(2*OldTau+b*psi)))*(alpha^2)*(psi^2))</f>
        <v>6.00004391625352</v>
      </c>
      <c r="G6" s="4" t="n">
        <f aca="false">(EXP(alpha*(zeta+(2*b-a)*psi))*(-1+EXP(alpha*(-1)*Size*psi))*(EXP(alpha*(2*(Tau+OldTau)+a*psi))-EXP(alpha*(2*(Tau+OldTau)+b*psi))))/(((EXP(alpha*a*psi)-EXP(alpha*(2*OldTau+b*psi)))^2)*(alpha^2)*(psi^2))</f>
        <v>0.152808766619283</v>
      </c>
      <c r="H6" s="5" t="n">
        <f aca="false">-Beta/alpha</f>
        <v>180</v>
      </c>
      <c r="I6" s="5" t="n">
        <f aca="false">(-EXP(alpha*zeta)*Beta*(-1+EXP(alpha*Size*psi)-Size*alpha*psi))/((alpha^3)*(psi^2))</f>
        <v>4793.10036728108</v>
      </c>
      <c r="J6" s="5" t="n">
        <f aca="false">Beta*Theta</f>
        <v>14.4</v>
      </c>
      <c r="K6" s="5" t="n">
        <f aca="false">Beta*Theta</f>
        <v>14.4</v>
      </c>
      <c r="L6" s="5" t="n">
        <f aca="false">kappa</f>
        <v>90</v>
      </c>
      <c r="M6" s="5" t="n">
        <f aca="false">Gamma*Size</f>
        <v>0</v>
      </c>
      <c r="N6" s="5" t="n">
        <f aca="false">Size*Beta*Phi</f>
        <v>64.8</v>
      </c>
      <c r="O6" s="5" t="n">
        <f aca="false">-(EXP(alpha*a*psi)+EXP(alpha*b*psi)*(-1+Size*psi*alpha))*(Beta*Phi)/((alpha*psi)*(EXP(alpha*a*psi)-EXP(alpha*b*psi)))</f>
        <v>18.2047588673666</v>
      </c>
      <c r="P6" s="5" t="n">
        <f aca="false">(EXP(alpha*(zeta-a*psi))*Beta*Phi*(-EXP(alpha*a*psi)*(-2+(-1)*Size*alpha*psi)+EXP(alpha*b*psi)*(-2+Size*alpha*psi)))/((alpha^3)*(psi^3))</f>
        <v>350.452349206022</v>
      </c>
      <c r="Q6" s="5" t="n">
        <f aca="false">Tau*Beta</f>
        <v>0</v>
      </c>
      <c r="R6" s="5" t="n">
        <f aca="false">Tau*Beta</f>
        <v>0</v>
      </c>
      <c r="S6" s="6" t="n">
        <f aca="false">Tau</f>
        <v>0</v>
      </c>
      <c r="T6" s="5" t="n">
        <f aca="false">Profit+Utility</f>
        <v>5027.09305227901</v>
      </c>
      <c r="U6" s="5" t="n">
        <f aca="false">(2*ij*BRIJ)+2*jj*BRJJ</f>
        <v>0</v>
      </c>
      <c r="V6" s="5" t="n">
        <f aca="false">2*(ij*BCCIJ)+(2*jj*BCCJJ)+BCS+jj*BCPTJJ+2*(ij*BCPTIJ)+BCPTII+BCk</f>
        <v>846.0152199277</v>
      </c>
      <c r="W6" s="5" t="n">
        <f aca="false">ij*BUTIJ+BUTII</f>
        <v>5873.10827220671</v>
      </c>
      <c r="X6" s="5" t="n">
        <f aca="false">Revenue-Cost</f>
        <v>-846.0152199277</v>
      </c>
      <c r="Y6" s="5" t="n">
        <f aca="false">Size</f>
        <v>20</v>
      </c>
      <c r="Z6" s="6" t="n">
        <f aca="false">Welfare/(Size)</f>
        <v>251.354652613951</v>
      </c>
      <c r="AA6" s="6" t="n">
        <f aca="false">Profit/(Size)</f>
        <v>-42.300760996385</v>
      </c>
      <c r="AB6" s="6" t="n">
        <f aca="false">Utility/(Size)</f>
        <v>293.655413610336</v>
      </c>
    </row>
    <row r="7" customFormat="false" ht="13" hidden="false" customHeight="false" outlineLevel="0" collapsed="false">
      <c r="A7" s="2" t="n">
        <v>0</v>
      </c>
      <c r="B7" s="2" t="n">
        <f aca="false">'W-Toll(All-Toll)-NONC'!A7</f>
        <v>0.699598442039559</v>
      </c>
      <c r="C7" s="2" t="n">
        <v>50</v>
      </c>
      <c r="D7" s="2" t="n">
        <v>0</v>
      </c>
      <c r="E7" s="2" t="n">
        <f aca="false">Size-a</f>
        <v>50</v>
      </c>
      <c r="F7" s="4" t="n">
        <f aca="false">(EXP(alpha*(Tau+OldTau+zeta-2*a*psi))*((EXP(alpha*a*psi)-EXP(alpha*b*psi))^2))/((EXP(alpha*a*psi)-EXP(alpha*(2*OldTau+b*psi)))*(alpha^2)*(psi^2))</f>
        <v>6.44736526172536</v>
      </c>
      <c r="G7" s="4" t="n">
        <f aca="false">(EXP(alpha*(zeta+(2*b-a)*psi))*(-1+EXP(alpha*(-1)*Size*psi))*(EXP(alpha*(2*(Tau+OldTau)+a*psi))-EXP(alpha*(2*(Tau+OldTau)+b*psi))))/(((EXP(alpha*a*psi)-EXP(alpha*(2*OldTau+b*psi)))^2)*(alpha^2)*(psi^2))</f>
        <v>0.00177174494495257</v>
      </c>
      <c r="H7" s="5" t="n">
        <f aca="false">-Beta/alpha</f>
        <v>180</v>
      </c>
      <c r="I7" s="5" t="n">
        <f aca="false">(-EXP(alpha*zeta)*Beta*(-1+EXP(alpha*Size*psi)-Size*alpha*psi))/((alpha^3)*(psi^2))</f>
        <v>15200.5073390545</v>
      </c>
      <c r="J7" s="5" t="n">
        <f aca="false">Beta*Theta</f>
        <v>14.4</v>
      </c>
      <c r="K7" s="5" t="n">
        <f aca="false">Beta*Theta</f>
        <v>14.4</v>
      </c>
      <c r="L7" s="5" t="n">
        <f aca="false">kappa</f>
        <v>90</v>
      </c>
      <c r="M7" s="5" t="n">
        <f aca="false">Gamma*Size</f>
        <v>0</v>
      </c>
      <c r="N7" s="5" t="n">
        <f aca="false">Size*Beta*Phi</f>
        <v>162</v>
      </c>
      <c r="O7" s="5" t="n">
        <f aca="false">-(EXP(alpha*a*psi)+EXP(alpha*b*psi)*(-1+Size*psi*alpha))*(Beta*Phi)/((alpha*psi)*(EXP(alpha*a*psi)-EXP(alpha*b*psi)))</f>
        <v>21.5103507484362</v>
      </c>
      <c r="P7" s="5" t="n">
        <f aca="false">(EXP(alpha*(zeta-a*psi))*Beta*Phi*(-EXP(alpha*a*psi)*(-2+(-1)*Size*alpha*psi)+EXP(alpha*b*psi)*(-2+Size*alpha*psi)))/((alpha^3)*(psi^3))</f>
        <v>1544.77917175571</v>
      </c>
      <c r="Q7" s="5" t="n">
        <f aca="false">Tau*Beta</f>
        <v>0</v>
      </c>
      <c r="R7" s="5" t="n">
        <f aca="false">Tau*Beta</f>
        <v>0</v>
      </c>
      <c r="S7" s="6" t="n">
        <f aca="false">Tau</f>
        <v>0</v>
      </c>
      <c r="T7" s="5" t="n">
        <f aca="false">Profit+Utility</f>
        <v>14262.8615695702</v>
      </c>
      <c r="U7" s="5" t="n">
        <f aca="false">(2*ij*BRIJ)+2*jj*BRJJ</f>
        <v>0</v>
      </c>
      <c r="V7" s="5" t="n">
        <f aca="false">2*(ij*BCCIJ)+(2*jj*BCCJJ)+BCS+jj*BCPTJJ+2*(ij*BCPTIJ)+BCPTII+BCk</f>
        <v>2098.17151659489</v>
      </c>
      <c r="W7" s="5" t="n">
        <f aca="false">ij*BUTIJ+BUTII</f>
        <v>16361.0330861651</v>
      </c>
      <c r="X7" s="5" t="n">
        <f aca="false">Revenue-Cost</f>
        <v>-2098.17151659489</v>
      </c>
      <c r="Y7" s="5" t="n">
        <f aca="false">Size</f>
        <v>50</v>
      </c>
      <c r="Z7" s="6" t="n">
        <f aca="false">Welfare/(Size)</f>
        <v>285.257231391403</v>
      </c>
      <c r="AA7" s="6" t="n">
        <f aca="false">Profit/(Size)</f>
        <v>-41.9634303318979</v>
      </c>
      <c r="AB7" s="6" t="n">
        <f aca="false">Utility/(Size)</f>
        <v>327.220661723301</v>
      </c>
    </row>
    <row r="8" customFormat="false" ht="13" hidden="false" customHeight="false" outlineLevel="0" collapsed="false">
      <c r="A8" s="2" t="n">
        <v>0</v>
      </c>
      <c r="B8" s="2" t="n">
        <f aca="false">'W-Toll(All-Toll)-NONC'!A8</f>
        <v>0.700000521562557</v>
      </c>
      <c r="C8" s="2" t="n">
        <v>100</v>
      </c>
      <c r="D8" s="2" t="n">
        <v>0</v>
      </c>
      <c r="E8" s="2" t="n">
        <f aca="false">Size-a</f>
        <v>100</v>
      </c>
      <c r="F8" s="4" t="n">
        <f aca="false">(EXP(alpha*(Tau+OldTau+zeta-2*a*psi))*((EXP(alpha*a*psi)-EXP(alpha*b*psi))^2))/((EXP(alpha*a*psi)-EXP(alpha*(2*OldTau+b*psi)))*(alpha^2)*(psi^2))</f>
        <v>6.45102421896299</v>
      </c>
      <c r="G8" s="4" t="n">
        <f aca="false">(EXP(alpha*(zeta+(2*b-a)*psi))*(-1+EXP(alpha*(-1)*Size*psi))*(EXP(alpha*(2*(Tau+OldTau)+a*psi))-EXP(alpha*(2*(Tau+OldTau)+b*psi))))/(((EXP(alpha*a*psi)-EXP(alpha*(2*OldTau+b*psi)))^2)*(alpha^2)*(psi^2))</f>
        <v>9.79952697514499E-007</v>
      </c>
      <c r="H8" s="5" t="n">
        <f aca="false">-Beta/alpha</f>
        <v>180</v>
      </c>
      <c r="I8" s="5" t="n">
        <f aca="false">(-EXP(alpha*zeta)*Beta*(-1+EXP(alpha*Size*psi)-Size*alpha*psi))/((alpha^3)*(psi^2))</f>
        <v>32736.7694155601</v>
      </c>
      <c r="J8" s="5" t="n">
        <f aca="false">Beta*Theta</f>
        <v>14.4</v>
      </c>
      <c r="K8" s="5" t="n">
        <f aca="false">Beta*Theta</f>
        <v>14.4</v>
      </c>
      <c r="L8" s="5" t="n">
        <f aca="false">kappa</f>
        <v>90</v>
      </c>
      <c r="M8" s="5" t="n">
        <f aca="false">Gamma*Size</f>
        <v>0</v>
      </c>
      <c r="N8" s="5" t="n">
        <f aca="false">Size*Beta*Phi</f>
        <v>324</v>
      </c>
      <c r="O8" s="5" t="n">
        <f aca="false">-(EXP(alpha*a*psi)+EXP(alpha*b*psi)*(-1+Size*psi*alpha))*(Beta*Phi)/((alpha*psi)*(EXP(alpha*a*psi)-EXP(alpha*b*psi)))</f>
        <v>21.5999008876178</v>
      </c>
      <c r="P8" s="5" t="n">
        <f aca="false">(EXP(alpha*(zeta-a*psi))*Beta*Phi*(-EXP(alpha*a*psi)*(-2+(-1)*Size*alpha*psi)+EXP(alpha*b*psi)*(-2+Size*alpha*psi)))/((alpha^3)*(psi^3))</f>
        <v>3647.81282867692</v>
      </c>
      <c r="Q8" s="5" t="n">
        <f aca="false">Tau*Beta</f>
        <v>0</v>
      </c>
      <c r="R8" s="5" t="n">
        <f aca="false">Tau*Beta</f>
        <v>0</v>
      </c>
      <c r="S8" s="6" t="n">
        <f aca="false">Tau</f>
        <v>0</v>
      </c>
      <c r="T8" s="5" t="n">
        <f aca="false">Profit+Utility</f>
        <v>29695.6681355566</v>
      </c>
      <c r="U8" s="5" t="n">
        <f aca="false">(2*ij*BRIJ)+2*jj*BRJJ</f>
        <v>0</v>
      </c>
      <c r="V8" s="5" t="n">
        <f aca="false">2*(ij*BCCIJ)+(2*jj*BCCJJ)+BCS+jj*BCPTJJ+2*(ij*BCPTIJ)+BCPTII+BCk</f>
        <v>4202.28563941681</v>
      </c>
      <c r="W8" s="5" t="n">
        <f aca="false">ij*BUTIJ+BUTII</f>
        <v>33897.9537749734</v>
      </c>
      <c r="X8" s="5" t="n">
        <f aca="false">Revenue-Cost</f>
        <v>-4202.28563941681</v>
      </c>
      <c r="Y8" s="5" t="n">
        <f aca="false">Size</f>
        <v>100</v>
      </c>
      <c r="Z8" s="6" t="n">
        <f aca="false">Welfare/(Size)</f>
        <v>296.956681355566</v>
      </c>
      <c r="AA8" s="6" t="n">
        <f aca="false">Profit/(Size)</f>
        <v>-42.0228563941681</v>
      </c>
      <c r="AB8" s="6" t="n">
        <f aca="false">Utility/(Size)</f>
        <v>338.979537749734</v>
      </c>
    </row>
    <row r="9" customFormat="false" ht="13" hidden="false" customHeight="false" outlineLevel="0" collapsed="false">
      <c r="A9" s="2" t="n">
        <v>0</v>
      </c>
      <c r="B9" s="2" t="n">
        <f aca="false">'W-Toll(All-Toll)-NONC'!A9</f>
        <v>0.700659084745354</v>
      </c>
      <c r="C9" s="2" t="n">
        <v>200</v>
      </c>
      <c r="D9" s="2" t="n">
        <v>0</v>
      </c>
      <c r="E9" s="2" t="n">
        <f aca="false">Size-a</f>
        <v>200</v>
      </c>
      <c r="F9" s="4" t="n">
        <f aca="false">(EXP(alpha*(Tau+OldTau+zeta-2*a*psi))*((EXP(alpha*a*psi)-EXP(alpha*b*psi))^2))/((EXP(alpha*a*psi)-EXP(alpha*(2*OldTau+b*psi)))*(alpha^2)*(psi^2))</f>
        <v>6.44678066839546</v>
      </c>
      <c r="G9" s="4" t="n">
        <f aca="false">(EXP(alpha*(zeta+(2*b-a)*psi))*(-1+EXP(alpha*(-1)*Size*psi))*(EXP(alpha*(2*(Tau+OldTau)+a*psi))-EXP(alpha*(2*(Tau+OldTau)+b*psi))))/(((EXP(alpha*a*psi)-EXP(alpha*(2*OldTau+b*psi)))^2)*(alpha^2)*(psi^2))</f>
        <v>2.99375367341261E-013</v>
      </c>
      <c r="H9" s="5" t="n">
        <f aca="false">-Beta/alpha</f>
        <v>180</v>
      </c>
      <c r="I9" s="5" t="n">
        <f aca="false">(-EXP(alpha*zeta)*Beta*(-1+EXP(alpha*Size*psi)-Size*alpha*psi))/((alpha^3)*(psi^2))</f>
        <v>67811.8780219596</v>
      </c>
      <c r="J9" s="5" t="n">
        <f aca="false">Beta*Theta</f>
        <v>14.4</v>
      </c>
      <c r="K9" s="5" t="n">
        <f aca="false">Beta*Theta</f>
        <v>14.4</v>
      </c>
      <c r="L9" s="5" t="n">
        <f aca="false">kappa</f>
        <v>90</v>
      </c>
      <c r="M9" s="5" t="n">
        <f aca="false">Gamma*Size</f>
        <v>0</v>
      </c>
      <c r="N9" s="5" t="n">
        <f aca="false">Size*Beta*Phi</f>
        <v>648</v>
      </c>
      <c r="O9" s="5" t="n">
        <f aca="false">-(EXP(alpha*a*psi)+EXP(alpha*b*psi)*(-1+Size*psi*alpha))*(Beta*Phi)/((alpha*psi)*(EXP(alpha*a*psi)-EXP(alpha*b*psi)))</f>
        <v>21.5999999999394</v>
      </c>
      <c r="P9" s="5" t="n">
        <f aca="false">(EXP(alpha*(zeta-a*psi))*Beta*Phi*(-EXP(alpha*a*psi)*(-2+(-1)*Size*alpha*psi)+EXP(alpha*b*psi)*(-2+Size*alpha*psi)))/((alpha^3)*(psi^3))</f>
        <v>7856.82448806234</v>
      </c>
      <c r="Q9" s="5" t="n">
        <f aca="false">Tau*Beta</f>
        <v>0</v>
      </c>
      <c r="R9" s="5" t="n">
        <f aca="false">Tau*Beta</f>
        <v>0</v>
      </c>
      <c r="S9" s="6" t="n">
        <f aca="false">Tau</f>
        <v>0</v>
      </c>
      <c r="T9" s="5" t="n">
        <f aca="false">Profit+Utility</f>
        <v>60561.3058460845</v>
      </c>
      <c r="U9" s="5" t="n">
        <f aca="false">(2*ij*BRIJ)+2*jj*BRJJ</f>
        <v>0</v>
      </c>
      <c r="V9" s="5" t="n">
        <f aca="false">2*(ij*BCCIJ)+(2*jj*BCCJJ)+BCS+jj*BCPTJJ+2*(ij*BCPTIJ)+BCPTII+BCk</f>
        <v>8410.99269618624</v>
      </c>
      <c r="W9" s="5" t="n">
        <f aca="false">ij*BUTIJ+BUTII</f>
        <v>68972.2985422708</v>
      </c>
      <c r="X9" s="5" t="n">
        <f aca="false">Revenue-Cost</f>
        <v>-8410.99269618624</v>
      </c>
      <c r="Y9" s="5" t="n">
        <f aca="false">Size</f>
        <v>200</v>
      </c>
      <c r="Z9" s="6" t="n">
        <f aca="false">Welfare/(Size)</f>
        <v>302.806529230423</v>
      </c>
      <c r="AA9" s="6" t="n">
        <f aca="false">Profit/(Size)</f>
        <v>-42.0549634809312</v>
      </c>
      <c r="AB9" s="6" t="n">
        <f aca="false">Utility/(Size)</f>
        <v>344.861492711354</v>
      </c>
    </row>
    <row r="10" customFormat="false" ht="13" hidden="false" customHeight="false" outlineLevel="0" collapsed="false">
      <c r="A10" s="2" t="n">
        <v>0</v>
      </c>
      <c r="B10" s="2" t="n">
        <f aca="false">'W-Toll(All-Toll)-NONC'!A10</f>
        <v>0.70065908474501</v>
      </c>
      <c r="C10" s="2" t="n">
        <v>500</v>
      </c>
      <c r="D10" s="2" t="n">
        <v>0</v>
      </c>
      <c r="E10" s="2" t="n">
        <f aca="false">Size-a</f>
        <v>500</v>
      </c>
      <c r="F10" s="4" t="n">
        <f aca="false">(EXP(alpha*(Tau+OldTau+zeta-2*a*psi))*((EXP(alpha*a*psi)-EXP(alpha*b*psi))^2))/((EXP(alpha*a*psi)-EXP(alpha*(2*OldTau+b*psi)))*(alpha^2)*(psi^2))</f>
        <v>6.44678066839874</v>
      </c>
      <c r="G10" s="4" t="n">
        <f aca="false">(EXP(alpha*(zeta+(2*b-a)*psi))*(-1+EXP(alpha*(-1)*Size*psi))*(EXP(alpha*(2*(Tau+OldTau)+a*psi))-EXP(alpha*(2*(Tau+OldTau)+b*psi))))/(((EXP(alpha*a*psi)-EXP(alpha*(2*OldTau+b*psi)))^2)*(alpha^2)*(psi^2))</f>
        <v>8.56967551573876E-033</v>
      </c>
      <c r="H10" s="5" t="n">
        <f aca="false">-Beta/alpha</f>
        <v>180</v>
      </c>
      <c r="I10" s="5" t="n">
        <f aca="false">(-EXP(alpha*zeta)*Beta*(-1+EXP(alpha*Size*psi)-Size*alpha*psi))/((alpha^3)*(psi^2))</f>
        <v>173037.205987069</v>
      </c>
      <c r="J10" s="5" t="n">
        <f aca="false">Beta*Theta</f>
        <v>14.4</v>
      </c>
      <c r="K10" s="5" t="n">
        <f aca="false">Beta*Theta</f>
        <v>14.4</v>
      </c>
      <c r="L10" s="5" t="n">
        <f aca="false">kappa</f>
        <v>90</v>
      </c>
      <c r="M10" s="5" t="n">
        <f aca="false">Gamma*Size</f>
        <v>0</v>
      </c>
      <c r="N10" s="5" t="n">
        <f aca="false">Size*Beta*Phi</f>
        <v>1620</v>
      </c>
      <c r="O10" s="5" t="n">
        <f aca="false">-(EXP(alpha*a*psi)+EXP(alpha*b*psi)*(-1+Size*psi*alpha))*(Beta*Phi)/((alpha*psi)*(EXP(alpha*a*psi)-EXP(alpha*b*psi)))</f>
        <v>21.6</v>
      </c>
      <c r="P10" s="5" t="n">
        <f aca="false">(EXP(alpha*(zeta-a*psi))*Beta*Phi*(-EXP(alpha*a*psi)*(-2+(-1)*Size*alpha*psi)+EXP(alpha*b*psi)*(-2+Size*alpha*psi)))/((alpha^3)*(psi^3))</f>
        <v>20483.8638438746</v>
      </c>
      <c r="Q10" s="5" t="n">
        <f aca="false">Tau*Beta</f>
        <v>0</v>
      </c>
      <c r="R10" s="5" t="n">
        <f aca="false">Tau*Beta</f>
        <v>0</v>
      </c>
      <c r="S10" s="6" t="n">
        <f aca="false">Tau</f>
        <v>0</v>
      </c>
      <c r="T10" s="5" t="n">
        <f aca="false">Profit+Utility</f>
        <v>153159.594455381</v>
      </c>
      <c r="U10" s="5" t="n">
        <f aca="false">(2*ij*BRIJ)+2*jj*BRJJ</f>
        <v>0</v>
      </c>
      <c r="V10" s="5" t="n">
        <f aca="false">2*(ij*BCCIJ)+(2*jj*BCCJJ)+BCS+jj*BCPTJJ+2*(ij*BCPTIJ)+BCPTII+BCk</f>
        <v>21038.0320519993</v>
      </c>
      <c r="W10" s="5" t="n">
        <f aca="false">ij*BUTIJ+BUTII</f>
        <v>174197.626507381</v>
      </c>
      <c r="X10" s="5" t="n">
        <f aca="false">Revenue-Cost</f>
        <v>-21038.0320519993</v>
      </c>
      <c r="Y10" s="5" t="n">
        <f aca="false">Size</f>
        <v>500</v>
      </c>
      <c r="Z10" s="6" t="n">
        <f aca="false">Welfare/(Size)</f>
        <v>306.319188910762</v>
      </c>
      <c r="AA10" s="6" t="n">
        <f aca="false">Profit/(Size)</f>
        <v>-42.0760641039987</v>
      </c>
      <c r="AB10" s="6" t="n">
        <f aca="false">Utility/(Size)</f>
        <v>348.395253014761</v>
      </c>
    </row>
    <row r="11" customFormat="false" ht="13" hidden="false" customHeight="false" outlineLevel="0" collapsed="false">
      <c r="A11" s="2" t="n">
        <v>0</v>
      </c>
      <c r="B11" s="2" t="n">
        <f aca="false">'W-Toll(All-Toll)-NONC'!A11</f>
        <v>0.700659084745965</v>
      </c>
      <c r="C11" s="2" t="n">
        <v>1000</v>
      </c>
      <c r="D11" s="2" t="n">
        <v>0</v>
      </c>
      <c r="E11" s="2" t="n">
        <f aca="false">Size-a</f>
        <v>1000</v>
      </c>
      <c r="F11" s="4" t="n">
        <f aca="false">(EXP(alpha*(Tau+OldTau+zeta-2*a*psi))*((EXP(alpha*a*psi)-EXP(alpha*b*psi))^2))/((EXP(alpha*a*psi)-EXP(alpha*(2*OldTau+b*psi)))*(alpha^2)*(psi^2))</f>
        <v>6.44678066839258</v>
      </c>
      <c r="G11" s="4" t="n">
        <f aca="false">(EXP(alpha*(zeta+(2*b-a)*psi))*(-1+EXP(alpha*(-1)*Size*psi))*(EXP(alpha*(2*(Tau+OldTau)+a*psi))-EXP(alpha*(2*(Tau+OldTau)+b*psi))))/(((EXP(alpha*a*psi)-EXP(alpha*(2*OldTau+b*psi)))^2)*(alpha^2)*(psi^2))</f>
        <v>2.2955049587115E-065</v>
      </c>
      <c r="H11" s="5" t="n">
        <f aca="false">-Beta/alpha</f>
        <v>180</v>
      </c>
      <c r="I11" s="5" t="n">
        <f aca="false">(-EXP(alpha*zeta)*Beta*(-1+EXP(alpha*Size*psi)-Size*alpha*psi))/((alpha^3)*(psi^2))</f>
        <v>348412.752595584</v>
      </c>
      <c r="J11" s="5" t="n">
        <f aca="false">Beta*Theta</f>
        <v>14.4</v>
      </c>
      <c r="K11" s="5" t="n">
        <f aca="false">Beta*Theta</f>
        <v>14.4</v>
      </c>
      <c r="L11" s="5" t="n">
        <f aca="false">kappa</f>
        <v>90</v>
      </c>
      <c r="M11" s="5" t="n">
        <f aca="false">Gamma*Size</f>
        <v>0</v>
      </c>
      <c r="N11" s="5" t="n">
        <f aca="false">Size*Beta*Phi</f>
        <v>3240</v>
      </c>
      <c r="O11" s="5" t="n">
        <f aca="false">-(EXP(alpha*a*psi)+EXP(alpha*b*psi)*(-1+Size*psi*alpha))*(Beta*Phi)/((alpha*psi)*(EXP(alpha*a*psi)-EXP(alpha*b*psi)))</f>
        <v>21.6</v>
      </c>
      <c r="P11" s="5" t="n">
        <f aca="false">(EXP(alpha*(zeta-a*psi))*Beta*Phi*(-EXP(alpha*a*psi)*(-2+(-1)*Size*alpha*psi)+EXP(alpha*b*psi)*(-2+Size*alpha*psi)))/((alpha^3)*(psi^3))</f>
        <v>41528.9294368965</v>
      </c>
      <c r="Q11" s="5" t="n">
        <f aca="false">Tau*Beta</f>
        <v>0</v>
      </c>
      <c r="R11" s="5" t="n">
        <f aca="false">Tau*Beta</f>
        <v>0</v>
      </c>
      <c r="S11" s="6" t="n">
        <f aca="false">Tau</f>
        <v>0</v>
      </c>
      <c r="T11" s="5" t="n">
        <f aca="false">Profit+Utility</f>
        <v>307490.075470874</v>
      </c>
      <c r="U11" s="5" t="n">
        <f aca="false">(2*ij*BRIJ)+2*jj*BRJJ</f>
        <v>0</v>
      </c>
      <c r="V11" s="5" t="n">
        <f aca="false">2*(ij*BCCIJ)+(2*jj*BCCJJ)+BCS+jj*BCPTJJ+2*(ij*BCPTIJ)+BCPTII+BCk</f>
        <v>42083.0976450208</v>
      </c>
      <c r="W11" s="5" t="n">
        <f aca="false">ij*BUTIJ+BUTII</f>
        <v>349573.173115895</v>
      </c>
      <c r="X11" s="5" t="n">
        <f aca="false">Revenue-Cost</f>
        <v>-42083.0976450208</v>
      </c>
      <c r="Y11" s="5" t="n">
        <f aca="false">Size</f>
        <v>1000</v>
      </c>
      <c r="Z11" s="6" t="n">
        <f aca="false">Welfare/(Size)</f>
        <v>307.490075470874</v>
      </c>
      <c r="AA11" s="6" t="n">
        <f aca="false">Profit/(Size)</f>
        <v>-42.0830976450208</v>
      </c>
      <c r="AB11" s="6" t="n">
        <f aca="false">Utility/(Size)</f>
        <v>349.573173115895</v>
      </c>
    </row>
    <row r="12" customFormat="false" ht="13" hidden="false" customHeight="false" outlineLevel="0" collapsed="false">
      <c r="F12" s="2"/>
    </row>
    <row r="13" customFormat="false" ht="13" hidden="false" customHeight="false" outlineLevel="0" collapsed="false">
      <c r="F13" s="2"/>
    </row>
    <row r="14" customFormat="false" ht="13" hidden="false" customHeight="false" outlineLevel="0" collapsed="false">
      <c r="F14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B3" activeCellId="0" sqref="B3:B11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6.28"/>
    <col collapsed="false" customWidth="true" hidden="false" outlineLevel="0" max="2" min="2" style="2" width="6.42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4.71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19" min="10" style="2" width="8.28"/>
    <col collapsed="false" customWidth="true" hidden="false" outlineLevel="0" max="20" min="20" style="2" width="9.99"/>
    <col collapsed="false" customWidth="false" hidden="false" outlineLevel="0" max="21" min="21" style="2" width="8.28"/>
    <col collapsed="false" customWidth="true" hidden="false" outlineLevel="0" max="22" min="22" style="2" width="8.99"/>
    <col collapsed="false" customWidth="true" hidden="false" outlineLevel="0" max="23" min="23" style="2" width="9.13"/>
    <col collapsed="false" customWidth="false" hidden="false" outlineLevel="0" max="257" min="24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</row>
    <row r="2" customFormat="false" ht="13" hidden="false" customHeight="false" outlineLevel="0" collapsed="false">
      <c r="A2" s="2" t="n">
        <v>0</v>
      </c>
      <c r="B2" s="2" t="n">
        <f aca="false">'W-Toll(All-Toll)-Coop'!A2</f>
        <v>0.0889634490185383</v>
      </c>
      <c r="C2" s="2" t="n">
        <v>1</v>
      </c>
      <c r="D2" s="2" t="n">
        <v>0</v>
      </c>
      <c r="E2" s="2" t="n">
        <f aca="false">Size-a</f>
        <v>1</v>
      </c>
      <c r="F2" s="4" t="n">
        <f aca="false">(EXP(alpha*(Tau+OldTau+zeta-2*a*psi))*((EXP(alpha*a*psi)-EXP(alpha*b*psi))^2))/((EXP(alpha*a*psi)-EXP(alpha*(2*OldTau+b*psi)))*(alpha^2)*(psi^2))</f>
        <v>0.82478094881454</v>
      </c>
      <c r="G2" s="4" t="n">
        <f aca="false">(EXP(alpha*(zeta+(2*b-a)*psi))*(-1+EXP(alpha*(-1)*Size*psi))*(EXP(alpha*(2*(Tau+OldTau)+a*psi))-EXP(alpha*(2*(Tau+OldTau)+b*psi))))/(((EXP(alpha*a*psi)-EXP(alpha*(2*OldTau+b*psi)))^2)*(alpha^2)*(psi^2))</f>
        <v>2.32297911322362</v>
      </c>
      <c r="H2" s="5" t="n">
        <f aca="false">-Beta/alpha</f>
        <v>180</v>
      </c>
      <c r="I2" s="5" t="n">
        <f aca="false">(-EXP(alpha*zeta)*Beta*(-1+EXP(alpha*Size*psi)-Size*alpha*psi))/((alpha^3)*(psi^2))</f>
        <v>25.0388962482082</v>
      </c>
      <c r="J2" s="5" t="n">
        <f aca="false">Beta*Theta</f>
        <v>14.4</v>
      </c>
      <c r="K2" s="5" t="n">
        <f aca="false">Beta*Theta</f>
        <v>14.4</v>
      </c>
      <c r="L2" s="5" t="n">
        <f aca="false">kappa</f>
        <v>90</v>
      </c>
      <c r="M2" s="5" t="n">
        <f aca="false">Gamma*Size</f>
        <v>0</v>
      </c>
      <c r="N2" s="5" t="n">
        <f aca="false">Size*Beta*Phi</f>
        <v>3.24</v>
      </c>
      <c r="O2" s="5" t="n">
        <f aca="false">-(EXP(alpha*a*psi)+EXP(alpha*b*psi)*(-1+Size*psi*alpha))*(Beta*Phi)/((alpha*psi)*(EXP(alpha*a*psi)-EXP(alpha*b*psi)))</f>
        <v>1.57951517936842</v>
      </c>
      <c r="P2" s="5" t="n">
        <f aca="false">(EXP(alpha*(zeta-a*psi))*Beta*Phi*(-EXP(alpha*a*psi)*(-2+(-1)*Size*alpha*psi)+EXP(alpha*b*psi)*(-2+Size*alpha*psi)))/((alpha^3)*(psi^3))</f>
        <v>0.146515554131081</v>
      </c>
      <c r="Q2" s="5" t="n">
        <f aca="false">Tau*Beta</f>
        <v>0</v>
      </c>
      <c r="R2" s="5" t="n">
        <f aca="false">Tau*Beta</f>
        <v>0</v>
      </c>
      <c r="S2" s="6" t="n">
        <f aca="false">Tau</f>
        <v>0</v>
      </c>
      <c r="T2" s="5" t="n">
        <f aca="false">Profit+Utility</f>
        <v>-17.4344986894621</v>
      </c>
      <c r="U2" s="5" t="n">
        <f aca="false">(2*ij*BRIJ)+2*jj*BRJJ</f>
        <v>0</v>
      </c>
      <c r="V2" s="5" t="n">
        <f aca="false">2*(ij*BCCIJ)+(2*jj*BCCJJ)+BCS+jj*BCPTJJ+2*(ij*BCPTIJ)+BCPTII+BCk</f>
        <v>190.933965724287</v>
      </c>
      <c r="W2" s="5" t="n">
        <f aca="false">ij*BUTIJ+BUTII</f>
        <v>173.499467034825</v>
      </c>
      <c r="X2" s="5" t="n">
        <f aca="false">Revenue-Cost</f>
        <v>-190.933965724287</v>
      </c>
      <c r="Y2" s="5" t="n">
        <f aca="false">Size</f>
        <v>1</v>
      </c>
      <c r="Z2" s="6" t="n">
        <f aca="false">Welfare/(Size)</f>
        <v>-17.4344986894621</v>
      </c>
      <c r="AA2" s="6" t="n">
        <f aca="false">Profit/(Size)</f>
        <v>-190.933965724287</v>
      </c>
      <c r="AB2" s="6" t="n">
        <f aca="false">Utility/(Size)</f>
        <v>173.499467034825</v>
      </c>
    </row>
    <row r="3" customFormat="false" ht="13" hidden="false" customHeight="false" outlineLevel="0" collapsed="false">
      <c r="A3" s="2" t="n">
        <v>0</v>
      </c>
      <c r="B3" s="2" t="n">
        <f aca="false">'W-Toll(All-Toll)-Coop'!A3</f>
        <v>0.0977818151727462</v>
      </c>
      <c r="C3" s="2" t="n">
        <v>2</v>
      </c>
      <c r="D3" s="2" t="n">
        <v>0</v>
      </c>
      <c r="E3" s="2" t="n">
        <f aca="false">Size-a</f>
        <v>2</v>
      </c>
      <c r="F3" s="4" t="n">
        <f aca="false">(EXP(alpha*(Tau+OldTau+zeta-2*a*psi))*((EXP(alpha*a*psi)-EXP(alpha*b*psi))^2))/((EXP(alpha*a*psi)-EXP(alpha*(2*OldTau+b*psi)))*(alpha^2)*(psi^2))</f>
        <v>2.0251352395451</v>
      </c>
      <c r="G3" s="4" t="n">
        <f aca="false">(EXP(alpha*(zeta+(2*b-a)*psi))*(-1+EXP(alpha*(-1)*Size*psi))*(EXP(alpha*(2*(Tau+OldTau)+a*psi))-EXP(alpha*(2*(Tau+OldTau)+b*psi))))/(((EXP(alpha*a*psi)-EXP(alpha*(2*OldTau+b*psi)))^2)*(alpha^2)*(psi^2))</f>
        <v>3.4815730671309</v>
      </c>
      <c r="H3" s="5" t="n">
        <f aca="false">-Beta/alpha</f>
        <v>180</v>
      </c>
      <c r="I3" s="5" t="n">
        <f aca="false">(-EXP(alpha*zeta)*Beta*(-1+EXP(alpha*Size*psi)-Size*alpha*psi))/((alpha^3)*(psi^2))</f>
        <v>95.4469035152439</v>
      </c>
      <c r="J3" s="5" t="n">
        <f aca="false">Beta*Theta</f>
        <v>14.4</v>
      </c>
      <c r="K3" s="5" t="n">
        <f aca="false">Beta*Theta</f>
        <v>14.4</v>
      </c>
      <c r="L3" s="5" t="n">
        <f aca="false">kappa</f>
        <v>90</v>
      </c>
      <c r="M3" s="5" t="n">
        <f aca="false">Gamma*Size</f>
        <v>0</v>
      </c>
      <c r="N3" s="5" t="n">
        <f aca="false">Size*Beta*Phi</f>
        <v>6.48</v>
      </c>
      <c r="O3" s="5" t="n">
        <f aca="false">-(EXP(alpha*a*psi)+EXP(alpha*b*psi)*(-1+Size*psi*alpha))*(Beta*Phi)/((alpha*psi)*(EXP(alpha*a*psi)-EXP(alpha*b*psi)))</f>
        <v>3.07824248045466</v>
      </c>
      <c r="P3" s="5" t="n">
        <f aca="false">(EXP(alpha*(zeta-a*psi))*Beta*Phi*(-EXP(alpha*a*psi)*(-2+(-1)*Size*alpha*psi)+EXP(alpha*b*psi)*(-2+Size*alpha*psi)))/((alpha^3)*(psi^3))</f>
        <v>1.08926665858103</v>
      </c>
      <c r="Q3" s="5" t="n">
        <f aca="false">Tau*Beta</f>
        <v>0</v>
      </c>
      <c r="R3" s="5" t="n">
        <f aca="false">Tau*Beta</f>
        <v>0</v>
      </c>
      <c r="S3" s="6" t="n">
        <f aca="false">Tau</f>
        <v>0</v>
      </c>
      <c r="T3" s="5" t="n">
        <f aca="false">Profit+Utility</f>
        <v>175.260472621436</v>
      </c>
      <c r="U3" s="5" t="n">
        <f aca="false">(2*ij*BRIJ)+2*jj*BRJJ</f>
        <v>0</v>
      </c>
      <c r="V3" s="5" t="n">
        <f aca="false">2*(ij*BCCIJ)+(2*jj*BCCJJ)+BCS+jj*BCPTJJ+2*(ij*BCPTIJ)+BCPTII+BCk</f>
        <v>284.710774011925</v>
      </c>
      <c r="W3" s="5" t="n">
        <f aca="false">ij*BUTIJ+BUTII</f>
        <v>459.971246633362</v>
      </c>
      <c r="X3" s="5" t="n">
        <f aca="false">Revenue-Cost</f>
        <v>-284.710774011925</v>
      </c>
      <c r="Y3" s="5" t="n">
        <f aca="false">Size</f>
        <v>2</v>
      </c>
      <c r="Z3" s="6" t="n">
        <f aca="false">Welfare/(Size)</f>
        <v>87.6302363107182</v>
      </c>
      <c r="AA3" s="6" t="n">
        <f aca="false">Profit/(Size)</f>
        <v>-142.355387005963</v>
      </c>
      <c r="AB3" s="6" t="n">
        <f aca="false">Utility/(Size)</f>
        <v>229.985623316681</v>
      </c>
    </row>
    <row r="4" customFormat="false" ht="13" hidden="false" customHeight="false" outlineLevel="0" collapsed="false">
      <c r="A4" s="2" t="n">
        <v>0</v>
      </c>
      <c r="B4" s="2" t="n">
        <f aca="false">'W-Toll(All-Toll)-Coop'!A4</f>
        <v>0.122450567347908</v>
      </c>
      <c r="C4" s="2" t="n">
        <v>5</v>
      </c>
      <c r="D4" s="2" t="n">
        <v>0</v>
      </c>
      <c r="E4" s="2" t="n">
        <f aca="false">Size-a</f>
        <v>5</v>
      </c>
      <c r="F4" s="4" t="n">
        <f aca="false">(EXP(alpha*(Tau+OldTau+zeta-2*a*psi))*((EXP(alpha*a*psi)-EXP(alpha*b*psi))^2))/((EXP(alpha*a*psi)-EXP(alpha*(2*OldTau+b*psi)))*(alpha^2)*(psi^2))</f>
        <v>5.07708384645064</v>
      </c>
      <c r="G4" s="4" t="n">
        <f aca="false">(EXP(alpha*(zeta+(2*b-a)*psi))*(-1+EXP(alpha*(-1)*Size*psi))*(EXP(alpha*(2*(Tau+OldTau)+a*psi))-EXP(alpha*(2*(Tau+OldTau)+b*psi))))/(((EXP(alpha*a*psi)-EXP(alpha*(2*OldTau+b*psi)))^2)*(alpha^2)*(psi^2))</f>
        <v>3.36672702045491</v>
      </c>
      <c r="H4" s="5" t="n">
        <f aca="false">-Beta/alpha</f>
        <v>180</v>
      </c>
      <c r="I4" s="5" t="n">
        <f aca="false">(-EXP(alpha*zeta)*Beta*(-1+EXP(alpha*Size*psi)-Size*alpha*psi))/((alpha^3)*(psi^2))</f>
        <v>519.968743125424</v>
      </c>
      <c r="J4" s="5" t="n">
        <f aca="false">Beta*Theta</f>
        <v>14.4</v>
      </c>
      <c r="K4" s="5" t="n">
        <f aca="false">Beta*Theta</f>
        <v>14.4</v>
      </c>
      <c r="L4" s="5" t="n">
        <f aca="false">kappa</f>
        <v>90</v>
      </c>
      <c r="M4" s="5" t="n">
        <f aca="false">Gamma*Size</f>
        <v>0</v>
      </c>
      <c r="N4" s="5" t="n">
        <f aca="false">Size*Beta*Phi</f>
        <v>16.2</v>
      </c>
      <c r="O4" s="5" t="n">
        <f aca="false">-(EXP(alpha*a*psi)+EXP(alpha*b*psi)*(-1+Size*psi*alpha))*(Beta*Phi)/((alpha*psi)*(EXP(alpha*a*psi)-EXP(alpha*b*psi)))</f>
        <v>7.09686682268204</v>
      </c>
      <c r="P4" s="5" t="n">
        <f aca="false">(EXP(alpha*(zeta-a*psi))*Beta*Phi*(-EXP(alpha*a*psi)*(-2+(-1)*Size*alpha*psi)+EXP(alpha*b*psi)*(-2+Size*alpha*psi)))/((alpha^3)*(psi^3))</f>
        <v>13.7516932837258</v>
      </c>
      <c r="Q4" s="5" t="n">
        <f aca="false">Tau*Beta</f>
        <v>0</v>
      </c>
      <c r="R4" s="5" t="n">
        <f aca="false">Tau*Beta</f>
        <v>0</v>
      </c>
      <c r="S4" s="6" t="n">
        <f aca="false">Tau</f>
        <v>0</v>
      </c>
      <c r="T4" s="5" t="n">
        <f aca="false">Profit+Utility</f>
        <v>960.306635692863</v>
      </c>
      <c r="U4" s="5" t="n">
        <f aca="false">(2*ij*BRIJ)+2*jj*BRJJ</f>
        <v>0</v>
      </c>
      <c r="V4" s="5" t="n">
        <f aca="false">2*(ij*BCCIJ)+(2*jj*BCCJJ)+BCS+jj*BCPTJJ+2*(ij*BCPTIJ)+BCPTII+BCk</f>
        <v>473.537199793676</v>
      </c>
      <c r="W4" s="5" t="n">
        <f aca="false">ij*BUTIJ+BUTII</f>
        <v>1433.84383548654</v>
      </c>
      <c r="X4" s="5" t="n">
        <f aca="false">Revenue-Cost</f>
        <v>-473.537199793676</v>
      </c>
      <c r="Y4" s="5" t="n">
        <f aca="false">Size</f>
        <v>5</v>
      </c>
      <c r="Z4" s="6" t="n">
        <f aca="false">Welfare/(Size)</f>
        <v>192.061327138573</v>
      </c>
      <c r="AA4" s="6" t="n">
        <f aca="false">Profit/(Size)</f>
        <v>-94.7074399587352</v>
      </c>
      <c r="AB4" s="6" t="n">
        <f aca="false">Utility/(Size)</f>
        <v>286.768767097308</v>
      </c>
    </row>
    <row r="5" customFormat="false" ht="13" hidden="false" customHeight="false" outlineLevel="0" collapsed="false">
      <c r="A5" s="2" t="n">
        <v>0</v>
      </c>
      <c r="B5" s="2" t="n">
        <f aca="false">'W-Toll(All-Toll)-Coop'!A5</f>
        <v>0.15441518101152</v>
      </c>
      <c r="C5" s="2" t="n">
        <v>10</v>
      </c>
      <c r="D5" s="2" t="n">
        <v>0</v>
      </c>
      <c r="E5" s="2" t="n">
        <f aca="false">Size-a</f>
        <v>10</v>
      </c>
      <c r="F5" s="4" t="n">
        <f aca="false">(EXP(alpha*(Tau+OldTau+zeta-2*a*psi))*((EXP(alpha*a*psi)-EXP(alpha*b*psi))^2))/((EXP(alpha*a*psi)-EXP(alpha*(2*OldTau+b*psi)))*(alpha^2)*(psi^2))</f>
        <v>8.03495936929846</v>
      </c>
      <c r="G5" s="4" t="n">
        <f aca="false">(EXP(alpha*(zeta+(2*b-a)*psi))*(-1+EXP(alpha*(-1)*Size*psi))*(EXP(alpha*(2*(Tau+OldTau)+a*psi))-EXP(alpha*(2*(Tau+OldTau)+b*psi))))/(((EXP(alpha*a*psi)-EXP(alpha*(2*OldTau+b*psi)))^2)*(alpha^2)*(psi^2))</f>
        <v>1.83735829911505</v>
      </c>
      <c r="H5" s="5" t="n">
        <f aca="false">-Beta/alpha</f>
        <v>180</v>
      </c>
      <c r="I5" s="5" t="n">
        <f aca="false">(-EXP(alpha*zeta)*Beta*(-1+EXP(alpha*Size*psi)-Size*alpha*psi))/((alpha^3)*(psi^2))</f>
        <v>1690.92462806846</v>
      </c>
      <c r="J5" s="5" t="n">
        <f aca="false">Beta*Theta</f>
        <v>14.4</v>
      </c>
      <c r="K5" s="5" t="n">
        <f aca="false">Beta*Theta</f>
        <v>14.4</v>
      </c>
      <c r="L5" s="5" t="n">
        <f aca="false">kappa</f>
        <v>90</v>
      </c>
      <c r="M5" s="5" t="n">
        <f aca="false">Gamma*Size</f>
        <v>0</v>
      </c>
      <c r="N5" s="5" t="n">
        <f aca="false">Size*Beta*Phi</f>
        <v>32.4</v>
      </c>
      <c r="O5" s="5" t="n">
        <f aca="false">-(EXP(alpha*a*psi)+EXP(alpha*b*psi)*(-1+Size*psi*alpha))*(Beta*Phi)/((alpha*psi)*(EXP(alpha*a*psi)-EXP(alpha*b*psi)))</f>
        <v>12.2941718960407</v>
      </c>
      <c r="P5" s="5" t="n">
        <f aca="false">(EXP(alpha*(zeta-a*psi))*Beta*Phi*(-EXP(alpha*a*psi)*(-2+(-1)*Size*alpha*psi)+EXP(alpha*b*psi)*(-2+Size*alpha*psi)))/((alpha^3)*(psi^3))</f>
        <v>78.836375998096</v>
      </c>
      <c r="Q5" s="5" t="n">
        <f aca="false">Tau*Beta</f>
        <v>0</v>
      </c>
      <c r="R5" s="5" t="n">
        <f aca="false">Tau*Beta</f>
        <v>0</v>
      </c>
      <c r="S5" s="6" t="n">
        <f aca="false">Tau</f>
        <v>0</v>
      </c>
      <c r="T5" s="5" t="n">
        <f aca="false">Profit+Utility</f>
        <v>2426.96143747473</v>
      </c>
      <c r="U5" s="5" t="n">
        <f aca="false">(2*ij*BRIJ)+2*jj*BRJJ</f>
        <v>0</v>
      </c>
      <c r="V5" s="5" t="n">
        <f aca="false">2*(ij*BCCIJ)+(2*jj*BCCJJ)+BCS+jj*BCPTJJ+2*(ij*BCPTIJ)+BCPTII+BCk</f>
        <v>710.255877067448</v>
      </c>
      <c r="W5" s="5" t="n">
        <f aca="false">ij*BUTIJ+BUTII</f>
        <v>3137.21731454218</v>
      </c>
      <c r="X5" s="5" t="n">
        <f aca="false">Revenue-Cost</f>
        <v>-710.255877067448</v>
      </c>
      <c r="Y5" s="5" t="n">
        <f aca="false">Size</f>
        <v>10</v>
      </c>
      <c r="Z5" s="6" t="n">
        <f aca="false">Welfare/(Size)</f>
        <v>242.696143747473</v>
      </c>
      <c r="AA5" s="6" t="n">
        <f aca="false">Profit/(Size)</f>
        <v>-71.0255877067448</v>
      </c>
      <c r="AB5" s="6" t="n">
        <f aca="false">Utility/(Size)</f>
        <v>313.721731454218</v>
      </c>
    </row>
    <row r="6" customFormat="false" ht="13" hidden="false" customHeight="false" outlineLevel="0" collapsed="false">
      <c r="A6" s="2" t="n">
        <v>0</v>
      </c>
      <c r="B6" s="2" t="n">
        <f aca="false">'W-Toll(All-Toll)-Coop'!A6</f>
        <v>0.18637005171935</v>
      </c>
      <c r="C6" s="2" t="n">
        <v>20</v>
      </c>
      <c r="D6" s="2" t="n">
        <v>0</v>
      </c>
      <c r="E6" s="2" t="n">
        <f aca="false">Size-a</f>
        <v>20</v>
      </c>
      <c r="F6" s="4" t="n">
        <f aca="false">(EXP(alpha*(Tau+OldTau+zeta-2*a*psi))*((EXP(alpha*a*psi)-EXP(alpha*b*psi))^2))/((EXP(alpha*a*psi)-EXP(alpha*(2*OldTau+b*psi)))*(alpha^2)*(psi^2))</f>
        <v>10.0807633079103</v>
      </c>
      <c r="G6" s="4" t="n">
        <f aca="false">(EXP(alpha*(zeta+(2*b-a)*psi))*(-1+EXP(alpha*(-1)*Size*psi))*(EXP(alpha*(2*(Tau+OldTau)+a*psi))-EXP(alpha*(2*(Tau+OldTau)+b*psi))))/(((EXP(alpha*a*psi)-EXP(alpha*(2*OldTau+b*psi)))^2)*(alpha^2)*(psi^2))</f>
        <v>0.431346469461222</v>
      </c>
      <c r="H6" s="5" t="n">
        <f aca="false">-Beta/alpha</f>
        <v>180</v>
      </c>
      <c r="I6" s="5" t="n">
        <f aca="false">(-EXP(alpha*zeta)*Beta*(-1+EXP(alpha*Size*psi)-Size*alpha*psi))/((alpha^3)*(psi^2))</f>
        <v>4793.10036728108</v>
      </c>
      <c r="J6" s="5" t="n">
        <f aca="false">Beta*Theta</f>
        <v>14.4</v>
      </c>
      <c r="K6" s="5" t="n">
        <f aca="false">Beta*Theta</f>
        <v>14.4</v>
      </c>
      <c r="L6" s="5" t="n">
        <f aca="false">kappa</f>
        <v>90</v>
      </c>
      <c r="M6" s="5" t="n">
        <f aca="false">Gamma*Size</f>
        <v>0</v>
      </c>
      <c r="N6" s="5" t="n">
        <f aca="false">Size*Beta*Phi</f>
        <v>64.8</v>
      </c>
      <c r="O6" s="5" t="n">
        <f aca="false">-(EXP(alpha*a*psi)+EXP(alpha*b*psi)*(-1+Size*psi*alpha))*(Beta*Phi)/((alpha*psi)*(EXP(alpha*a*psi)-EXP(alpha*b*psi)))</f>
        <v>18.2047588673666</v>
      </c>
      <c r="P6" s="5" t="n">
        <f aca="false">(EXP(alpha*(zeta-a*psi))*Beta*Phi*(-EXP(alpha*a*psi)*(-2+(-1)*Size*alpha*psi)+EXP(alpha*b*psi)*(-2+Size*alpha*psi)))/((alpha^3)*(psi^3))</f>
        <v>350.452349206022</v>
      </c>
      <c r="Q6" s="5" t="n">
        <f aca="false">Tau*Beta</f>
        <v>0</v>
      </c>
      <c r="R6" s="5" t="n">
        <f aca="false">Tau*Beta</f>
        <v>0</v>
      </c>
      <c r="S6" s="6" t="n">
        <f aca="false">Tau</f>
        <v>0</v>
      </c>
      <c r="T6" s="5" t="n">
        <f aca="false">Profit+Utility</f>
        <v>5469.44967025052</v>
      </c>
      <c r="U6" s="5" t="n">
        <f aca="false">(2*ij*BRIJ)+2*jj*BRJJ</f>
        <v>0</v>
      </c>
      <c r="V6" s="5" t="n">
        <f aca="false">2*(ij*BCCIJ)+(2*jj*BCCJJ)+BCS+jj*BCPTJJ+2*(ij*BCPTIJ)+BCPTII+BCk</f>
        <v>1138.18809245442</v>
      </c>
      <c r="W6" s="5" t="n">
        <f aca="false">ij*BUTIJ+BUTII</f>
        <v>6607.63776270494</v>
      </c>
      <c r="X6" s="5" t="n">
        <f aca="false">Revenue-Cost</f>
        <v>-1138.18809245442</v>
      </c>
      <c r="Y6" s="5" t="n">
        <f aca="false">Size</f>
        <v>20</v>
      </c>
      <c r="Z6" s="6" t="n">
        <f aca="false">Welfare/(Size)</f>
        <v>273.472483512526</v>
      </c>
      <c r="AA6" s="6" t="n">
        <f aca="false">Profit/(Size)</f>
        <v>-56.9094046227209</v>
      </c>
      <c r="AB6" s="6" t="n">
        <f aca="false">Utility/(Size)</f>
        <v>330.381888135247</v>
      </c>
    </row>
    <row r="7" customFormat="false" ht="13" hidden="false" customHeight="false" outlineLevel="0" collapsed="false">
      <c r="A7" s="2" t="n">
        <v>0</v>
      </c>
      <c r="B7" s="2" t="n">
        <f aca="false">'W-Toll(All-Toll)-Coop'!A7</f>
        <v>0.199749850156795</v>
      </c>
      <c r="C7" s="2" t="n">
        <v>50</v>
      </c>
      <c r="D7" s="2" t="n">
        <v>0</v>
      </c>
      <c r="E7" s="2" t="n">
        <f aca="false">Size-a</f>
        <v>50</v>
      </c>
      <c r="F7" s="4" t="n">
        <f aca="false">(EXP(alpha*(Tau+OldTau+zeta-2*a*psi))*((EXP(alpha*a*psi)-EXP(alpha*b*psi))^2))/((EXP(alpha*a*psi)-EXP(alpha*(2*OldTau+b*psi)))*(alpha^2)*(psi^2))</f>
        <v>10.6307914370706</v>
      </c>
      <c r="G7" s="4" t="n">
        <f aca="false">(EXP(alpha*(zeta+(2*b-a)*psi))*(-1+EXP(alpha*(-1)*Size*psi))*(EXP(alpha*(2*(Tau+OldTau)+a*psi))-EXP(alpha*(2*(Tau+OldTau)+b*psi))))/(((EXP(alpha*a*psi)-EXP(alpha*(2*OldTau+b*psi)))^2)*(alpha^2)*(psi^2))</f>
        <v>0.00481690241723259</v>
      </c>
      <c r="H7" s="5" t="n">
        <f aca="false">-Beta/alpha</f>
        <v>180</v>
      </c>
      <c r="I7" s="5" t="n">
        <f aca="false">(-EXP(alpha*zeta)*Beta*(-1+EXP(alpha*Size*psi)-Size*alpha*psi))/((alpha^3)*(psi^2))</f>
        <v>15200.5073390545</v>
      </c>
      <c r="J7" s="5" t="n">
        <f aca="false">Beta*Theta</f>
        <v>14.4</v>
      </c>
      <c r="K7" s="5" t="n">
        <f aca="false">Beta*Theta</f>
        <v>14.4</v>
      </c>
      <c r="L7" s="5" t="n">
        <f aca="false">kappa</f>
        <v>90</v>
      </c>
      <c r="M7" s="5" t="n">
        <f aca="false">Gamma*Size</f>
        <v>0</v>
      </c>
      <c r="N7" s="5" t="n">
        <f aca="false">Size*Beta*Phi</f>
        <v>162</v>
      </c>
      <c r="O7" s="5" t="n">
        <f aca="false">-(EXP(alpha*a*psi)+EXP(alpha*b*psi)*(-1+Size*psi*alpha))*(Beta*Phi)/((alpha*psi)*(EXP(alpha*a*psi)-EXP(alpha*b*psi)))</f>
        <v>21.5103507484362</v>
      </c>
      <c r="P7" s="5" t="n">
        <f aca="false">(EXP(alpha*(zeta-a*psi))*Beta*Phi*(-EXP(alpha*a*psi)*(-2+(-1)*Size*alpha*psi)+EXP(alpha*b*psi)*(-2+Size*alpha*psi)))/((alpha^3)*(psi^3))</f>
        <v>1544.77917175571</v>
      </c>
      <c r="Q7" s="5" t="n">
        <f aca="false">Tau*Beta</f>
        <v>0</v>
      </c>
      <c r="R7" s="5" t="n">
        <f aca="false">Tau*Beta</f>
        <v>0</v>
      </c>
      <c r="S7" s="6" t="n">
        <f aca="false">Tau</f>
        <v>0</v>
      </c>
      <c r="T7" s="5" t="n">
        <f aca="false">Profit+Utility</f>
        <v>14714.8406625129</v>
      </c>
      <c r="U7" s="5" t="n">
        <f aca="false">(2*ij*BRIJ)+2*jj*BRJJ</f>
        <v>0</v>
      </c>
      <c r="V7" s="5" t="n">
        <f aca="false">2*(ij*BCCIJ)+(2*jj*BCCJJ)+BCS+jj*BCPTJJ+2*(ij*BCPTIJ)+BCPTII+BCk</f>
        <v>2399.20913521428</v>
      </c>
      <c r="W7" s="5" t="n">
        <f aca="false">ij*BUTIJ+BUTII</f>
        <v>17114.0497977272</v>
      </c>
      <c r="X7" s="5" t="n">
        <f aca="false">Revenue-Cost</f>
        <v>-2399.20913521428</v>
      </c>
      <c r="Y7" s="5" t="n">
        <f aca="false">Size</f>
        <v>50</v>
      </c>
      <c r="Z7" s="6" t="n">
        <f aca="false">Welfare/(Size)</f>
        <v>294.296813250259</v>
      </c>
      <c r="AA7" s="6" t="n">
        <f aca="false">Profit/(Size)</f>
        <v>-47.9841827042856</v>
      </c>
      <c r="AB7" s="6" t="n">
        <f aca="false">Utility/(Size)</f>
        <v>342.280995954544</v>
      </c>
    </row>
    <row r="8" customFormat="false" ht="13" hidden="false" customHeight="false" outlineLevel="0" collapsed="false">
      <c r="A8" s="2" t="n">
        <v>0</v>
      </c>
      <c r="B8" s="2" t="n">
        <f aca="false">'W-Toll(All-Toll)-Coop'!A8</f>
        <v>0.200002580758362</v>
      </c>
      <c r="C8" s="2" t="n">
        <v>100</v>
      </c>
      <c r="D8" s="2" t="n">
        <v>0</v>
      </c>
      <c r="E8" s="2" t="n">
        <f aca="false">Size-a</f>
        <v>100</v>
      </c>
      <c r="F8" s="4" t="n">
        <f aca="false">(EXP(alpha*(Tau+OldTau+zeta-2*a*psi))*((EXP(alpha*a*psi)-EXP(alpha*b*psi))^2))/((EXP(alpha*a*psi)-EXP(alpha*(2*OldTau+b*psi)))*(alpha^2)*(psi^2))</f>
        <v>10.6359203247388</v>
      </c>
      <c r="G8" s="4" t="n">
        <f aca="false">(EXP(alpha*(zeta+(2*b-a)*psi))*(-1+EXP(alpha*(-1)*Size*psi))*(EXP(alpha*(2*(Tau+OldTau)+a*psi))-EXP(alpha*(2*(Tau+OldTau)+b*psi))))/(((EXP(alpha*a*psi)-EXP(alpha*(2*OldTau+b*psi)))^2)*(alpha^2)*(psi^2))</f>
        <v>2.66377733044623E-006</v>
      </c>
      <c r="H8" s="5" t="n">
        <f aca="false">-Beta/alpha</f>
        <v>180</v>
      </c>
      <c r="I8" s="5" t="n">
        <f aca="false">(-EXP(alpha*zeta)*Beta*(-1+EXP(alpha*Size*psi)-Size*alpha*psi))/((alpha^3)*(psi^2))</f>
        <v>32736.7694155601</v>
      </c>
      <c r="J8" s="5" t="n">
        <f aca="false">Beta*Theta</f>
        <v>14.4</v>
      </c>
      <c r="K8" s="5" t="n">
        <f aca="false">Beta*Theta</f>
        <v>14.4</v>
      </c>
      <c r="L8" s="5" t="n">
        <f aca="false">kappa</f>
        <v>90</v>
      </c>
      <c r="M8" s="5" t="n">
        <f aca="false">Gamma*Size</f>
        <v>0</v>
      </c>
      <c r="N8" s="5" t="n">
        <f aca="false">Size*Beta*Phi</f>
        <v>324</v>
      </c>
      <c r="O8" s="5" t="n">
        <f aca="false">-(EXP(alpha*a*psi)+EXP(alpha*b*psi)*(-1+Size*psi*alpha))*(Beta*Phi)/((alpha*psi)*(EXP(alpha*a*psi)-EXP(alpha*b*psi)))</f>
        <v>21.5999008876178</v>
      </c>
      <c r="P8" s="5" t="n">
        <f aca="false">(EXP(alpha*(zeta-a*psi))*Beta*Phi*(-EXP(alpha*a*psi)*(-2+(-1)*Size*alpha*psi)+EXP(alpha*b*psi)*(-2+Size*alpha*psi)))/((alpha^3)*(psi^3))</f>
        <v>3647.81282867692</v>
      </c>
      <c r="Q8" s="5" t="n">
        <f aca="false">Tau*Beta</f>
        <v>0</v>
      </c>
      <c r="R8" s="5" t="n">
        <f aca="false">Tau*Beta</f>
        <v>0</v>
      </c>
      <c r="S8" s="6" t="n">
        <f aca="false">Tau</f>
        <v>0</v>
      </c>
      <c r="T8" s="5" t="n">
        <f aca="false">Profit+Utility</f>
        <v>30147.6371504771</v>
      </c>
      <c r="U8" s="5" t="n">
        <f aca="false">(2*ij*BRIJ)+2*jj*BRJJ</f>
        <v>0</v>
      </c>
      <c r="V8" s="5" t="n">
        <f aca="false">2*(ij*BCCIJ)+(2*jj*BCCJJ)+BCS+jj*BCPTJJ+2*(ij*BCPTIJ)+BCPTII+BCk</f>
        <v>4503.59792353596</v>
      </c>
      <c r="W8" s="5" t="n">
        <f aca="false">ij*BUTIJ+BUTII</f>
        <v>34651.2350740131</v>
      </c>
      <c r="X8" s="5" t="n">
        <f aca="false">Revenue-Cost</f>
        <v>-4503.59792353596</v>
      </c>
      <c r="Y8" s="5" t="n">
        <f aca="false">Size</f>
        <v>100</v>
      </c>
      <c r="Z8" s="6" t="n">
        <f aca="false">Welfare/(Size)</f>
        <v>301.476371504771</v>
      </c>
      <c r="AA8" s="6" t="n">
        <f aca="false">Profit/(Size)</f>
        <v>-45.0359792353596</v>
      </c>
      <c r="AB8" s="6" t="n">
        <f aca="false">Utility/(Size)</f>
        <v>346.512350740131</v>
      </c>
    </row>
    <row r="9" customFormat="false" ht="13" hidden="false" customHeight="false" outlineLevel="0" collapsed="false">
      <c r="A9" s="2" t="n">
        <v>0</v>
      </c>
      <c r="B9" s="2" t="n">
        <f aca="false">'W-Toll(All-Toll)-Coop'!A9</f>
        <v>0.200002811538664</v>
      </c>
      <c r="C9" s="2" t="n">
        <v>200</v>
      </c>
      <c r="D9" s="2" t="n">
        <v>0</v>
      </c>
      <c r="E9" s="2" t="n">
        <f aca="false">Size-a</f>
        <v>200</v>
      </c>
      <c r="F9" s="4" t="n">
        <f aca="false">(EXP(alpha*(Tau+OldTau+zeta-2*a*psi))*((EXP(alpha*a*psi)-EXP(alpha*b*psi))^2))/((EXP(alpha*a*psi)-EXP(alpha*(2*OldTau+b*psi)))*(alpha^2)*(psi^2))</f>
        <v>10.6359221963726</v>
      </c>
      <c r="G9" s="4" t="n">
        <f aca="false">(EXP(alpha*(zeta+(2*b-a)*psi))*(-1+EXP(alpha*(-1)*Size*psi))*(EXP(alpha*(2*(Tau+OldTau)+a*psi))-EXP(alpha*(2*(Tau+OldTau)+b*psi))))/(((EXP(alpha*a*psi)-EXP(alpha*(2*OldTau+b*psi)))^2)*(alpha^2)*(psi^2))</f>
        <v>8.14855454936298E-013</v>
      </c>
      <c r="H9" s="5" t="n">
        <f aca="false">-Beta/alpha</f>
        <v>180</v>
      </c>
      <c r="I9" s="5" t="n">
        <f aca="false">(-EXP(alpha*zeta)*Beta*(-1+EXP(alpha*Size*psi)-Size*alpha*psi))/((alpha^3)*(psi^2))</f>
        <v>67811.8780219596</v>
      </c>
      <c r="J9" s="5" t="n">
        <f aca="false">Beta*Theta</f>
        <v>14.4</v>
      </c>
      <c r="K9" s="5" t="n">
        <f aca="false">Beta*Theta</f>
        <v>14.4</v>
      </c>
      <c r="L9" s="5" t="n">
        <f aca="false">kappa</f>
        <v>90</v>
      </c>
      <c r="M9" s="5" t="n">
        <f aca="false">Gamma*Size</f>
        <v>0</v>
      </c>
      <c r="N9" s="5" t="n">
        <f aca="false">Size*Beta*Phi</f>
        <v>648</v>
      </c>
      <c r="O9" s="5" t="n">
        <f aca="false">-(EXP(alpha*a*psi)+EXP(alpha*b*psi)*(-1+Size*psi*alpha))*(Beta*Phi)/((alpha*psi)*(EXP(alpha*a*psi)-EXP(alpha*b*psi)))</f>
        <v>21.5999999999394</v>
      </c>
      <c r="P9" s="5" t="n">
        <f aca="false">(EXP(alpha*(zeta-a*psi))*Beta*Phi*(-EXP(alpha*a*psi)*(-2+(-1)*Size*alpha*psi)+EXP(alpha*b*psi)*(-2+Size*alpha*psi)))/((alpha^3)*(psi^3))</f>
        <v>7856.82448806234</v>
      </c>
      <c r="Q9" s="5" t="n">
        <f aca="false">Tau*Beta</f>
        <v>0</v>
      </c>
      <c r="R9" s="5" t="n">
        <f aca="false">Tau*Beta</f>
        <v>0</v>
      </c>
      <c r="S9" s="6" t="n">
        <f aca="false">Tau</f>
        <v>0</v>
      </c>
      <c r="T9" s="5" t="n">
        <f aca="false">Profit+Utility</f>
        <v>61013.7331311062</v>
      </c>
      <c r="U9" s="5" t="n">
        <f aca="false">(2*ij*BRIJ)+2*jj*BRJJ</f>
        <v>0</v>
      </c>
      <c r="V9" s="5" t="n">
        <f aca="false">2*(ij*BCCIJ)+(2*jj*BCCJJ)+BCS+jj*BCPTJJ+2*(ij*BCPTIJ)+BCPTII+BCk</f>
        <v>8712.61088620043</v>
      </c>
      <c r="W9" s="5" t="n">
        <f aca="false">ij*BUTIJ+BUTII</f>
        <v>69726.3440173067</v>
      </c>
      <c r="X9" s="5" t="n">
        <f aca="false">Revenue-Cost</f>
        <v>-8712.61088620043</v>
      </c>
      <c r="Y9" s="5" t="n">
        <f aca="false">Size</f>
        <v>200</v>
      </c>
      <c r="Z9" s="6" t="n">
        <f aca="false">Welfare/(Size)</f>
        <v>305.068665655531</v>
      </c>
      <c r="AA9" s="6" t="n">
        <f aca="false">Profit/(Size)</f>
        <v>-43.5630544310021</v>
      </c>
      <c r="AB9" s="6" t="n">
        <f aca="false">Utility/(Size)</f>
        <v>348.631720086533</v>
      </c>
    </row>
    <row r="10" customFormat="false" ht="13" hidden="false" customHeight="false" outlineLevel="0" collapsed="false">
      <c r="A10" s="2" t="n">
        <v>0</v>
      </c>
      <c r="B10" s="2" t="n">
        <f aca="false">'W-Toll(All-Toll)-Coop'!A10</f>
        <v>0.201159993587472</v>
      </c>
      <c r="C10" s="2" t="n">
        <v>500</v>
      </c>
      <c r="D10" s="2" t="n">
        <v>0</v>
      </c>
      <c r="E10" s="2" t="n">
        <f aca="false">Size-a</f>
        <v>500</v>
      </c>
      <c r="F10" s="4" t="n">
        <f aca="false">(EXP(alpha*(Tau+OldTau+zeta-2*a*psi))*((EXP(alpha*a*psi)-EXP(alpha*b*psi))^2))/((EXP(alpha*a*psi)-EXP(alpha*(2*OldTau+b*psi)))*(alpha^2)*(psi^2))</f>
        <v>10.6236216165135</v>
      </c>
      <c r="G10" s="4" t="n">
        <f aca="false">(EXP(alpha*(zeta+(2*b-a)*psi))*(-1+EXP(alpha*(-1)*Size*psi))*(EXP(alpha*(2*(Tau+OldTau)+a*psi))-EXP(alpha*(2*(Tau+OldTau)+b*psi))))/(((EXP(alpha*a*psi)-EXP(alpha*(2*OldTau+b*psi)))^2)*(alpha^2)*(psi^2))</f>
        <v>2.32714677802734E-032</v>
      </c>
      <c r="H10" s="5" t="n">
        <f aca="false">-Beta/alpha</f>
        <v>180</v>
      </c>
      <c r="I10" s="5" t="n">
        <f aca="false">(-EXP(alpha*zeta)*Beta*(-1+EXP(alpha*Size*psi)-Size*alpha*psi))/((alpha^3)*(psi^2))</f>
        <v>173037.205987069</v>
      </c>
      <c r="J10" s="5" t="n">
        <f aca="false">Beta*Theta</f>
        <v>14.4</v>
      </c>
      <c r="K10" s="5" t="n">
        <f aca="false">Beta*Theta</f>
        <v>14.4</v>
      </c>
      <c r="L10" s="5" t="n">
        <f aca="false">kappa</f>
        <v>90</v>
      </c>
      <c r="M10" s="5" t="n">
        <f aca="false">Gamma*Size</f>
        <v>0</v>
      </c>
      <c r="N10" s="5" t="n">
        <f aca="false">Size*Beta*Phi</f>
        <v>1620</v>
      </c>
      <c r="O10" s="5" t="n">
        <f aca="false">-(EXP(alpha*a*psi)+EXP(alpha*b*psi)*(-1+Size*psi*alpha))*(Beta*Phi)/((alpha*psi)*(EXP(alpha*a*psi)-EXP(alpha*b*psi)))</f>
        <v>21.6</v>
      </c>
      <c r="P10" s="5" t="n">
        <f aca="false">(EXP(alpha*(zeta-a*psi))*Beta*Phi*(-EXP(alpha*a*psi)*(-2+(-1)*Size*alpha*psi)+EXP(alpha*b*psi)*(-2+Size*alpha*psi)))/((alpha^3)*(psi^3))</f>
        <v>20483.8638438746</v>
      </c>
      <c r="Q10" s="5" t="n">
        <f aca="false">Tau*Beta</f>
        <v>0</v>
      </c>
      <c r="R10" s="5" t="n">
        <f aca="false">Tau*Beta</f>
        <v>0</v>
      </c>
      <c r="S10" s="6" t="n">
        <f aca="false">Tau</f>
        <v>0</v>
      </c>
      <c r="T10" s="5" t="n">
        <f aca="false">Profit+Utility</f>
        <v>153610.693277778</v>
      </c>
      <c r="U10" s="5" t="n">
        <f aca="false">(2*ij*BRIJ)+2*jj*BRJJ</f>
        <v>0</v>
      </c>
      <c r="V10" s="5" t="n">
        <f aca="false">2*(ij*BCCIJ)+(2*jj*BCCJJ)+BCS+jj*BCPTJJ+2*(ij*BCPTIJ)+BCPTII+BCk</f>
        <v>21338.7646002636</v>
      </c>
      <c r="W10" s="5" t="n">
        <f aca="false">ij*BUTIJ+BUTII</f>
        <v>174949.457878041</v>
      </c>
      <c r="X10" s="5" t="n">
        <f aca="false">Revenue-Cost</f>
        <v>-21338.7646002636</v>
      </c>
      <c r="Y10" s="5" t="n">
        <f aca="false">Size</f>
        <v>500</v>
      </c>
      <c r="Z10" s="6" t="n">
        <f aca="false">Welfare/(Size)</f>
        <v>307.221386555555</v>
      </c>
      <c r="AA10" s="6" t="n">
        <f aca="false">Profit/(Size)</f>
        <v>-42.6775292005272</v>
      </c>
      <c r="AB10" s="6" t="n">
        <f aca="false">Utility/(Size)</f>
        <v>349.898915756082</v>
      </c>
    </row>
    <row r="11" customFormat="false" ht="13" hidden="false" customHeight="false" outlineLevel="0" collapsed="false">
      <c r="A11" s="2" t="n">
        <v>0</v>
      </c>
      <c r="B11" s="2" t="n">
        <f aca="false">'W-Toll(All-Toll)-Coop'!A11</f>
        <v>0.201159993587526</v>
      </c>
      <c r="C11" s="2" t="n">
        <v>1000</v>
      </c>
      <c r="D11" s="2" t="n">
        <v>0</v>
      </c>
      <c r="E11" s="2" t="n">
        <f aca="false">Size-a</f>
        <v>1000</v>
      </c>
      <c r="F11" s="4" t="n">
        <f aca="false">(EXP(alpha*(Tau+OldTau+zeta-2*a*psi))*((EXP(alpha*a*psi)-EXP(alpha*b*psi))^2))/((EXP(alpha*a*psi)-EXP(alpha*(2*OldTau+b*psi)))*(alpha^2)*(psi^2))</f>
        <v>10.6236216165129</v>
      </c>
      <c r="G11" s="4" t="n">
        <f aca="false">(EXP(alpha*(zeta+(2*b-a)*psi))*(-1+EXP(alpha*(-1)*Size*psi))*(EXP(alpha*(2*(Tau+OldTau)+a*psi))-EXP(alpha*(2*(Tau+OldTau)+b*psi))))/(((EXP(alpha*a*psi)-EXP(alpha*(2*OldTau+b*psi)))^2)*(alpha^2)*(psi^2))</f>
        <v>6.23358137517575E-065</v>
      </c>
      <c r="H11" s="5" t="n">
        <f aca="false">-Beta/alpha</f>
        <v>180</v>
      </c>
      <c r="I11" s="5" t="n">
        <f aca="false">(-EXP(alpha*zeta)*Beta*(-1+EXP(alpha*Size*psi)-Size*alpha*psi))/((alpha^3)*(psi^2))</f>
        <v>348412.752595584</v>
      </c>
      <c r="J11" s="5" t="n">
        <f aca="false">Beta*Theta</f>
        <v>14.4</v>
      </c>
      <c r="K11" s="5" t="n">
        <f aca="false">Beta*Theta</f>
        <v>14.4</v>
      </c>
      <c r="L11" s="5" t="n">
        <f aca="false">kappa</f>
        <v>90</v>
      </c>
      <c r="M11" s="5" t="n">
        <f aca="false">Gamma*Size</f>
        <v>0</v>
      </c>
      <c r="N11" s="5" t="n">
        <f aca="false">Size*Beta*Phi</f>
        <v>3240</v>
      </c>
      <c r="O11" s="5" t="n">
        <f aca="false">-(EXP(alpha*a*psi)+EXP(alpha*b*psi)*(-1+Size*psi*alpha))*(Beta*Phi)/((alpha*psi)*(EXP(alpha*a*psi)-EXP(alpha*b*psi)))</f>
        <v>21.6</v>
      </c>
      <c r="P11" s="5" t="n">
        <f aca="false">(EXP(alpha*(zeta-a*psi))*Beta*Phi*(-EXP(alpha*a*psi)*(-2+(-1)*Size*alpha*psi)+EXP(alpha*b*psi)*(-2+Size*alpha*psi)))/((alpha^3)*(psi^3))</f>
        <v>41528.9294368965</v>
      </c>
      <c r="Q11" s="5" t="n">
        <f aca="false">Tau*Beta</f>
        <v>0</v>
      </c>
      <c r="R11" s="5" t="n">
        <f aca="false">Tau*Beta</f>
        <v>0</v>
      </c>
      <c r="S11" s="6" t="n">
        <f aca="false">Tau</f>
        <v>0</v>
      </c>
      <c r="T11" s="5" t="n">
        <f aca="false">Profit+Utility</f>
        <v>307941.174293271</v>
      </c>
      <c r="U11" s="5" t="n">
        <f aca="false">(2*ij*BRIJ)+2*jj*BRJJ</f>
        <v>0</v>
      </c>
      <c r="V11" s="5" t="n">
        <f aca="false">2*(ij*BCCIJ)+(2*jj*BCCJJ)+BCS+jj*BCPTJJ+2*(ij*BCPTIJ)+BCPTII+BCk</f>
        <v>42383.8301932854</v>
      </c>
      <c r="W11" s="5" t="n">
        <f aca="false">ij*BUTIJ+BUTII</f>
        <v>350325.004486557</v>
      </c>
      <c r="X11" s="5" t="n">
        <f aca="false">Revenue-Cost</f>
        <v>-42383.8301932854</v>
      </c>
      <c r="Y11" s="5" t="n">
        <f aca="false">Size</f>
        <v>1000</v>
      </c>
      <c r="Z11" s="6" t="n">
        <f aca="false">Welfare/(Size)</f>
        <v>307.941174293271</v>
      </c>
      <c r="AA11" s="6" t="n">
        <f aca="false">Profit/(Size)</f>
        <v>-42.3838301932854</v>
      </c>
      <c r="AB11" s="6" t="n">
        <f aca="false">Utility/(Size)</f>
        <v>350.325004486557</v>
      </c>
    </row>
    <row r="12" customFormat="false" ht="13" hidden="false" customHeight="false" outlineLevel="0" collapsed="false">
      <c r="F12" s="2"/>
    </row>
    <row r="13" customFormat="false" ht="13" hidden="false" customHeight="false" outlineLevel="0" collapsed="false">
      <c r="F13" s="2"/>
    </row>
    <row r="14" customFormat="false" ht="13" hidden="false" customHeight="false" outlineLevel="0" collapsed="false">
      <c r="F14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4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pane xSplit="19540" ySplit="0" topLeftCell="Z1" activePane="topLeft" state="split"/>
      <selection pane="topLeft" activeCell="Z14" activeCellId="0" sqref="Z14"/>
      <selection pane="topRight" activeCell="Z23" activeCellId="0" sqref="Z23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6.28"/>
    <col collapsed="false" customWidth="true" hidden="false" outlineLevel="0" max="2" min="2" style="2" width="6.42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4.71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19" min="10" style="2" width="8.28"/>
    <col collapsed="false" customWidth="true" hidden="false" outlineLevel="0" max="20" min="20" style="2" width="9.99"/>
    <col collapsed="false" customWidth="false" hidden="false" outlineLevel="0" max="21" min="21" style="2" width="8.28"/>
    <col collapsed="false" customWidth="true" hidden="false" outlineLevel="0" max="22" min="22" style="2" width="8.99"/>
    <col collapsed="false" customWidth="true" hidden="false" outlineLevel="0" max="23" min="23" style="2" width="9.13"/>
    <col collapsed="false" customWidth="false" hidden="false" outlineLevel="0" max="257" min="24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41</v>
      </c>
      <c r="AA1" s="2" t="s">
        <v>39</v>
      </c>
      <c r="AB1" s="2" t="s">
        <v>40</v>
      </c>
      <c r="AC1" s="2" t="s">
        <v>42</v>
      </c>
    </row>
    <row r="2" customFormat="false" ht="13" hidden="false" customHeight="false" outlineLevel="0" collapsed="false">
      <c r="A2" s="2" t="n">
        <v>0.588869338714299</v>
      </c>
      <c r="B2" s="2" t="n">
        <v>0.588875674668721</v>
      </c>
      <c r="C2" s="2" t="n">
        <v>1</v>
      </c>
      <c r="D2" s="2" t="n">
        <v>0</v>
      </c>
      <c r="E2" s="2" t="n">
        <f aca="false">Size-a</f>
        <v>1</v>
      </c>
      <c r="F2" s="4" t="n">
        <f aca="false">(EXP(alpha*(Tau+OldTau+zeta-2*a*psi))*((EXP(alpha*a*psi)-EXP(alpha*b*psi))^2))/((EXP(alpha*a*psi)-EXP(alpha*(2*OldTau+b*psi)))*(alpha^2)*(psi^2))</f>
        <v>0.105622196028699</v>
      </c>
      <c r="G2" s="4" t="n">
        <f aca="false">(EXP(alpha*(zeta+(2*b-a)*psi))*(-1+EXP(alpha*(-1)*Size*psi))*(EXP(alpha*(2*(Tau+OldTau)+a*psi))-EXP(alpha*(2*(Tau+OldTau)+b*psi))))/(((EXP(alpha*a*psi)-EXP(alpha*(2*OldTau+b*psi)))^2)*(alpha^2)*(psi^2))</f>
        <v>0.0380959184903651</v>
      </c>
      <c r="H2" s="5" t="n">
        <f aca="false">-Beta/alpha</f>
        <v>180</v>
      </c>
      <c r="I2" s="5" t="n">
        <f aca="false">(-EXP(alpha*zeta)*Beta*(-1+EXP(alpha*Size*psi)-Size*alpha*psi))/((alpha^3)*(psi^2))</f>
        <v>25.0388962482082</v>
      </c>
      <c r="J2" s="5" t="n">
        <f aca="false">Beta*Theta</f>
        <v>14.4</v>
      </c>
      <c r="K2" s="5" t="n">
        <f aca="false">Beta*Theta</f>
        <v>14.4</v>
      </c>
      <c r="L2" s="5" t="n">
        <f aca="false">kappa</f>
        <v>90</v>
      </c>
      <c r="M2" s="5" t="n">
        <f aca="false">Gamma*Size</f>
        <v>0</v>
      </c>
      <c r="N2" s="5" t="n">
        <f aca="false">Size*Beta*Phi</f>
        <v>3.24</v>
      </c>
      <c r="O2" s="5" t="n">
        <f aca="false">-(EXP(alpha*a*psi)+EXP(alpha*b*psi)*(-1+Size*psi*alpha))*(Beta*Phi)/((alpha*psi)*(EXP(alpha*a*psi)-EXP(alpha*b*psi)))</f>
        <v>1.57951517936842</v>
      </c>
      <c r="P2" s="5" t="n">
        <f aca="false">(EXP(alpha*(zeta-a*psi))*Beta*Phi*(-EXP(alpha*a*psi)*(-2+(-1)*Size*alpha*psi)+EXP(alpha*b*psi)*(-2+Size*alpha*psi)))/((alpha^3)*(psi^3))</f>
        <v>0.146515554131081</v>
      </c>
      <c r="Q2" s="5" t="n">
        <f aca="false">Tau*Beta</f>
        <v>105.996480968574</v>
      </c>
      <c r="R2" s="5" t="n">
        <f aca="false">Tau*Beta</f>
        <v>105.996480968574</v>
      </c>
      <c r="S2" s="6" t="n">
        <f aca="false">Tau</f>
        <v>0.588869338714299</v>
      </c>
      <c r="T2" s="5" t="n">
        <f aca="false">Profit+Utility</f>
        <v>-20.2245714377075</v>
      </c>
      <c r="U2" s="5" t="n">
        <f aca="false">(2*ij*BRIJ)+2*jj*BRJJ</f>
        <v>30.4672287809186</v>
      </c>
      <c r="V2" s="5" t="n">
        <f aca="false">2*(ij*BCCIJ)+(2*jj*BCCJJ)+BCS+jj*BCPTJJ+2*(ij*BCPTIJ)+BCPTII+BCk</f>
        <v>94.742691752</v>
      </c>
      <c r="W2" s="5" t="n">
        <f aca="false">ij*BUTIJ+BUTII</f>
        <v>44.050891533374</v>
      </c>
      <c r="X2" s="5" t="n">
        <f aca="false">Revenue-Cost</f>
        <v>-64.2754629710815</v>
      </c>
      <c r="Y2" s="5" t="n">
        <f aca="false">Size</f>
        <v>1</v>
      </c>
      <c r="Z2" s="6" t="n">
        <f aca="false">Welfare/(Size)</f>
        <v>-20.2245714377075</v>
      </c>
      <c r="AA2" s="6" t="n">
        <f aca="false">Profit/(Size)</f>
        <v>-64.2754629710815</v>
      </c>
      <c r="AB2" s="6" t="n">
        <f aca="false">Utility/(Size)</f>
        <v>44.050891533374</v>
      </c>
      <c r="AC2" s="2" t="n">
        <v>-40.8946620296133</v>
      </c>
    </row>
    <row r="3" customFormat="false" ht="13" hidden="false" customHeight="false" outlineLevel="0" collapsed="false">
      <c r="A3" s="2" t="n">
        <v>0.597430597149462</v>
      </c>
      <c r="B3" s="2" t="n">
        <v>0.597452472154185</v>
      </c>
      <c r="C3" s="2" t="n">
        <v>2</v>
      </c>
      <c r="D3" s="2" t="n">
        <v>0</v>
      </c>
      <c r="E3" s="2" t="n">
        <f aca="false">Size-a</f>
        <v>2</v>
      </c>
      <c r="F3" s="4" t="n">
        <f aca="false">(EXP(alpha*(Tau+OldTau+zeta-2*a*psi))*((EXP(alpha*a*psi)-EXP(alpha*b*psi))^2))/((EXP(alpha*a*psi)-EXP(alpha*(2*OldTau+b*psi)))*(alpha^2)*(psi^2))</f>
        <v>0.340566909707085</v>
      </c>
      <c r="G3" s="4" t="n">
        <f aca="false">(EXP(alpha*(zeta+(2*b-a)*psi))*(-1+EXP(alpha*(-1)*Size*psi))*(EXP(alpha*(2*(Tau+OldTau)+a*psi))-EXP(alpha*(2*(Tau+OldTau)+b*psi))))/(((EXP(alpha*a*psi)-EXP(alpha*(2*OldTau+b*psi)))^2)*(alpha^2)*(psi^2))</f>
        <v>0.0984628380198925</v>
      </c>
      <c r="H3" s="5" t="n">
        <f aca="false">-Beta/alpha</f>
        <v>180</v>
      </c>
      <c r="I3" s="5" t="n">
        <f aca="false">(-EXP(alpha*zeta)*Beta*(-1+EXP(alpha*Size*psi)-Size*alpha*psi))/((alpha^3)*(psi^2))</f>
        <v>95.4469035152439</v>
      </c>
      <c r="J3" s="5" t="n">
        <f aca="false">Beta*Theta</f>
        <v>14.4</v>
      </c>
      <c r="K3" s="5" t="n">
        <f aca="false">Beta*Theta</f>
        <v>14.4</v>
      </c>
      <c r="L3" s="5" t="n">
        <f aca="false">kappa</f>
        <v>90</v>
      </c>
      <c r="M3" s="5" t="n">
        <f aca="false">Gamma*Size</f>
        <v>0</v>
      </c>
      <c r="N3" s="5" t="n">
        <f aca="false">Size*Beta*Phi</f>
        <v>6.48</v>
      </c>
      <c r="O3" s="5" t="n">
        <f aca="false">-(EXP(alpha*a*psi)+EXP(alpha*b*psi)*(-1+Size*psi*alpha))*(Beta*Phi)/((alpha*psi)*(EXP(alpha*a*psi)-EXP(alpha*b*psi)))</f>
        <v>3.07824248045466</v>
      </c>
      <c r="P3" s="5" t="n">
        <f aca="false">(EXP(alpha*(zeta-a*psi))*Beta*Phi*(-EXP(alpha*a*psi)*(-2+(-1)*Size*alpha*psi)+EXP(alpha*b*psi)*(-2+Size*alpha*psi)))/((alpha^3)*(psi^3))</f>
        <v>1.08926665858103</v>
      </c>
      <c r="Q3" s="5" t="n">
        <f aca="false">Tau*Beta</f>
        <v>107.537507486903</v>
      </c>
      <c r="R3" s="5" t="n">
        <f aca="false">Tau*Beta</f>
        <v>107.537507486903</v>
      </c>
      <c r="S3" s="6" t="n">
        <f aca="false">Tau</f>
        <v>0.597430597149462</v>
      </c>
      <c r="T3" s="5" t="n">
        <f aca="false">Profit+Utility</f>
        <v>144.705219187564</v>
      </c>
      <c r="U3" s="5" t="n">
        <f aca="false">(2*ij*BRIJ)+2*jj*BRJJ</f>
        <v>94.4243295663262</v>
      </c>
      <c r="V3" s="5" t="n">
        <f aca="false">2*(ij*BCCIJ)+(2*jj*BCCJJ)+BCS+jj*BCPTJJ+2*(ij*BCPTIJ)+BCPTII+BCk</f>
        <v>106.468057641282</v>
      </c>
      <c r="W3" s="5" t="n">
        <f aca="false">ij*BUTIJ+BUTII</f>
        <v>156.748947262519</v>
      </c>
      <c r="X3" s="5" t="n">
        <f aca="false">Revenue-Cost</f>
        <v>-12.0437280749557</v>
      </c>
      <c r="Y3" s="5" t="n">
        <f aca="false">Size</f>
        <v>2</v>
      </c>
      <c r="Z3" s="6" t="n">
        <f aca="false">Welfare/(Size)</f>
        <v>72.3526095937818</v>
      </c>
      <c r="AA3" s="6" t="n">
        <f aca="false">Profit/(Size)</f>
        <v>-6.02186403747786</v>
      </c>
      <c r="AB3" s="6" t="n">
        <f aca="false">Utility/(Size)</f>
        <v>78.3744736312596</v>
      </c>
      <c r="AC3" s="2" t="n">
        <v>41.3310071998244</v>
      </c>
    </row>
    <row r="4" customFormat="false" ht="13" hidden="false" customHeight="false" outlineLevel="0" collapsed="false">
      <c r="A4" s="2" t="n">
        <v>0.620765513567254</v>
      </c>
      <c r="B4" s="2" t="n">
        <v>0.620851698414145</v>
      </c>
      <c r="C4" s="2" t="n">
        <v>5</v>
      </c>
      <c r="D4" s="2" t="n">
        <v>0</v>
      </c>
      <c r="E4" s="2" t="n">
        <f aca="false">Size-a</f>
        <v>5</v>
      </c>
      <c r="F4" s="4" t="n">
        <f aca="false">(EXP(alpha*(Tau+OldTau+zeta-2*a*psi))*((EXP(alpha*a*psi)-EXP(alpha*b*psi))^2))/((EXP(alpha*a*psi)-EXP(alpha*(2*OldTau+b*psi)))*(alpha^2)*(psi^2))</f>
        <v>1.21001662964281</v>
      </c>
      <c r="G4" s="4" t="n">
        <f aca="false">(EXP(alpha*(zeta+(2*b-a)*psi))*(-1+EXP(alpha*(-1)*Size*psi))*(EXP(alpha*(2*(Tau+OldTau)+a*psi))-EXP(alpha*(2*(Tau+OldTau)+b*psi))))/(((EXP(alpha*a*psi)-EXP(alpha*(2*OldTau+b*psi)))^2)*(alpha^2)*(psi^2))</f>
        <v>0.191232591807001</v>
      </c>
      <c r="H4" s="5" t="n">
        <f aca="false">-Beta/alpha</f>
        <v>180</v>
      </c>
      <c r="I4" s="5" t="n">
        <f aca="false">(-EXP(alpha*zeta)*Beta*(-1+EXP(alpha*Size*psi)-Size*alpha*psi))/((alpha^3)*(psi^2))</f>
        <v>519.968743125424</v>
      </c>
      <c r="J4" s="5" t="n">
        <f aca="false">Beta*Theta</f>
        <v>14.4</v>
      </c>
      <c r="K4" s="5" t="n">
        <f aca="false">Beta*Theta</f>
        <v>14.4</v>
      </c>
      <c r="L4" s="5" t="n">
        <f aca="false">kappa</f>
        <v>90</v>
      </c>
      <c r="M4" s="5" t="n">
        <f aca="false">Gamma*Size</f>
        <v>0</v>
      </c>
      <c r="N4" s="5" t="n">
        <f aca="false">Size*Beta*Phi</f>
        <v>16.2</v>
      </c>
      <c r="O4" s="5" t="n">
        <f aca="false">-(EXP(alpha*a*psi)+EXP(alpha*b*psi)*(-1+Size*psi*alpha))*(Beta*Phi)/((alpha*psi)*(EXP(alpha*a*psi)-EXP(alpha*b*psi)))</f>
        <v>7.09686682268204</v>
      </c>
      <c r="P4" s="5" t="n">
        <f aca="false">(EXP(alpha*(zeta-a*psi))*Beta*Phi*(-EXP(alpha*a*psi)*(-2+(-1)*Size*alpha*psi)+EXP(alpha*b*psi)*(-2+Size*alpha*psi)))/((alpha^3)*(psi^3))</f>
        <v>13.7516932837258</v>
      </c>
      <c r="Q4" s="5" t="n">
        <f aca="false">Tau*Beta</f>
        <v>111.737792442106</v>
      </c>
      <c r="R4" s="5" t="n">
        <f aca="false">Tau*Beta</f>
        <v>111.737792442106</v>
      </c>
      <c r="S4" s="6" t="n">
        <f aca="false">Tau</f>
        <v>0.620765513567254</v>
      </c>
      <c r="T4" s="5" t="n">
        <f aca="false">Profit+Utility</f>
        <v>886.536433196808</v>
      </c>
      <c r="U4" s="5" t="n">
        <f aca="false">(2*ij*BRIJ)+2*jj*BRJJ</f>
        <v>313.144989332043</v>
      </c>
      <c r="V4" s="5" t="n">
        <f aca="false">2*(ij*BCCIJ)+(2*jj*BCCJJ)+BCS+jj*BCPTJJ+2*(ij*BCPTIJ)+BCPTII+BCk</f>
        <v>164.380292596365</v>
      </c>
      <c r="W4" s="5" t="n">
        <f aca="false">ij*BUTIJ+BUTII</f>
        <v>737.77173646113</v>
      </c>
      <c r="X4" s="5" t="n">
        <f aca="false">Revenue-Cost</f>
        <v>148.764696735678</v>
      </c>
      <c r="Y4" s="5" t="n">
        <f aca="false">Size</f>
        <v>5</v>
      </c>
      <c r="Z4" s="6" t="n">
        <f aca="false">Welfare/(Size)</f>
        <v>177.307286639362</v>
      </c>
      <c r="AA4" s="6" t="n">
        <f aca="false">Profit/(Size)</f>
        <v>29.7529393471356</v>
      </c>
      <c r="AB4" s="6" t="n">
        <f aca="false">Utility/(Size)</f>
        <v>147.554347292226</v>
      </c>
      <c r="AC4" s="2" t="n">
        <v>138.974275891977</v>
      </c>
    </row>
    <row r="5" customFormat="false" ht="13" hidden="false" customHeight="false" outlineLevel="0" collapsed="false">
      <c r="A5" s="2" t="n">
        <v>0.650784678032378</v>
      </c>
      <c r="B5" s="2" t="n">
        <v>0.650941080479703</v>
      </c>
      <c r="C5" s="2" t="n">
        <v>10</v>
      </c>
      <c r="D5" s="2" t="n">
        <v>0</v>
      </c>
      <c r="E5" s="2" t="n">
        <f aca="false">Size-a</f>
        <v>10</v>
      </c>
      <c r="F5" s="4" t="n">
        <f aca="false">(EXP(alpha*(Tau+OldTau+zeta-2*a*psi))*((EXP(alpha*a*psi)-EXP(alpha*b*psi))^2))/((EXP(alpha*a*psi)-EXP(alpha*(2*OldTau+b*psi)))*(alpha^2)*(psi^2))</f>
        <v>2.27087471550428</v>
      </c>
      <c r="G5" s="4" t="n">
        <f aca="false">(EXP(alpha*(zeta+(2*b-a)*psi))*(-1+EXP(alpha*(-1)*Size*psi))*(EXP(alpha*(2*(Tau+OldTau)+a*psi))-EXP(alpha*(2*(Tau+OldTau)+b*psi))))/(((EXP(alpha*a*psi)-EXP(alpha*(2*OldTau+b*psi)))^2)*(alpha^2)*(psi^2))</f>
        <v>0.146761734209662</v>
      </c>
      <c r="H5" s="5" t="n">
        <f aca="false">-Beta/alpha</f>
        <v>180</v>
      </c>
      <c r="I5" s="5" t="n">
        <f aca="false">(-EXP(alpha*zeta)*Beta*(-1+EXP(alpha*Size*psi)-Size*alpha*psi))/((alpha^3)*(psi^2))</f>
        <v>1690.92462806846</v>
      </c>
      <c r="J5" s="5" t="n">
        <f aca="false">Beta*Theta</f>
        <v>14.4</v>
      </c>
      <c r="K5" s="5" t="n">
        <f aca="false">Beta*Theta</f>
        <v>14.4</v>
      </c>
      <c r="L5" s="5" t="n">
        <f aca="false">kappa</f>
        <v>90</v>
      </c>
      <c r="M5" s="5" t="n">
        <f aca="false">Gamma*Size</f>
        <v>0</v>
      </c>
      <c r="N5" s="5" t="n">
        <f aca="false">Size*Beta*Phi</f>
        <v>32.4</v>
      </c>
      <c r="O5" s="5" t="n">
        <f aca="false">-(EXP(alpha*a*psi)+EXP(alpha*b*psi)*(-1+Size*psi*alpha))*(Beta*Phi)/((alpha*psi)*(EXP(alpha*a*psi)-EXP(alpha*b*psi)))</f>
        <v>12.2941718960407</v>
      </c>
      <c r="P5" s="5" t="n">
        <f aca="false">(EXP(alpha*(zeta-a*psi))*Beta*Phi*(-EXP(alpha*a*psi)*(-2+(-1)*Size*alpha*psi)+EXP(alpha*b*psi)*(-2+Size*alpha*psi)))/((alpha^3)*(psi^3))</f>
        <v>78.836375998096</v>
      </c>
      <c r="Q5" s="5" t="n">
        <f aca="false">Tau*Beta</f>
        <v>117.141242045828</v>
      </c>
      <c r="R5" s="5" t="n">
        <f aca="false">Tau*Beta</f>
        <v>117.141242045828</v>
      </c>
      <c r="S5" s="6" t="n">
        <f aca="false">Tau</f>
        <v>0.650784678032378</v>
      </c>
      <c r="T5" s="5" t="n">
        <f aca="false">Profit+Utility</f>
        <v>2367.03551577693</v>
      </c>
      <c r="U5" s="5" t="n">
        <f aca="false">(2*ij*BRIJ)+2*jj*BRJJ</f>
        <v>566.409873069514</v>
      </c>
      <c r="V5" s="5" t="n">
        <f aca="false">2*(ij*BCCIJ)+(2*jj*BCCJJ)+BCS+jj*BCPTJJ+2*(ij*BCPTIJ)+BCPTII+BCk</f>
        <v>299.056434151815</v>
      </c>
      <c r="W5" s="5" t="n">
        <f aca="false">ij*BUTIJ+BUTII</f>
        <v>2099.68207685923</v>
      </c>
      <c r="X5" s="5" t="n">
        <f aca="false">Revenue-Cost</f>
        <v>267.3534389177</v>
      </c>
      <c r="Y5" s="5" t="n">
        <f aca="false">Size</f>
        <v>10</v>
      </c>
      <c r="Z5" s="6" t="n">
        <f aca="false">Welfare/(Size)</f>
        <v>236.703551577693</v>
      </c>
      <c r="AA5" s="6" t="n">
        <f aca="false">Profit/(Size)</f>
        <v>26.73534389177</v>
      </c>
      <c r="AB5" s="6" t="n">
        <f aca="false">Utility/(Size)</f>
        <v>209.968207685923</v>
      </c>
      <c r="AC5" s="2" t="n">
        <v>204.035234973293</v>
      </c>
    </row>
    <row r="6" customFormat="false" ht="13" hidden="false" customHeight="false" outlineLevel="0" collapsed="false">
      <c r="A6" s="2" t="n">
        <v>0.683115162720272</v>
      </c>
      <c r="B6" s="2" t="n">
        <v>0.68324074631285</v>
      </c>
      <c r="C6" s="2" t="n">
        <v>20</v>
      </c>
      <c r="D6" s="2" t="n">
        <v>0</v>
      </c>
      <c r="E6" s="2" t="n">
        <f aca="false">Size-a</f>
        <v>20</v>
      </c>
      <c r="F6" s="4" t="n">
        <f aca="false">(EXP(alpha*(Tau+OldTau+zeta-2*a*psi))*((EXP(alpha*a*psi)-EXP(alpha*b*psi))^2))/((EXP(alpha*a*psi)-EXP(alpha*(2*OldTau+b*psi)))*(alpha^2)*(psi^2))</f>
        <v>3.02987938582903</v>
      </c>
      <c r="G6" s="4" t="n">
        <f aca="false">(EXP(alpha*(zeta+(2*b-a)*psi))*(-1+EXP(alpha*(-1)*Size*psi))*(EXP(alpha*(2*(Tau+OldTau)+a*psi))-EXP(alpha*(2*(Tau+OldTau)+b*psi))))/(((EXP(alpha*a*psi)-EXP(alpha*(2*OldTau+b*psi)))^2)*(alpha^2)*(psi^2))</f>
        <v>0.0389663828122753</v>
      </c>
      <c r="H6" s="5" t="n">
        <f aca="false">-Beta/alpha</f>
        <v>180</v>
      </c>
      <c r="I6" s="5" t="n">
        <f aca="false">(-EXP(alpha*zeta)*Beta*(-1+EXP(alpha*Size*psi)-Size*alpha*psi))/((alpha^3)*(psi^2))</f>
        <v>4793.10036728108</v>
      </c>
      <c r="J6" s="5" t="n">
        <f aca="false">Beta*Theta</f>
        <v>14.4</v>
      </c>
      <c r="K6" s="5" t="n">
        <f aca="false">Beta*Theta</f>
        <v>14.4</v>
      </c>
      <c r="L6" s="5" t="n">
        <f aca="false">kappa</f>
        <v>90</v>
      </c>
      <c r="M6" s="5" t="n">
        <f aca="false">Gamma*Size</f>
        <v>0</v>
      </c>
      <c r="N6" s="5" t="n">
        <f aca="false">Size*Beta*Phi</f>
        <v>64.8</v>
      </c>
      <c r="O6" s="5" t="n">
        <f aca="false">-(EXP(alpha*a*psi)+EXP(alpha*b*psi)*(-1+Size*psi*alpha))*(Beta*Phi)/((alpha*psi)*(EXP(alpha*a*psi)-EXP(alpha*b*psi)))</f>
        <v>18.2047588673666</v>
      </c>
      <c r="P6" s="5" t="n">
        <f aca="false">(EXP(alpha*(zeta-a*psi))*Beta*Phi*(-EXP(alpha*a*psi)*(-2+(-1)*Size*alpha*psi)+EXP(alpha*b*psi)*(-2+Size*alpha*psi)))/((alpha^3)*(psi^3))</f>
        <v>350.452349206022</v>
      </c>
      <c r="Q6" s="5" t="n">
        <f aca="false">Tau*Beta</f>
        <v>122.960729289649</v>
      </c>
      <c r="R6" s="5" t="n">
        <f aca="false">Tau*Beta</f>
        <v>122.960729289649</v>
      </c>
      <c r="S6" s="6" t="n">
        <f aca="false">Tau</f>
        <v>0.683115162720272</v>
      </c>
      <c r="T6" s="5" t="n">
        <f aca="false">Profit+Utility</f>
        <v>5451.49710812791</v>
      </c>
      <c r="U6" s="5" t="n">
        <f aca="false">(2*ij*BRIJ)+2*jj*BRJJ</f>
        <v>754.695027579175</v>
      </c>
      <c r="V6" s="5" t="n">
        <f aca="false">2*(ij*BCCIJ)+(2*jj*BCCJJ)+BCS+jj*BCPTJJ+2*(ij*BCPTIJ)+BCPTII+BCk</f>
        <v>641.676576181572</v>
      </c>
      <c r="W6" s="5" t="n">
        <f aca="false">ij*BUTIJ+BUTII</f>
        <v>5338.4786567303</v>
      </c>
      <c r="X6" s="5" t="n">
        <f aca="false">Revenue-Cost</f>
        <v>113.018451397604</v>
      </c>
      <c r="Y6" s="5" t="n">
        <f aca="false">Size</f>
        <v>20</v>
      </c>
      <c r="Z6" s="6" t="n">
        <f aca="false">Welfare/(Size)</f>
        <v>272.574855406395</v>
      </c>
      <c r="AA6" s="6" t="n">
        <f aca="false">Profit/(Size)</f>
        <v>5.65092256988018</v>
      </c>
      <c r="AB6" s="6" t="n">
        <f aca="false">Utility/(Size)</f>
        <v>266.923932836515</v>
      </c>
      <c r="AC6" s="2" t="n">
        <v>251.354652613951</v>
      </c>
    </row>
    <row r="7" customFormat="false" ht="13" hidden="false" customHeight="false" outlineLevel="0" collapsed="false">
      <c r="A7" s="2" t="n">
        <v>0.699598442039559</v>
      </c>
      <c r="B7" s="2" t="n">
        <v>0.699598442039559</v>
      </c>
      <c r="C7" s="2" t="n">
        <v>50</v>
      </c>
      <c r="D7" s="2" t="n">
        <v>0</v>
      </c>
      <c r="E7" s="2" t="n">
        <f aca="false">Size-a</f>
        <v>50</v>
      </c>
      <c r="F7" s="4" t="n">
        <f aca="false">(EXP(alpha*(Tau+OldTau+zeta-2*a*psi))*((EXP(alpha*a*psi)-EXP(alpha*b*psi))^2))/((EXP(alpha*a*psi)-EXP(alpha*(2*OldTau+b*psi)))*(alpha^2)*(psi^2))</f>
        <v>3.20295275012022</v>
      </c>
      <c r="G7" s="4" t="n">
        <f aca="false">(EXP(alpha*(zeta+(2*b-a)*psi))*(-1+EXP(alpha*(-1)*Size*psi))*(EXP(alpha*(2*(Tau+OldTau)+a*psi))-EXP(alpha*(2*(Tau+OldTau)+b*psi))))/(((EXP(alpha*a*psi)-EXP(alpha*(2*OldTau+b*psi)))^2)*(alpha^2)*(psi^2))</f>
        <v>0.000437257952150203</v>
      </c>
      <c r="H7" s="5" t="n">
        <f aca="false">-Beta/alpha</f>
        <v>180</v>
      </c>
      <c r="I7" s="5" t="n">
        <f aca="false">(-EXP(alpha*zeta)*Beta*(-1+EXP(alpha*Size*psi)-Size*alpha*psi))/((alpha^3)*(psi^2))</f>
        <v>15200.5073390545</v>
      </c>
      <c r="J7" s="5" t="n">
        <f aca="false">Beta*Theta</f>
        <v>14.4</v>
      </c>
      <c r="K7" s="5" t="n">
        <f aca="false">Beta*Theta</f>
        <v>14.4</v>
      </c>
      <c r="L7" s="5" t="n">
        <f aca="false">kappa</f>
        <v>90</v>
      </c>
      <c r="M7" s="5" t="n">
        <f aca="false">Gamma*Size</f>
        <v>0</v>
      </c>
      <c r="N7" s="5" t="n">
        <f aca="false">Size*Beta*Phi</f>
        <v>162</v>
      </c>
      <c r="O7" s="5" t="n">
        <f aca="false">-(EXP(alpha*a*psi)+EXP(alpha*b*psi)*(-1+Size*psi*alpha))*(Beta*Phi)/((alpha*psi)*(EXP(alpha*a*psi)-EXP(alpha*b*psi)))</f>
        <v>21.5103507484362</v>
      </c>
      <c r="P7" s="5" t="n">
        <f aca="false">(EXP(alpha*(zeta-a*psi))*Beta*Phi*(-EXP(alpha*a*psi)*(-2+(-1)*Size*alpha*psi)+EXP(alpha*b*psi)*(-2+Size*alpha*psi)))/((alpha^3)*(psi^3))</f>
        <v>1544.77917175571</v>
      </c>
      <c r="Q7" s="5" t="n">
        <f aca="false">Tau*Beta</f>
        <v>125.927719567121</v>
      </c>
      <c r="R7" s="5" t="n">
        <f aca="false">Tau*Beta</f>
        <v>125.927719567121</v>
      </c>
      <c r="S7" s="6" t="n">
        <f aca="false">Tau</f>
        <v>0.699598442039559</v>
      </c>
      <c r="T7" s="5" t="n">
        <f aca="false">Profit+Utility</f>
        <v>14718.9291173295</v>
      </c>
      <c r="U7" s="5" t="n">
        <f aca="false">(2*ij*BRIJ)+2*jj*BRJJ</f>
        <v>806.791197201308</v>
      </c>
      <c r="V7" s="5" t="n">
        <f aca="false">2*(ij*BCCIJ)+(2*jj*BCCJJ)+BCS+jj*BCPTJJ+2*(ij*BCPTIJ)+BCPTII+BCk</f>
        <v>1864.90091394796</v>
      </c>
      <c r="W7" s="5" t="n">
        <f aca="false">ij*BUTIJ+BUTII</f>
        <v>15777.0388340761</v>
      </c>
      <c r="X7" s="5" t="n">
        <f aca="false">Revenue-Cost</f>
        <v>-1058.10971674665</v>
      </c>
      <c r="Y7" s="5" t="n">
        <f aca="false">Size</f>
        <v>50</v>
      </c>
      <c r="Z7" s="6" t="n">
        <f aca="false">Welfare/(Size)</f>
        <v>294.37858234659</v>
      </c>
      <c r="AA7" s="6" t="n">
        <f aca="false">Profit/(Size)</f>
        <v>-21.162194334933</v>
      </c>
      <c r="AB7" s="6" t="n">
        <f aca="false">Utility/(Size)</f>
        <v>315.540776681523</v>
      </c>
      <c r="AC7" s="2" t="n">
        <v>285.257231391403</v>
      </c>
    </row>
    <row r="8" customFormat="false" ht="13" hidden="false" customHeight="false" outlineLevel="0" collapsed="false">
      <c r="A8" s="2" t="n">
        <v>0.700000521562557</v>
      </c>
      <c r="B8" s="2" t="n">
        <v>0.700000521562557</v>
      </c>
      <c r="C8" s="2" t="n">
        <v>100</v>
      </c>
      <c r="D8" s="2" t="n">
        <v>0</v>
      </c>
      <c r="E8" s="2" t="n">
        <f aca="false">Size-a</f>
        <v>100</v>
      </c>
      <c r="F8" s="4" t="n">
        <f aca="false">(EXP(alpha*(Tau+OldTau+zeta-2*a*psi))*((EXP(alpha*a*psi)-EXP(alpha*b*psi))^2))/((EXP(alpha*a*psi)-EXP(alpha*(2*OldTau+b*psi)))*(alpha^2)*(psi^2))</f>
        <v>3.2034821507227</v>
      </c>
      <c r="G8" s="4" t="n">
        <f aca="false">(EXP(alpha*(zeta+(2*b-a)*psi))*(-1+EXP(alpha*(-1)*Size*psi))*(EXP(alpha*(2*(Tau+OldTau)+a*psi))-EXP(alpha*(2*(Tau+OldTau)+b*psi))))/(((EXP(alpha*a*psi)-EXP(alpha*(2*OldTau+b*psi)))^2)*(alpha^2)*(psi^2))</f>
        <v>2.41653107938905E-007</v>
      </c>
      <c r="H8" s="5" t="n">
        <f aca="false">-Beta/alpha</f>
        <v>180</v>
      </c>
      <c r="I8" s="5" t="n">
        <f aca="false">(-EXP(alpha*zeta)*Beta*(-1+EXP(alpha*Size*psi)-Size*alpha*psi))/((alpha^3)*(psi^2))</f>
        <v>32736.7694155601</v>
      </c>
      <c r="J8" s="5" t="n">
        <f aca="false">Beta*Theta</f>
        <v>14.4</v>
      </c>
      <c r="K8" s="5" t="n">
        <f aca="false">Beta*Theta</f>
        <v>14.4</v>
      </c>
      <c r="L8" s="5" t="n">
        <f aca="false">kappa</f>
        <v>90</v>
      </c>
      <c r="M8" s="5" t="n">
        <f aca="false">Gamma*Size</f>
        <v>0</v>
      </c>
      <c r="N8" s="5" t="n">
        <f aca="false">Size*Beta*Phi</f>
        <v>324</v>
      </c>
      <c r="O8" s="5" t="n">
        <f aca="false">-(EXP(alpha*a*psi)+EXP(alpha*b*psi)*(-1+Size*psi*alpha))*(Beta*Phi)/((alpha*psi)*(EXP(alpha*a*psi)-EXP(alpha*b*psi)))</f>
        <v>21.5999008876178</v>
      </c>
      <c r="P8" s="5" t="n">
        <f aca="false">(EXP(alpha*(zeta-a*psi))*Beta*Phi*(-EXP(alpha*a*psi)*(-2+(-1)*Size*alpha*psi)+EXP(alpha*b*psi)*(-2+Size*alpha*psi)))/((alpha^3)*(psi^3))</f>
        <v>3647.81282867692</v>
      </c>
      <c r="Q8" s="5" t="n">
        <f aca="false">Tau*Beta</f>
        <v>126.00009388126</v>
      </c>
      <c r="R8" s="5" t="n">
        <f aca="false">Tau*Beta</f>
        <v>126.00009388126</v>
      </c>
      <c r="S8" s="6" t="n">
        <f aca="false">Tau</f>
        <v>0.700000521562557</v>
      </c>
      <c r="T8" s="5" t="n">
        <f aca="false">Profit+Utility</f>
        <v>30152.2113732881</v>
      </c>
      <c r="U8" s="5" t="n">
        <f aca="false">(2*ij*BRIJ)+2*jj*BRJJ</f>
        <v>807.278164372632</v>
      </c>
      <c r="V8" s="5" t="n">
        <f aca="false">2*(ij*BCCIJ)+(2*jj*BCCJJ)+BCS+jj*BCPTJJ+2*(ij*BCPTIJ)+BCPTII+BCk</f>
        <v>3968.46299377468</v>
      </c>
      <c r="W8" s="5" t="n">
        <f aca="false">ij*BUTIJ+BUTII</f>
        <v>33313.3962026902</v>
      </c>
      <c r="X8" s="5" t="n">
        <f aca="false">Revenue-Cost</f>
        <v>-3161.18482940205</v>
      </c>
      <c r="Y8" s="5" t="n">
        <f aca="false">Size</f>
        <v>100</v>
      </c>
      <c r="Z8" s="6" t="n">
        <f aca="false">Welfare/(Size)</f>
        <v>301.522113732881</v>
      </c>
      <c r="AA8" s="6" t="n">
        <f aca="false">Profit/(Size)</f>
        <v>-31.6118482940205</v>
      </c>
      <c r="AB8" s="6" t="n">
        <f aca="false">Utility/(Size)</f>
        <v>333.133962026902</v>
      </c>
      <c r="AC8" s="2" t="n">
        <v>296.956681355566</v>
      </c>
    </row>
    <row r="9" customFormat="false" ht="13" hidden="false" customHeight="false" outlineLevel="0" collapsed="false">
      <c r="A9" s="2" t="n">
        <v>0.700659084745354</v>
      </c>
      <c r="B9" s="2" t="n">
        <v>0.700659084745354</v>
      </c>
      <c r="C9" s="2" t="n">
        <v>200</v>
      </c>
      <c r="D9" s="2" t="n">
        <v>0</v>
      </c>
      <c r="E9" s="2" t="n">
        <f aca="false">Size-a</f>
        <v>200</v>
      </c>
      <c r="F9" s="4" t="n">
        <f aca="false">(EXP(alpha*(Tau+OldTau+zeta-2*a*psi))*((EXP(alpha*a*psi)-EXP(alpha*b*psi))^2))/((EXP(alpha*a*psi)-EXP(alpha*(2*OldTau+b*psi)))*(alpha^2)*(psi^2))</f>
        <v>3.19926725342684</v>
      </c>
      <c r="G9" s="4" t="n">
        <f aca="false">(EXP(alpha*(zeta+(2*b-a)*psi))*(-1+EXP(alpha*(-1)*Size*psi))*(EXP(alpha*(2*(Tau+OldTau)+a*psi))-EXP(alpha*(2*(Tau+OldTau)+b*psi))))/(((EXP(alpha*a*psi)-EXP(alpha*(2*OldTau+b*psi)))^2)*(alpha^2)*(psi^2))</f>
        <v>7.37278068378713E-014</v>
      </c>
      <c r="H9" s="5" t="n">
        <f aca="false">-Beta/alpha</f>
        <v>180</v>
      </c>
      <c r="I9" s="5" t="n">
        <f aca="false">(-EXP(alpha*zeta)*Beta*(-1+EXP(alpha*Size*psi)-Size*alpha*psi))/((alpha^3)*(psi^2))</f>
        <v>67811.8780219596</v>
      </c>
      <c r="J9" s="5" t="n">
        <f aca="false">Beta*Theta</f>
        <v>14.4</v>
      </c>
      <c r="K9" s="5" t="n">
        <f aca="false">Beta*Theta</f>
        <v>14.4</v>
      </c>
      <c r="L9" s="5" t="n">
        <f aca="false">kappa</f>
        <v>90</v>
      </c>
      <c r="M9" s="5" t="n">
        <f aca="false">Gamma*Size</f>
        <v>0</v>
      </c>
      <c r="N9" s="5" t="n">
        <f aca="false">Size*Beta*Phi</f>
        <v>648</v>
      </c>
      <c r="O9" s="5" t="n">
        <f aca="false">-(EXP(alpha*a*psi)+EXP(alpha*b*psi)*(-1+Size*psi*alpha))*(Beta*Phi)/((alpha*psi)*(EXP(alpha*a*psi)-EXP(alpha*b*psi)))</f>
        <v>21.5999999999394</v>
      </c>
      <c r="P9" s="5" t="n">
        <f aca="false">(EXP(alpha*(zeta-a*psi))*Beta*Phi*(-EXP(alpha*a*psi)*(-2+(-1)*Size*alpha*psi)+EXP(alpha*b*psi)*(-2+Size*alpha*psi)))/((alpha^3)*(psi^3))</f>
        <v>7856.82448806234</v>
      </c>
      <c r="Q9" s="5" t="n">
        <f aca="false">Tau*Beta</f>
        <v>126.118635254164</v>
      </c>
      <c r="R9" s="5" t="n">
        <f aca="false">Tau*Beta</f>
        <v>126.118635254164</v>
      </c>
      <c r="S9" s="6" t="n">
        <f aca="false">Tau</f>
        <v>0.700659084745354</v>
      </c>
      <c r="T9" s="5" t="n">
        <f aca="false">Profit+Utility</f>
        <v>61017.5488368988</v>
      </c>
      <c r="U9" s="5" t="n">
        <f aca="false">(2*ij*BRIJ)+2*jj*BRJJ</f>
        <v>806.97443963108</v>
      </c>
      <c r="V9" s="5" t="n">
        <f aca="false">2*(ij*BCCIJ)+(2*jj*BCCJJ)+BCS+jj*BCPTJJ+2*(ij*BCPTIJ)+BCPTII+BCk</f>
        <v>8177.17173030874</v>
      </c>
      <c r="W9" s="5" t="n">
        <f aca="false">ij*BUTIJ+BUTII</f>
        <v>68387.7461275764</v>
      </c>
      <c r="X9" s="5" t="n">
        <f aca="false">Revenue-Cost</f>
        <v>-7370.19729067766</v>
      </c>
      <c r="Y9" s="5" t="n">
        <f aca="false">Size</f>
        <v>200</v>
      </c>
      <c r="Z9" s="6" t="n">
        <f aca="false">Welfare/(Size)</f>
        <v>305.087744184494</v>
      </c>
      <c r="AA9" s="6" t="n">
        <f aca="false">Profit/(Size)</f>
        <v>-36.8509864533883</v>
      </c>
      <c r="AB9" s="6" t="n">
        <f aca="false">Utility/(Size)</f>
        <v>341.938730637882</v>
      </c>
      <c r="AC9" s="2" t="n">
        <v>302.806529230423</v>
      </c>
    </row>
    <row r="10" customFormat="false" ht="13" hidden="false" customHeight="false" outlineLevel="0" collapsed="false">
      <c r="A10" s="2" t="n">
        <v>0.70065908474501</v>
      </c>
      <c r="B10" s="2" t="n">
        <v>0.70065908474501</v>
      </c>
      <c r="C10" s="2" t="n">
        <v>500</v>
      </c>
      <c r="D10" s="2" t="n">
        <v>0</v>
      </c>
      <c r="E10" s="2" t="n">
        <f aca="false">Size-a</f>
        <v>500</v>
      </c>
      <c r="F10" s="4" t="n">
        <f aca="false">(EXP(alpha*(Tau+OldTau+zeta-2*a*psi))*((EXP(alpha*a*psi)-EXP(alpha*b*psi))^2))/((EXP(alpha*a*psi)-EXP(alpha*(2*OldTau+b*psi)))*(alpha^2)*(psi^2))</f>
        <v>3.19926725342957</v>
      </c>
      <c r="G10" s="4" t="n">
        <f aca="false">(EXP(alpha*(zeta+(2*b-a)*psi))*(-1+EXP(alpha*(-1)*Size*psi))*(EXP(alpha*(2*(Tau+OldTau)+a*psi))-EXP(alpha*(2*(Tau+OldTau)+b*psi))))/(((EXP(alpha*a*psi)-EXP(alpha*(2*OldTau+b*psi)))^2)*(alpha^2)*(psi^2))</f>
        <v>2.11047216976885E-033</v>
      </c>
      <c r="H10" s="5" t="n">
        <f aca="false">-Beta/alpha</f>
        <v>180</v>
      </c>
      <c r="I10" s="5" t="n">
        <f aca="false">(-EXP(alpha*zeta)*Beta*(-1+EXP(alpha*Size*psi)-Size*alpha*psi))/((alpha^3)*(psi^2))</f>
        <v>173037.205987069</v>
      </c>
      <c r="J10" s="5" t="n">
        <f aca="false">Beta*Theta</f>
        <v>14.4</v>
      </c>
      <c r="K10" s="5" t="n">
        <f aca="false">Beta*Theta</f>
        <v>14.4</v>
      </c>
      <c r="L10" s="5" t="n">
        <f aca="false">kappa</f>
        <v>90</v>
      </c>
      <c r="M10" s="5" t="n">
        <f aca="false">Gamma*Size</f>
        <v>0</v>
      </c>
      <c r="N10" s="5" t="n">
        <f aca="false">Size*Beta*Phi</f>
        <v>1620</v>
      </c>
      <c r="O10" s="5" t="n">
        <f aca="false">-(EXP(alpha*a*psi)+EXP(alpha*b*psi)*(-1+Size*psi*alpha))*(Beta*Phi)/((alpha*psi)*(EXP(alpha*a*psi)-EXP(alpha*b*psi)))</f>
        <v>21.6</v>
      </c>
      <c r="P10" s="5" t="n">
        <f aca="false">(EXP(alpha*(zeta-a*psi))*Beta*Phi*(-EXP(alpha*a*psi)*(-2+(-1)*Size*alpha*psi)+EXP(alpha*b*psi)*(-2+Size*alpha*psi)))/((alpha^3)*(psi^3))</f>
        <v>20483.8638438746</v>
      </c>
      <c r="Q10" s="5" t="n">
        <f aca="false">Tau*Beta</f>
        <v>126.118635254102</v>
      </c>
      <c r="R10" s="5" t="n">
        <f aca="false">Tau*Beta</f>
        <v>126.118635254102</v>
      </c>
      <c r="S10" s="6" t="n">
        <f aca="false">Tau</f>
        <v>0.70065908474501</v>
      </c>
      <c r="T10" s="5" t="n">
        <f aca="false">Profit+Utility</f>
        <v>153615.837446196</v>
      </c>
      <c r="U10" s="5" t="n">
        <f aca="false">(2*ij*BRIJ)+2*jj*BRJJ</f>
        <v>806.974439631353</v>
      </c>
      <c r="V10" s="5" t="n">
        <f aca="false">2*(ij*BCCIJ)+(2*jj*BCCJJ)+BCS+jj*BCPTJJ+2*(ij*BCPTIJ)+BCPTII+BCk</f>
        <v>20804.2110861216</v>
      </c>
      <c r="W10" s="5" t="n">
        <f aca="false">ij*BUTIJ+BUTII</f>
        <v>173613.074092686</v>
      </c>
      <c r="X10" s="5" t="n">
        <f aca="false">Revenue-Cost</f>
        <v>-19997.2366464902</v>
      </c>
      <c r="Y10" s="5" t="n">
        <f aca="false">Size</f>
        <v>500</v>
      </c>
      <c r="Z10" s="6" t="n">
        <f aca="false">Welfare/(Size)</f>
        <v>307.231674892392</v>
      </c>
      <c r="AA10" s="6" t="n">
        <f aca="false">Profit/(Size)</f>
        <v>-39.9944732929804</v>
      </c>
      <c r="AB10" s="6" t="n">
        <f aca="false">Utility/(Size)</f>
        <v>347.226148185372</v>
      </c>
      <c r="AC10" s="2" t="n">
        <v>306.319188910762</v>
      </c>
    </row>
    <row r="11" customFormat="false" ht="13" hidden="false" customHeight="false" outlineLevel="0" collapsed="false">
      <c r="A11" s="2" t="n">
        <v>0.700659084745965</v>
      </c>
      <c r="B11" s="2" t="n">
        <v>0.700659084745965</v>
      </c>
      <c r="C11" s="2" t="n">
        <v>1000</v>
      </c>
      <c r="D11" s="2" t="n">
        <v>0</v>
      </c>
      <c r="E11" s="2" t="n">
        <f aca="false">Size-a</f>
        <v>1000</v>
      </c>
      <c r="F11" s="4" t="n">
        <f aca="false">(EXP(alpha*(Tau+OldTau+zeta-2*a*psi))*((EXP(alpha*a*psi)-EXP(alpha*b*psi))^2))/((EXP(alpha*a*psi)-EXP(alpha*(2*OldTau+b*psi)))*(alpha^2)*(psi^2))</f>
        <v>3.19926725342346</v>
      </c>
      <c r="G11" s="4" t="n">
        <f aca="false">(EXP(alpha*(zeta+(2*b-a)*psi))*(-1+EXP(alpha*(-1)*Size*psi))*(EXP(alpha*(2*(Tau+OldTau)+a*psi))-EXP(alpha*(2*(Tau+OldTau)+b*psi))))/(((EXP(alpha*a*psi)-EXP(alpha*(2*OldTau+b*psi)))^2)*(alpha^2)*(psi^2))</f>
        <v>5.65318876078838E-066</v>
      </c>
      <c r="H11" s="5" t="n">
        <f aca="false">-Beta/alpha</f>
        <v>180</v>
      </c>
      <c r="I11" s="5" t="n">
        <f aca="false">(-EXP(alpha*zeta)*Beta*(-1+EXP(alpha*Size*psi)-Size*alpha*psi))/((alpha^3)*(psi^2))</f>
        <v>348412.752595584</v>
      </c>
      <c r="J11" s="5" t="n">
        <f aca="false">Beta*Theta</f>
        <v>14.4</v>
      </c>
      <c r="K11" s="5" t="n">
        <f aca="false">Beta*Theta</f>
        <v>14.4</v>
      </c>
      <c r="L11" s="5" t="n">
        <f aca="false">kappa</f>
        <v>90</v>
      </c>
      <c r="M11" s="5" t="n">
        <f aca="false">Gamma*Size</f>
        <v>0</v>
      </c>
      <c r="N11" s="5" t="n">
        <f aca="false">Size*Beta*Phi</f>
        <v>3240</v>
      </c>
      <c r="O11" s="5" t="n">
        <f aca="false">-(EXP(alpha*a*psi)+EXP(alpha*b*psi)*(-1+Size*psi*alpha))*(Beta*Phi)/((alpha*psi)*(EXP(alpha*a*psi)-EXP(alpha*b*psi)))</f>
        <v>21.6</v>
      </c>
      <c r="P11" s="5" t="n">
        <f aca="false">(EXP(alpha*(zeta-a*psi))*Beta*Phi*(-EXP(alpha*a*psi)*(-2+(-1)*Size*alpha*psi)+EXP(alpha*b*psi)*(-2+Size*alpha*psi)))/((alpha^3)*(psi^3))</f>
        <v>41528.9294368965</v>
      </c>
      <c r="Q11" s="5" t="n">
        <f aca="false">Tau*Beta</f>
        <v>126.118635254274</v>
      </c>
      <c r="R11" s="5" t="n">
        <f aca="false">Tau*Beta</f>
        <v>126.118635254274</v>
      </c>
      <c r="S11" s="6" t="n">
        <f aca="false">Tau</f>
        <v>0.700659084745965</v>
      </c>
      <c r="T11" s="5" t="n">
        <f aca="false">Profit+Utility</f>
        <v>307946.318461689</v>
      </c>
      <c r="U11" s="5" t="n">
        <f aca="false">(2*ij*BRIJ)+2*jj*BRJJ</f>
        <v>806.974439630911</v>
      </c>
      <c r="V11" s="5" t="n">
        <f aca="false">2*(ij*BCCIJ)+(2*jj*BCCJJ)+BCS+jj*BCPTJJ+2*(ij*BCPTIJ)+BCPTII+BCk</f>
        <v>41849.276679143</v>
      </c>
      <c r="W11" s="5" t="n">
        <f aca="false">ij*BUTIJ+BUTII</f>
        <v>348988.620701201</v>
      </c>
      <c r="X11" s="5" t="n">
        <f aca="false">Revenue-Cost</f>
        <v>-41042.3022395121</v>
      </c>
      <c r="Y11" s="5" t="n">
        <f aca="false">Size</f>
        <v>1000</v>
      </c>
      <c r="Z11" s="6" t="n">
        <f aca="false">Welfare/(Size)</f>
        <v>307.946318461689</v>
      </c>
      <c r="AA11" s="6" t="n">
        <f aca="false">Profit/(Size)</f>
        <v>-41.0423022395121</v>
      </c>
      <c r="AB11" s="6" t="n">
        <f aca="false">Utility/(Size)</f>
        <v>348.988620701201</v>
      </c>
      <c r="AC11" s="2" t="n">
        <v>307.490075470874</v>
      </c>
    </row>
    <row r="12" customFormat="false" ht="13" hidden="false" customHeight="false" outlineLevel="0" collapsed="false">
      <c r="F12" s="2"/>
    </row>
    <row r="13" customFormat="false" ht="13" hidden="false" customHeight="false" outlineLevel="0" collapsed="false">
      <c r="F13" s="2"/>
    </row>
    <row r="14" customFormat="false" ht="13" hidden="false" customHeight="false" outlineLevel="0" collapsed="false">
      <c r="F14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E6" activeCellId="0" sqref="E6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A1" s="2" t="s">
        <v>15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</row>
    <row r="2" customFormat="false" ht="13" hidden="false" customHeight="false" outlineLevel="0" collapsed="false">
      <c r="A2" s="2" t="n">
        <v>1</v>
      </c>
      <c r="B2" s="2" t="n">
        <v>0.08</v>
      </c>
      <c r="C2" s="2" t="n">
        <f aca="false">'W-Toll(All-Tax) (theta)'!A7</f>
        <v>0.700084887705133</v>
      </c>
      <c r="E2" s="2" t="n">
        <f aca="false">'W-Toll(All-Tax) (theta)'!D7</f>
        <v>1.20903691874458</v>
      </c>
    </row>
    <row r="3" customFormat="false" ht="13" hidden="false" customHeight="false" outlineLevel="0" collapsed="false">
      <c r="A3" s="2" t="n">
        <v>10</v>
      </c>
      <c r="B3" s="2" t="n">
        <v>0.08</v>
      </c>
      <c r="C3" s="2" t="n">
        <f aca="false">'W-Toll(All-Tax) (theta)'!A12</f>
        <v>0.328740705191345</v>
      </c>
      <c r="D3" s="2" t="n">
        <f aca="false">'W-Toll(All-Toll)-NONC(theta)'!A32</f>
        <v>0.309456540883556</v>
      </c>
      <c r="E3" s="2" t="n">
        <f aca="false">'W-Toll(All-Tax) (theta)'!D12</f>
        <v>0.90114612518566</v>
      </c>
      <c r="F3" s="2" t="n">
        <f aca="false">'W-Toll(All-Toll)-NONC(theta)'!D32</f>
        <v>0.879393498388232</v>
      </c>
    </row>
    <row r="4" customFormat="false" ht="13" hidden="false" customHeight="false" outlineLevel="0" collapsed="false">
      <c r="A4" s="2" t="n">
        <v>100</v>
      </c>
      <c r="B4" s="2" t="n">
        <v>0.08</v>
      </c>
      <c r="C4" s="2" t="n">
        <f aca="false">'W-Toll(All-Tax) (theta)'!A18</f>
        <v>0.298181280156074</v>
      </c>
      <c r="D4" s="2" t="n">
        <f aca="false">'W-Toll(All-Toll)-NONC(theta)'!A44</f>
        <v>0.332370684648056</v>
      </c>
      <c r="E4" s="2" t="n">
        <f aca="false">'W-Toll(All-Tax) (theta)'!D18</f>
        <v>0.91832091357156</v>
      </c>
      <c r="F4" s="2" t="n">
        <f aca="false">'W-Toll(All-Toll)-NONC(theta)'!D44</f>
        <v>0.952373487440175</v>
      </c>
    </row>
    <row r="5" customFormat="false" ht="13" hidden="false" customHeight="false" outlineLevel="0" collapsed="false">
      <c r="A5" s="2" t="n">
        <v>1000</v>
      </c>
      <c r="B5" s="2" t="n">
        <v>0.08</v>
      </c>
      <c r="D5" s="2" t="n">
        <f aca="false">'W-Toll(All-Toll)-NONC(theta)'!A50</f>
        <v>0.332321277001953</v>
      </c>
      <c r="F5" s="2" t="n">
        <f aca="false">'W-Toll(All-Toll)-NONC(theta)'!D50</f>
        <v>0.700000930468249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0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pane xSplit="11500" ySplit="0" topLeftCell="AB1" activePane="topLeft" state="split"/>
      <selection pane="topLeft" activeCell="G52" activeCellId="0" sqref="G52"/>
      <selection pane="topRight" activeCell="AB36" activeCellId="0" sqref="AB36"/>
    </sheetView>
  </sheetViews>
  <sheetFormatPr defaultColWidth="8.28125" defaultRowHeight="13" customHeight="false" zeroHeight="false" outlineLevelRow="0" outlineLevelCol="0"/>
  <cols>
    <col collapsed="false" customWidth="true" hidden="false" outlineLevel="0" max="2" min="1" style="0" width="11.05"/>
    <col collapsed="false" customWidth="true" hidden="false" outlineLevel="0" max="3" min="3" style="2" width="22.42"/>
    <col collapsed="false" customWidth="true" hidden="false" outlineLevel="0" max="4" min="4" style="2" width="6.28"/>
    <col collapsed="false" customWidth="true" hidden="false" outlineLevel="0" max="5" min="5" style="2" width="6.42"/>
    <col collapsed="false" customWidth="true" hidden="false" outlineLevel="0" max="6" min="6" style="2" width="4.85"/>
    <col collapsed="false" customWidth="true" hidden="false" outlineLevel="0" max="7" min="7" style="2" width="3.56"/>
    <col collapsed="false" customWidth="true" hidden="false" outlineLevel="0" max="8" min="8" style="2" width="4.71"/>
    <col collapsed="false" customWidth="false" hidden="false" outlineLevel="0" max="9" min="9" style="3" width="8.28"/>
    <col collapsed="false" customWidth="false" hidden="false" outlineLevel="0" max="11" min="10" style="2" width="8.28"/>
    <col collapsed="false" customWidth="true" hidden="false" outlineLevel="0" max="12" min="12" style="2" width="10.14"/>
    <col collapsed="false" customWidth="false" hidden="false" outlineLevel="0" max="22" min="13" style="2" width="8.28"/>
    <col collapsed="false" customWidth="true" hidden="false" outlineLevel="0" max="23" min="23" style="2" width="9.99"/>
    <col collapsed="false" customWidth="false" hidden="false" outlineLevel="0" max="24" min="24" style="2" width="8.28"/>
    <col collapsed="false" customWidth="true" hidden="false" outlineLevel="0" max="25" min="25" style="2" width="8.99"/>
    <col collapsed="false" customWidth="true" hidden="false" outlineLevel="0" max="26" min="26" style="2" width="9.13"/>
    <col collapsed="false" customWidth="false" hidden="false" outlineLevel="0" max="257" min="27" style="2" width="8.28"/>
  </cols>
  <sheetData>
    <row r="1" customFormat="false" ht="13" hidden="false" customHeight="false" outlineLevel="0" collapsed="false">
      <c r="A1" s="2" t="s">
        <v>6</v>
      </c>
      <c r="B1" s="2" t="s">
        <v>43</v>
      </c>
      <c r="C1" s="2" t="s">
        <v>44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3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45</v>
      </c>
    </row>
    <row r="2" customFormat="false" ht="13" hidden="false" customHeight="false" outlineLevel="0" collapsed="false">
      <c r="A2" s="2" t="n">
        <v>0.08</v>
      </c>
      <c r="B2" s="2" t="n">
        <f aca="false">(I2+J2)*Beta*2</f>
        <v>51.7276726834649</v>
      </c>
      <c r="C2" s="7" t="n">
        <f aca="false">(W2+B2*Theta-'W-Tax(All-Toll)-NONC'!$T$2)/B2</f>
        <v>0.479428678453672</v>
      </c>
      <c r="D2" s="2" t="n">
        <v>0.588869355723013</v>
      </c>
      <c r="E2" s="2" t="n">
        <v>0.588971969024794</v>
      </c>
      <c r="F2" s="2" t="n">
        <v>1</v>
      </c>
      <c r="G2" s="2" t="n">
        <v>0</v>
      </c>
      <c r="H2" s="2" t="n">
        <f aca="false">Size-a</f>
        <v>1</v>
      </c>
      <c r="I2" s="4" t="n">
        <f aca="false">(EXP(alpha*(Tau+OldTau+zeta-2*a*psi))*((EXP(alpha*a*psi)-EXP(alpha*b*psi))^2))/((EXP(alpha*a*psi)-EXP(alpha*(2*OldTau+b*psi)))*(alpha^2)*(psi^2))</f>
        <v>0.10560468902572</v>
      </c>
      <c r="J2" s="4" t="n">
        <f aca="false">(EXP(alpha*(zeta+(2*b-a)*psi))*(-1+EXP(alpha*(-1)*Size*psi))*(EXP(alpha*(2*(Tau+OldTau)+a*psi))-EXP(alpha*(2*(Tau+OldTau)+b*psi))))/(((EXP(alpha*a*psi)-EXP(alpha*(2*OldTau+b*psi)))^2)*(alpha^2)*(psi^2))</f>
        <v>0.038083290650572</v>
      </c>
      <c r="K2" s="5" t="n">
        <f aca="false">-Beta/alpha</f>
        <v>180</v>
      </c>
      <c r="L2" s="5" t="n">
        <f aca="false">(-EXP(alpha*zeta)*Beta*(-1+EXP(alpha*Size*psi)-Size*alpha*psi))/((alpha^3)*(psi^2))</f>
        <v>25.0388962482082</v>
      </c>
      <c r="M2" s="5" t="n">
        <f aca="false">Beta*Theta</f>
        <v>14.4</v>
      </c>
      <c r="N2" s="5" t="n">
        <f aca="false">Beta*Theta</f>
        <v>14.4</v>
      </c>
      <c r="O2" s="5" t="n">
        <f aca="false">kappa</f>
        <v>90</v>
      </c>
      <c r="P2" s="5" t="n">
        <f aca="false">Gamma*Size</f>
        <v>0</v>
      </c>
      <c r="Q2" s="5" t="n">
        <f aca="false">Size*Beta*Phi</f>
        <v>3.24</v>
      </c>
      <c r="R2" s="5" t="n">
        <f aca="false">-(EXP(alpha*a*psi)+EXP(alpha*b*psi)*(-1+Size*psi*alpha))*(Beta*Phi)/((alpha*psi)*(EXP(alpha*a*psi)-EXP(alpha*b*psi)))</f>
        <v>1.57951517936842</v>
      </c>
      <c r="S2" s="5" t="n">
        <f aca="false">(EXP(alpha*(zeta-a*psi))*Beta*Phi*(-EXP(alpha*a*psi)*(-2+(-1)*Size*alpha*psi)+EXP(alpha*b*psi)*(-2+Size*alpha*psi)))/((alpha^3)*(psi^3))</f>
        <v>0.146515554131081</v>
      </c>
      <c r="T2" s="5" t="n">
        <f aca="false">Tau*Beta</f>
        <v>105.996484030142</v>
      </c>
      <c r="U2" s="5" t="n">
        <f aca="false">Tau*Beta</f>
        <v>105.996484030142</v>
      </c>
      <c r="V2" s="6" t="n">
        <f aca="false">Tau</f>
        <v>0.588869355723013</v>
      </c>
      <c r="W2" s="5" t="n">
        <f aca="false">Profit+Utility</f>
        <v>-20.2331460901728</v>
      </c>
      <c r="X2" s="5" t="n">
        <f aca="false">(2*ij*BRIJ)+2*jj*BRJJ</f>
        <v>30.4608412861629</v>
      </c>
      <c r="Y2" s="5" t="n">
        <f aca="false">2*(ij*BCCIJ)+(2*jj*BCCJJ)+BCS+jj*BCPTJJ+2*(ij*BCPTIJ)+BCPTII+BCk</f>
        <v>94.7417276491733</v>
      </c>
      <c r="Z2" s="5" t="n">
        <f aca="false">ij*BUTIJ+BUTII</f>
        <v>44.0477402728377</v>
      </c>
      <c r="AA2" s="5" t="n">
        <f aca="false">Revenue-Cost</f>
        <v>-64.2808863630104</v>
      </c>
      <c r="AB2" s="5" t="n">
        <f aca="false">Size</f>
        <v>1</v>
      </c>
      <c r="AC2" s="6" t="n">
        <f aca="false">Welfare/(Size)</f>
        <v>-20.2331460901728</v>
      </c>
      <c r="AD2" s="6" t="n">
        <f aca="false">Profit/(Size)</f>
        <v>-64.2808863630104</v>
      </c>
      <c r="AE2" s="6" t="n">
        <f aca="false">Utility/(Size)</f>
        <v>44.0477402728377</v>
      </c>
      <c r="AF2" s="2" t="n">
        <v>308.660962030988</v>
      </c>
    </row>
    <row r="3" customFormat="false" ht="13" hidden="false" customHeight="false" outlineLevel="0" collapsed="false">
      <c r="A3" s="7" t="n">
        <f aca="false">C2</f>
        <v>0.479428678453672</v>
      </c>
      <c r="B3" s="2" t="n">
        <f aca="false">(I3+J3)*Beta*2</f>
        <v>16.2070083819726</v>
      </c>
      <c r="C3" s="7" t="n">
        <f aca="false">(W3+B3*Theta-'W-Tax(All-Toll)-NONC'!$T$2)/B3</f>
        <v>-0.074156553677044</v>
      </c>
      <c r="D3" s="2" t="n">
        <v>0.988252681530694</v>
      </c>
      <c r="E3" s="2" t="n">
        <v>0.988252681530694</v>
      </c>
      <c r="F3" s="2" t="n">
        <v>1</v>
      </c>
      <c r="G3" s="2" t="n">
        <v>0</v>
      </c>
      <c r="H3" s="2" t="n">
        <f aca="false">Size-a</f>
        <v>1</v>
      </c>
      <c r="I3" s="4" t="n">
        <f aca="false">(EXP(alpha*(Tau+OldTau+zeta-2*a*psi))*((EXP(alpha*a*psi)-EXP(alpha*b*psi))^2))/((EXP(alpha*a*psi)-EXP(alpha*(2*OldTau+b*psi)))*(alpha^2)*(psi^2))</f>
        <v>0.0396507470271548</v>
      </c>
      <c r="J3" s="4" t="n">
        <f aca="false">(EXP(alpha*(zeta+(2*b-a)*psi))*(-1+EXP(alpha*(-1)*Size*psi))*(EXP(alpha*(2*(Tau+OldTau)+a*psi))-EXP(alpha*(2*(Tau+OldTau)+b*psi))))/(((EXP(alpha*a*psi)-EXP(alpha*(2*OldTau+b*psi)))^2)*(alpha^2)*(psi^2))</f>
        <v>0.00536872070054698</v>
      </c>
      <c r="K3" s="5" t="n">
        <f aca="false">-Beta/alpha</f>
        <v>180</v>
      </c>
      <c r="L3" s="5" t="n">
        <f aca="false">(-EXP(alpha*zeta)*Beta*(-1+EXP(alpha*Size*psi)-Size*alpha*psi))/((alpha^3)*(psi^2))</f>
        <v>25.0388962482082</v>
      </c>
      <c r="M3" s="5" t="n">
        <f aca="false">Beta*Theta</f>
        <v>86.2971621216609</v>
      </c>
      <c r="N3" s="5" t="n">
        <f aca="false">Beta*Theta</f>
        <v>86.2971621216609</v>
      </c>
      <c r="O3" s="5" t="n">
        <f aca="false">kappa</f>
        <v>90</v>
      </c>
      <c r="P3" s="5" t="n">
        <f aca="false">Gamma*Size</f>
        <v>0</v>
      </c>
      <c r="Q3" s="5" t="n">
        <f aca="false">Size*Beta*Phi</f>
        <v>3.24</v>
      </c>
      <c r="R3" s="5" t="n">
        <f aca="false">-(EXP(alpha*a*psi)+EXP(alpha*b*psi)*(-1+Size*psi*alpha))*(Beta*Phi)/((alpha*psi)*(EXP(alpha*a*psi)-EXP(alpha*b*psi)))</f>
        <v>1.57951517936842</v>
      </c>
      <c r="S3" s="5" t="n">
        <f aca="false">(EXP(alpha*(zeta-a*psi))*Beta*Phi*(-EXP(alpha*a*psi)*(-2+(-1)*Size*alpha*psi)+EXP(alpha*b*psi)*(-2+Size*alpha*psi)))/((alpha^3)*(psi^3))</f>
        <v>0.146515554131081</v>
      </c>
      <c r="T3" s="5" t="n">
        <f aca="false">Tau*Beta</f>
        <v>177.885482675525</v>
      </c>
      <c r="U3" s="5" t="n">
        <f aca="false">Tau*Beta</f>
        <v>177.885482675525</v>
      </c>
      <c r="V3" s="6" t="n">
        <f aca="false">Tau</f>
        <v>0.988252681530694</v>
      </c>
      <c r="W3" s="5" t="n">
        <f aca="false">Profit+Utility</f>
        <v>-49.866622526892</v>
      </c>
      <c r="X3" s="5" t="n">
        <f aca="false">(2*ij*BRIJ)+2*jj*BRJJ</f>
        <v>16.0166194930749</v>
      </c>
      <c r="Y3" s="5" t="n">
        <f aca="false">2*(ij*BCCIJ)+(2*jj*BCCJJ)+BCS+jj*BCPTJJ+2*(ij*BCPTIJ)+BCPTII+BCk</f>
        <v>98.059272733063</v>
      </c>
      <c r="Z3" s="5" t="n">
        <f aca="false">ij*BUTIJ+BUTII</f>
        <v>32.176030713096</v>
      </c>
      <c r="AA3" s="5" t="n">
        <f aca="false">Revenue-Cost</f>
        <v>-82.0426532399881</v>
      </c>
      <c r="AB3" s="5" t="n">
        <f aca="false">Size</f>
        <v>1</v>
      </c>
      <c r="AC3" s="6" t="n">
        <f aca="false">Welfare/(Size)</f>
        <v>-49.866622526892</v>
      </c>
      <c r="AD3" s="6" t="n">
        <f aca="false">Profit/(Size)</f>
        <v>-82.0426532399881</v>
      </c>
      <c r="AE3" s="6" t="n">
        <f aca="false">Utility/(Size)</f>
        <v>32.176030713096</v>
      </c>
      <c r="AF3" s="2" t="n">
        <v>308.660962030988</v>
      </c>
    </row>
    <row r="4" customFormat="false" ht="13" hidden="false" customHeight="false" outlineLevel="0" collapsed="false">
      <c r="A4" s="7" t="n">
        <f aca="false">C3</f>
        <v>-0.074156553677044</v>
      </c>
      <c r="B4" s="2" t="n">
        <f aca="false">(I4+J4)*Beta*2</f>
        <v>93.1019829427597</v>
      </c>
      <c r="C4" s="7" t="n">
        <f aca="false">(W4+B4*Theta-'W-Tax(All-Toll)-NONC'!$T$2)/B4</f>
        <v>0.485406241371216</v>
      </c>
      <c r="D4" s="2" t="n">
        <v>0.434737813517002</v>
      </c>
      <c r="E4" s="2" t="n">
        <v>0.434680346360069</v>
      </c>
      <c r="F4" s="2" t="n">
        <v>1</v>
      </c>
      <c r="G4" s="2" t="n">
        <v>0</v>
      </c>
      <c r="H4" s="2" t="n">
        <f aca="false">Size-a</f>
        <v>1</v>
      </c>
      <c r="I4" s="4" t="n">
        <f aca="false">(EXP(alpha*(Tau+OldTau+zeta-2*a*psi))*((EXP(alpha*a*psi)-EXP(alpha*b*psi))^2))/((EXP(alpha*a*psi)-EXP(alpha*(2*OldTau+b*psi)))*(alpha^2)*(psi^2))</f>
        <v>0.165304564318566</v>
      </c>
      <c r="J4" s="4" t="n">
        <f aca="false">(EXP(alpha*(zeta+(2*b-a)*psi))*(-1+EXP(alpha*(-1)*Size*psi))*(EXP(alpha*(2*(Tau+OldTau)+a*psi))-EXP(alpha*(2*(Tau+OldTau)+b*psi))))/(((EXP(alpha*a*psi)-EXP(alpha*(2*OldTau+b*psi)))^2)*(alpha^2)*(psi^2))</f>
        <v>0.0933120549668773</v>
      </c>
      <c r="K4" s="5" t="n">
        <f aca="false">-Beta/alpha</f>
        <v>180</v>
      </c>
      <c r="L4" s="5" t="n">
        <f aca="false">(-EXP(alpha*zeta)*Beta*(-1+EXP(alpha*Size*psi)-Size*alpha*psi))/((alpha^3)*(psi^2))</f>
        <v>25.0388962482082</v>
      </c>
      <c r="M4" s="5" t="n">
        <f aca="false">Beta*Theta</f>
        <v>-13.3481796618679</v>
      </c>
      <c r="N4" s="5" t="n">
        <f aca="false">Beta*Theta</f>
        <v>-13.3481796618679</v>
      </c>
      <c r="O4" s="5" t="n">
        <f aca="false">kappa</f>
        <v>90</v>
      </c>
      <c r="P4" s="5" t="n">
        <f aca="false">Gamma*Size</f>
        <v>0</v>
      </c>
      <c r="Q4" s="5" t="n">
        <f aca="false">Size*Beta*Phi</f>
        <v>3.24</v>
      </c>
      <c r="R4" s="5" t="n">
        <f aca="false">-(EXP(alpha*a*psi)+EXP(alpha*b*psi)*(-1+Size*psi*alpha))*(Beta*Phi)/((alpha*psi)*(EXP(alpha*a*psi)-EXP(alpha*b*psi)))</f>
        <v>1.57951517936842</v>
      </c>
      <c r="S4" s="5" t="n">
        <f aca="false">(EXP(alpha*(zeta-a*psi))*Beta*Phi*(-EXP(alpha*a*psi)*(-2+(-1)*Size*alpha*psi)+EXP(alpha*b*psi)*(-2+Size*alpha*psi)))/((alpha^3)*(psi^3))</f>
        <v>0.146515554131081</v>
      </c>
      <c r="T4" s="5" t="n">
        <f aca="false">Tau*Beta</f>
        <v>78.2528064330604</v>
      </c>
      <c r="U4" s="5" t="n">
        <f aca="false">Tau*Beta</f>
        <v>78.2528064330604</v>
      </c>
      <c r="V4" s="6" t="n">
        <f aca="false">Tau</f>
        <v>0.434737813517002</v>
      </c>
      <c r="W4" s="5" t="n">
        <f aca="false">Profit+Utility</f>
        <v>11.2017437703728</v>
      </c>
      <c r="X4" s="5" t="n">
        <f aca="false">(2*ij*BRIJ)+2*jj*BRJJ</f>
        <v>40.4749524986326</v>
      </c>
      <c r="Y4" s="5" t="n">
        <f aca="false">2*(ij*BCCIJ)+(2*jj*BCCJJ)+BCS+jj*BCPTJJ+2*(ij*BCPTIJ)+BCPTII+BCk</f>
        <v>84.0669265538099</v>
      </c>
      <c r="Z4" s="5" t="n">
        <f aca="false">ij*BUTIJ+BUTII</f>
        <v>54.7937178255501</v>
      </c>
      <c r="AA4" s="5" t="n">
        <f aca="false">Revenue-Cost</f>
        <v>-43.5919740551773</v>
      </c>
      <c r="AB4" s="5" t="n">
        <f aca="false">Size</f>
        <v>1</v>
      </c>
      <c r="AC4" s="6" t="n">
        <f aca="false">Welfare/(Size)</f>
        <v>11.2017437703728</v>
      </c>
      <c r="AD4" s="6" t="n">
        <f aca="false">Profit/(Size)</f>
        <v>-43.5919740551773</v>
      </c>
      <c r="AE4" s="6" t="n">
        <f aca="false">Utility/(Size)</f>
        <v>54.7937178255501</v>
      </c>
      <c r="AF4" s="2" t="n">
        <v>308.660962030988</v>
      </c>
    </row>
    <row r="5" customFormat="false" ht="13" hidden="false" customHeight="false" outlineLevel="0" collapsed="false">
      <c r="A5" s="7" t="n">
        <f aca="false">C4</f>
        <v>0.485406241371216</v>
      </c>
      <c r="B5" s="2" t="n">
        <f aca="false">(I5+J5)*Beta*2</f>
        <v>15.9623218534079</v>
      </c>
      <c r="C5" s="7" t="n">
        <f aca="false">(W5+B5*Theta-'W-Tax(All-Toll)-NONC'!$T$2)/B5</f>
        <v>-0.0903527906590953</v>
      </c>
      <c r="D5" s="2" t="n">
        <v>0.994246811501807</v>
      </c>
      <c r="E5" s="2" t="n">
        <v>0.994246811501807</v>
      </c>
      <c r="F5" s="2" t="n">
        <v>1</v>
      </c>
      <c r="G5" s="2" t="n">
        <v>0</v>
      </c>
      <c r="H5" s="2" t="n">
        <f aca="false">Size-a</f>
        <v>1</v>
      </c>
      <c r="I5" s="4" t="n">
        <f aca="false">(EXP(alpha*(Tau+OldTau+zeta-2*a*psi))*((EXP(alpha*a*psi)-EXP(alpha*b*psi))^2))/((EXP(alpha*a*psi)-EXP(alpha*(2*OldTau+b*psi)))*(alpha^2)*(psi^2))</f>
        <v>0.0391151283517179</v>
      </c>
      <c r="J5" s="4" t="n">
        <f aca="false">(EXP(alpha*(zeta+(2*b-a)*psi))*(-1+EXP(alpha*(-1)*Size*psi))*(EXP(alpha*(2*(Tau+OldTau)+a*psi))-EXP(alpha*(2*(Tau+OldTau)+b*psi))))/(((EXP(alpha*a*psi)-EXP(alpha*(2*OldTau+b*psi)))^2)*(alpha^2)*(psi^2))</f>
        <v>0.00522465457441528</v>
      </c>
      <c r="K5" s="5" t="n">
        <f aca="false">-Beta/alpha</f>
        <v>180</v>
      </c>
      <c r="L5" s="5" t="n">
        <f aca="false">(-EXP(alpha*zeta)*Beta*(-1+EXP(alpha*Size*psi)-Size*alpha*psi))/((alpha^3)*(psi^2))</f>
        <v>25.0388962482082</v>
      </c>
      <c r="M5" s="5" t="n">
        <f aca="false">Beta*Theta</f>
        <v>87.3731234468188</v>
      </c>
      <c r="N5" s="5" t="n">
        <f aca="false">Beta*Theta</f>
        <v>87.3731234468188</v>
      </c>
      <c r="O5" s="5" t="n">
        <f aca="false">kappa</f>
        <v>90</v>
      </c>
      <c r="P5" s="5" t="n">
        <f aca="false">Gamma*Size</f>
        <v>0</v>
      </c>
      <c r="Q5" s="5" t="n">
        <f aca="false">Size*Beta*Phi</f>
        <v>3.24</v>
      </c>
      <c r="R5" s="5" t="n">
        <f aca="false">-(EXP(alpha*a*psi)+EXP(alpha*b*psi)*(-1+Size*psi*alpha))*(Beta*Phi)/((alpha*psi)*(EXP(alpha*a*psi)-EXP(alpha*b*psi)))</f>
        <v>1.57951517936842</v>
      </c>
      <c r="S5" s="5" t="n">
        <f aca="false">(EXP(alpha*(zeta-a*psi))*Beta*Phi*(-EXP(alpha*a*psi)*(-2+(-1)*Size*alpha*psi)+EXP(alpha*b*psi)*(-2+Size*alpha*psi)))/((alpha^3)*(psi^3))</f>
        <v>0.146515554131081</v>
      </c>
      <c r="T5" s="5" t="n">
        <f aca="false">Tau*Beta</f>
        <v>178.964426070325</v>
      </c>
      <c r="U5" s="5" t="n">
        <f aca="false">Tau*Beta</f>
        <v>178.964426070325</v>
      </c>
      <c r="V5" s="6" t="n">
        <f aca="false">Tau</f>
        <v>0.994246811501807</v>
      </c>
      <c r="W5" s="5" t="n">
        <f aca="false">Profit+Utility</f>
        <v>-50.0851130088877</v>
      </c>
      <c r="X5" s="5" t="n">
        <f aca="false">(2*ij*BRIJ)+2*jj*BRJJ</f>
        <v>15.8704876069164</v>
      </c>
      <c r="Y5" s="5" t="n">
        <f aca="false">2*(ij*BCCIJ)+(2*jj*BCCJJ)+BCS+jj*BCPTJJ+2*(ij*BCPTIJ)+BCPTII+BCk</f>
        <v>98.0352199673215</v>
      </c>
      <c r="Z5" s="5" t="n">
        <f aca="false">ij*BUTIJ+BUTII</f>
        <v>32.0796193515174</v>
      </c>
      <c r="AA5" s="5" t="n">
        <f aca="false">Revenue-Cost</f>
        <v>-82.1647323604051</v>
      </c>
      <c r="AB5" s="5" t="n">
        <f aca="false">Size</f>
        <v>1</v>
      </c>
      <c r="AC5" s="6" t="n">
        <f aca="false">Welfare/(Size)</f>
        <v>-50.0851130088877</v>
      </c>
      <c r="AD5" s="6" t="n">
        <f aca="false">Profit/(Size)</f>
        <v>-82.1647323604051</v>
      </c>
      <c r="AE5" s="6" t="n">
        <f aca="false">Utility/(Size)</f>
        <v>32.0796193515174</v>
      </c>
      <c r="AF5" s="2" t="n">
        <v>308.660962030988</v>
      </c>
    </row>
    <row r="6" customFormat="false" ht="13" hidden="false" customHeight="false" outlineLevel="0" collapsed="false">
      <c r="A6" s="7" t="n">
        <f aca="false">C5</f>
        <v>-0.0903527906590953</v>
      </c>
      <c r="B6" s="2" t="n">
        <f aca="false">(I6+J6)*Beta*2</f>
        <v>99.8254300458345</v>
      </c>
      <c r="C6" s="7" t="n">
        <f aca="false">(W6+B6*Theta-'W-Tax(All-Toll)-NONC'!$T$2)/B6</f>
        <v>0.480802552030248</v>
      </c>
      <c r="D6" s="2" t="n">
        <v>0.418544437474894</v>
      </c>
      <c r="E6" s="2" t="n">
        <v>0.418544437474894</v>
      </c>
      <c r="F6" s="2" t="n">
        <v>1</v>
      </c>
      <c r="G6" s="2" t="n">
        <v>0</v>
      </c>
      <c r="H6" s="2" t="n">
        <f aca="false">Size-a</f>
        <v>1</v>
      </c>
      <c r="I6" s="4" t="n">
        <f aca="false">(EXP(alpha*(Tau+OldTau+zeta-2*a*psi))*((EXP(alpha*a*psi)-EXP(alpha*b*psi))^2))/((EXP(alpha*a*psi)-EXP(alpha*(2*OldTau+b*psi)))*(alpha^2)*(psi^2))</f>
        <v>0.173956910985419</v>
      </c>
      <c r="J6" s="4" t="n">
        <f aca="false">(EXP(alpha*(zeta+(2*b-a)*psi))*(-1+EXP(alpha*(-1)*Size*psi))*(EXP(alpha*(2*(Tau+OldTau)+a*psi))-EXP(alpha*(2*(Tau+OldTau)+b*psi))))/(((EXP(alpha*a*psi)-EXP(alpha*(2*OldTau+b*psi)))^2)*(alpha^2)*(psi^2))</f>
        <v>0.10333595025301</v>
      </c>
      <c r="K6" s="5" t="n">
        <f aca="false">-Beta/alpha</f>
        <v>180</v>
      </c>
      <c r="L6" s="5" t="n">
        <f aca="false">(-EXP(alpha*zeta)*Beta*(-1+EXP(alpha*Size*psi)-Size*alpha*psi))/((alpha^3)*(psi^2))</f>
        <v>25.0388962482082</v>
      </c>
      <c r="M6" s="5" t="n">
        <f aca="false">Beta*Theta</f>
        <v>-16.2635023186372</v>
      </c>
      <c r="N6" s="5" t="n">
        <f aca="false">Beta*Theta</f>
        <v>-16.2635023186372</v>
      </c>
      <c r="O6" s="5" t="n">
        <f aca="false">kappa</f>
        <v>90</v>
      </c>
      <c r="P6" s="5" t="n">
        <f aca="false">Gamma*Size</f>
        <v>0</v>
      </c>
      <c r="Q6" s="5" t="n">
        <f aca="false">Size*Beta*Phi</f>
        <v>3.24</v>
      </c>
      <c r="R6" s="5" t="n">
        <f aca="false">-(EXP(alpha*a*psi)+EXP(alpha*b*psi)*(-1+Size*psi*alpha))*(Beta*Phi)/((alpha*psi)*(EXP(alpha*a*psi)-EXP(alpha*b*psi)))</f>
        <v>1.57951517936842</v>
      </c>
      <c r="S6" s="5" t="n">
        <f aca="false">(EXP(alpha*(zeta-a*psi))*Beta*Phi*(-EXP(alpha*a*psi)*(-2+(-1)*Size*alpha*psi)+EXP(alpha*b*psi)*(-2+Size*alpha*psi)))/((alpha^3)*(psi^3))</f>
        <v>0.146515554131081</v>
      </c>
      <c r="T6" s="5" t="n">
        <f aca="false">Tau*Beta</f>
        <v>75.337998745481</v>
      </c>
      <c r="U6" s="5" t="n">
        <f aca="false">Tau*Beta</f>
        <v>75.337998745481</v>
      </c>
      <c r="V6" s="6" t="n">
        <f aca="false">Tau</f>
        <v>0.418544437474894</v>
      </c>
      <c r="W6" s="5" t="n">
        <f aca="false">Profit+Utility</f>
        <v>16.1211656773264</v>
      </c>
      <c r="X6" s="5" t="n">
        <f aca="false">(2*ij*BRIJ)+2*jj*BRJJ</f>
        <v>41.7813784642232</v>
      </c>
      <c r="Y6" s="5" t="n">
        <f aca="false">2*(ij*BCCIJ)+(2*jj*BCCJJ)+BCS+jj*BCPTJJ+2*(ij*BCPTIJ)+BCPTII+BCk</f>
        <v>82.0113530124804</v>
      </c>
      <c r="Z6" s="5" t="n">
        <f aca="false">ij*BUTIJ+BUTII</f>
        <v>56.3511402255836</v>
      </c>
      <c r="AA6" s="5" t="n">
        <f aca="false">Revenue-Cost</f>
        <v>-40.2299745482572</v>
      </c>
      <c r="AB6" s="5" t="n">
        <f aca="false">Size</f>
        <v>1</v>
      </c>
      <c r="AC6" s="6" t="n">
        <f aca="false">Welfare/(Size)</f>
        <v>16.1211656773264</v>
      </c>
      <c r="AD6" s="6" t="n">
        <f aca="false">Profit/(Size)</f>
        <v>-40.2299745482572</v>
      </c>
      <c r="AE6" s="6" t="n">
        <f aca="false">Utility/(Size)</f>
        <v>56.3511402255836</v>
      </c>
      <c r="AF6" s="2" t="n">
        <v>308.660962030988</v>
      </c>
    </row>
    <row r="7" customFormat="false" ht="13" hidden="false" customHeight="false" outlineLevel="0" collapsed="false">
      <c r="A7" s="7" t="n">
        <f aca="false">C6</f>
        <v>0.480802552030248</v>
      </c>
      <c r="B7" s="2" t="n">
        <f aca="false">(I7+J7)*Beta*2</f>
        <v>35.0833197533592</v>
      </c>
      <c r="C7" s="7" t="n">
        <f aca="false">(W7+B7*Theta-'W-Tax(All-Toll)-NONC'!$T$2)/B7</f>
        <v>0.405723610933613</v>
      </c>
      <c r="D7" s="8" t="n">
        <f aca="false">AVERAGE(D3:D6)</f>
        <v>0.708945436006099</v>
      </c>
      <c r="E7" s="2" t="n">
        <f aca="false">AVERAGE(E3:E6)</f>
        <v>0.708931069216866</v>
      </c>
      <c r="F7" s="2" t="n">
        <v>1</v>
      </c>
      <c r="G7" s="2" t="n">
        <v>0</v>
      </c>
      <c r="H7" s="2" t="n">
        <f aca="false">Size-a</f>
        <v>1</v>
      </c>
      <c r="I7" s="4" t="n">
        <f aca="false">(EXP(alpha*(Tau+OldTau+zeta-2*a*psi))*((EXP(alpha*a*psi)-EXP(alpha*b*psi))^2))/((EXP(alpha*a*psi)-EXP(alpha*(2*OldTau+b*psi)))*(alpha^2)*(psi^2))</f>
        <v>0.0771357403091851</v>
      </c>
      <c r="J7" s="4" t="n">
        <f aca="false">(EXP(alpha*(zeta+(2*b-a)*psi))*(-1+EXP(alpha*(-1)*Size*psi))*(EXP(alpha*(2*(Tau+OldTau)+a*psi))-EXP(alpha*(2*(Tau+OldTau)+b*psi))))/(((EXP(alpha*a*psi)-EXP(alpha*(2*OldTau+b*psi)))^2)*(alpha^2)*(psi^2))</f>
        <v>0.0203179256723682</v>
      </c>
      <c r="K7" s="5" t="n">
        <f aca="false">-Beta/alpha</f>
        <v>180</v>
      </c>
      <c r="L7" s="5" t="n">
        <f aca="false">(-EXP(alpha*zeta)*Beta*(-1+EXP(alpha*Size*psi)-Size*alpha*psi))/((alpha^3)*(psi^2))</f>
        <v>25.0388962482082</v>
      </c>
      <c r="M7" s="5" t="n">
        <f aca="false">Beta*Theta</f>
        <v>86.5444593654446</v>
      </c>
      <c r="N7" s="5" t="n">
        <f aca="false">Beta*Theta</f>
        <v>86.5444593654446</v>
      </c>
      <c r="O7" s="5" t="n">
        <f aca="false">kappa</f>
        <v>90</v>
      </c>
      <c r="P7" s="5" t="n">
        <f aca="false">Gamma*Size</f>
        <v>0</v>
      </c>
      <c r="Q7" s="5" t="n">
        <f aca="false">Size*Beta*Phi</f>
        <v>3.24</v>
      </c>
      <c r="R7" s="5" t="n">
        <f aca="false">-(EXP(alpha*a*psi)+EXP(alpha*b*psi)*(-1+Size*psi*alpha))*(Beta*Phi)/((alpha*psi)*(EXP(alpha*a*psi)-EXP(alpha*b*psi)))</f>
        <v>1.57951517936842</v>
      </c>
      <c r="S7" s="5" t="n">
        <f aca="false">(EXP(alpha*(zeta-a*psi))*Beta*Phi*(-EXP(alpha*a*psi)*(-2+(-1)*Size*alpha*psi)+EXP(alpha*b*psi)*(-2+Size*alpha*psi)))/((alpha^3)*(psi^3))</f>
        <v>0.146515554131081</v>
      </c>
      <c r="T7" s="5" t="n">
        <f aca="false">Tau*Beta</f>
        <v>127.610178481098</v>
      </c>
      <c r="U7" s="5" t="n">
        <f aca="false">Tau*Beta</f>
        <v>127.610178481098</v>
      </c>
      <c r="V7" s="6" t="n">
        <f aca="false">Tau</f>
        <v>0.708945436006099</v>
      </c>
      <c r="W7" s="5" t="n">
        <f aca="false">Profit+Utility</f>
        <v>-43.5286805268501</v>
      </c>
      <c r="X7" s="5" t="n">
        <f aca="false">(2*ij*BRIJ)+2*jj*BRJJ</f>
        <v>24.8721594190866</v>
      </c>
      <c r="Y7" s="5" t="n">
        <f aca="false">2*(ij*BCCIJ)+(2*jj*BCCJJ)+BCS+jj*BCPTJJ+2*(ij*BCPTIJ)+BCPTII+BCk</f>
        <v>107.324169449798</v>
      </c>
      <c r="Z7" s="5" t="n">
        <f aca="false">ij*BUTIJ+BUTII</f>
        <v>38.9233295038615</v>
      </c>
      <c r="AA7" s="5" t="n">
        <f aca="false">Revenue-Cost</f>
        <v>-82.4520100307116</v>
      </c>
      <c r="AB7" s="5" t="n">
        <f aca="false">Size</f>
        <v>1</v>
      </c>
      <c r="AC7" s="6" t="n">
        <f aca="false">Welfare/(Size)</f>
        <v>-43.5286805268501</v>
      </c>
      <c r="AD7" s="6" t="n">
        <f aca="false">Profit/(Size)</f>
        <v>-82.4520100307116</v>
      </c>
      <c r="AE7" s="6" t="n">
        <f aca="false">Utility/(Size)</f>
        <v>38.9233295038615</v>
      </c>
      <c r="AF7" s="2" t="n">
        <v>308.660962030988</v>
      </c>
    </row>
    <row r="8" customFormat="false" ht="13" hidden="false" customHeight="false" outlineLevel="0" collapsed="false">
      <c r="A8" s="7" t="n">
        <f aca="false">C7</f>
        <v>0.405723610933613</v>
      </c>
      <c r="B8" s="2" t="n">
        <f aca="false">(I8+J8)*Beta*2</f>
        <v>19.614536420448</v>
      </c>
      <c r="C8" s="7" t="n">
        <f aca="false">(W8+B8*Theta-'W-Tax(All-Toll)-NONC'!$T$2)/B8</f>
        <v>0.102232133969722</v>
      </c>
      <c r="D8" s="2" t="n">
        <v>0.91457153649802</v>
      </c>
      <c r="E8" s="2" t="n">
        <v>0.91457153649802</v>
      </c>
      <c r="F8" s="2" t="n">
        <v>1</v>
      </c>
      <c r="G8" s="2" t="n">
        <v>0</v>
      </c>
      <c r="H8" s="2" t="n">
        <f aca="false">Size-a</f>
        <v>1</v>
      </c>
      <c r="I8" s="4" t="n">
        <f aca="false">(EXP(alpha*(Tau+OldTau+zeta-2*a*psi))*((EXP(alpha*a*psi)-EXP(alpha*b*psi))^2))/((EXP(alpha*a*psi)-EXP(alpha*(2*OldTau+b*psi)))*(alpha^2)*(psi^2))</f>
        <v>0.0469556962308796</v>
      </c>
      <c r="J8" s="4" t="n">
        <f aca="false">(EXP(alpha*(zeta+(2*b-a)*psi))*(-1+EXP(alpha*(-1)*Size*psi))*(EXP(alpha*(2*(Tau+OldTau)+a*psi))-EXP(alpha*(2*(Tau+OldTau)+b*psi))))/(((EXP(alpha*a*psi)-EXP(alpha*(2*OldTau+b*psi)))^2)*(alpha^2)*(psi^2))</f>
        <v>0.00752912715925392</v>
      </c>
      <c r="K8" s="5" t="n">
        <f aca="false">-Beta/alpha</f>
        <v>180</v>
      </c>
      <c r="L8" s="5" t="n">
        <f aca="false">(-EXP(alpha*zeta)*Beta*(-1+EXP(alpha*Size*psi)-Size*alpha*psi))/((alpha^3)*(psi^2))</f>
        <v>25.0388962482082</v>
      </c>
      <c r="M8" s="5" t="n">
        <f aca="false">Beta*Theta</f>
        <v>73.0302499680503</v>
      </c>
      <c r="N8" s="5" t="n">
        <f aca="false">Beta*Theta</f>
        <v>73.0302499680503</v>
      </c>
      <c r="O8" s="5" t="n">
        <f aca="false">kappa</f>
        <v>90</v>
      </c>
      <c r="P8" s="5" t="n">
        <f aca="false">Gamma*Size</f>
        <v>0</v>
      </c>
      <c r="Q8" s="5" t="n">
        <f aca="false">Size*Beta*Phi</f>
        <v>3.24</v>
      </c>
      <c r="R8" s="5" t="n">
        <f aca="false">-(EXP(alpha*a*psi)+EXP(alpha*b*psi)*(-1+Size*psi*alpha))*(Beta*Phi)/((alpha*psi)*(EXP(alpha*a*psi)-EXP(alpha*b*psi)))</f>
        <v>1.57951517936842</v>
      </c>
      <c r="S8" s="5" t="n">
        <f aca="false">(EXP(alpha*(zeta-a*psi))*Beta*Phi*(-EXP(alpha*a*psi)*(-2+(-1)*Size*alpha*psi)+EXP(alpha*b*psi)*(-2+Size*alpha*psi)))/((alpha^3)*(psi^3))</f>
        <v>0.146515554131081</v>
      </c>
      <c r="T8" s="5" t="n">
        <f aca="false">Tau*Beta</f>
        <v>164.622876569644</v>
      </c>
      <c r="U8" s="5" t="n">
        <f aca="false">Tau*Beta</f>
        <v>164.622876569644</v>
      </c>
      <c r="V8" s="6" t="n">
        <f aca="false">Tau</f>
        <v>0.91457153649802</v>
      </c>
      <c r="W8" s="5" t="n">
        <f aca="false">Profit+Utility</f>
        <v>-46.8475066578171</v>
      </c>
      <c r="X8" s="5" t="n">
        <f aca="false">(2*ij*BRIJ)+2*jj*BRJJ</f>
        <v>17.9388967117455</v>
      </c>
      <c r="Y8" s="5" t="n">
        <f aca="false">2*(ij*BCCIJ)+(2*jj*BCCJJ)+BCS+jj*BCPTJJ+2*(ij*BCPTIJ)+BCPTII+BCk</f>
        <v>98.2773249393291</v>
      </c>
      <c r="Z8" s="5" t="n">
        <f aca="false">ij*BUTIJ+BUTII</f>
        <v>33.4909215697665</v>
      </c>
      <c r="AA8" s="5" t="n">
        <f aca="false">Revenue-Cost</f>
        <v>-80.3384282275835</v>
      </c>
      <c r="AB8" s="5" t="n">
        <f aca="false">Size</f>
        <v>1</v>
      </c>
      <c r="AC8" s="6" t="n">
        <f aca="false">Welfare/(Size)</f>
        <v>-46.8475066578171</v>
      </c>
      <c r="AD8" s="6" t="n">
        <f aca="false">Profit/(Size)</f>
        <v>-80.3384282275835</v>
      </c>
      <c r="AE8" s="6" t="n">
        <f aca="false">Utility/(Size)</f>
        <v>33.4909215697665</v>
      </c>
      <c r="AF8" s="2" t="n">
        <v>308.660962030988</v>
      </c>
    </row>
    <row r="9" customFormat="false" ht="13" hidden="false" customHeight="false" outlineLevel="0" collapsed="false">
      <c r="A9" s="7" t="n">
        <f aca="false">C8</f>
        <v>0.102232133969722</v>
      </c>
      <c r="B9" s="2" t="n">
        <f aca="false">(I9+J9)*Beta*2</f>
        <v>47.9764804044432</v>
      </c>
      <c r="C9" s="7" t="n">
        <f aca="false">(W9+B9*Theta-'W-Tax(All-Toll)-NONC'!$T$2)/B9</f>
        <v>0.47077879510351</v>
      </c>
      <c r="D9" s="2" t="n">
        <v>0.611075333693491</v>
      </c>
      <c r="E9" s="2" t="n">
        <v>0.611075333693491</v>
      </c>
      <c r="F9" s="2" t="n">
        <v>1</v>
      </c>
      <c r="G9" s="2" t="n">
        <v>0</v>
      </c>
      <c r="H9" s="2" t="n">
        <f aca="false">Size-a</f>
        <v>1</v>
      </c>
      <c r="I9" s="4" t="n">
        <f aca="false">(EXP(alpha*(Tau+OldTau+zeta-2*a*psi))*((EXP(alpha*a*psi)-EXP(alpha*b*psi))^2))/((EXP(alpha*a*psi)-EXP(alpha*(2*OldTau+b*psi)))*(alpha^2)*(psi^2))</f>
        <v>0.0994764271936234</v>
      </c>
      <c r="J9" s="4" t="n">
        <f aca="false">(EXP(alpha*(zeta+(2*b-a)*psi))*(-1+EXP(alpha*(-1)*Size*psi))*(EXP(alpha*(2*(Tau+OldTau)+a*psi))-EXP(alpha*(2*(Tau+OldTau)+b*psi))))/(((EXP(alpha*a*psi)-EXP(alpha*(2*OldTau+b*psi)))^2)*(alpha^2)*(psi^2))</f>
        <v>0.03379157392983</v>
      </c>
      <c r="K9" s="5" t="n">
        <f aca="false">-Beta/alpha</f>
        <v>180</v>
      </c>
      <c r="L9" s="5" t="n">
        <f aca="false">(-EXP(alpha*zeta)*Beta*(-1+EXP(alpha*Size*psi)-Size*alpha*psi))/((alpha^3)*(psi^2))</f>
        <v>25.0388962482082</v>
      </c>
      <c r="M9" s="5" t="n">
        <f aca="false">Beta*Theta</f>
        <v>18.40178411455</v>
      </c>
      <c r="N9" s="5" t="n">
        <f aca="false">Beta*Theta</f>
        <v>18.40178411455</v>
      </c>
      <c r="O9" s="5" t="n">
        <f aca="false">kappa</f>
        <v>90</v>
      </c>
      <c r="P9" s="5" t="n">
        <f aca="false">Gamma*Size</f>
        <v>0</v>
      </c>
      <c r="Q9" s="5" t="n">
        <f aca="false">Size*Beta*Phi</f>
        <v>3.24</v>
      </c>
      <c r="R9" s="5" t="n">
        <f aca="false">-(EXP(alpha*a*psi)+EXP(alpha*b*psi)*(-1+Size*psi*alpha))*(Beta*Phi)/((alpha*psi)*(EXP(alpha*a*psi)-EXP(alpha*b*psi)))</f>
        <v>1.57951517936842</v>
      </c>
      <c r="S9" s="5" t="n">
        <f aca="false">(EXP(alpha*(zeta-a*psi))*Beta*Phi*(-EXP(alpha*a*psi)*(-2+(-1)*Size*alpha*psi)+EXP(alpha*b*psi)*(-2+Size*alpha*psi)))/((alpha^3)*(psi^3))</f>
        <v>0.146515554131081</v>
      </c>
      <c r="T9" s="5" t="n">
        <f aca="false">Tau*Beta</f>
        <v>109.993560064828</v>
      </c>
      <c r="U9" s="5" t="n">
        <f aca="false">Tau*Beta</f>
        <v>109.993560064828</v>
      </c>
      <c r="V9" s="6" t="n">
        <f aca="false">Tau</f>
        <v>0.611075333693491</v>
      </c>
      <c r="W9" s="5" t="n">
        <f aca="false">Profit+Utility</f>
        <v>-23.2130903636051</v>
      </c>
      <c r="X9" s="5" t="n">
        <f aca="false">(2*ij*BRIJ)+2*jj*BRJJ</f>
        <v>29.3172437725844</v>
      </c>
      <c r="Y9" s="5" t="n">
        <f aca="false">2*(ij*BCCIJ)+(2*jj*BCCJJ)+BCS+jj*BCPTJJ+2*(ij*BCPTIJ)+BCPTII+BCk</f>
        <v>95.4749872792499</v>
      </c>
      <c r="Z9" s="5" t="n">
        <f aca="false">ij*BUTIJ+BUTII</f>
        <v>42.9446531430604</v>
      </c>
      <c r="AA9" s="5" t="n">
        <f aca="false">Revenue-Cost</f>
        <v>-66.1577435066655</v>
      </c>
      <c r="AB9" s="5" t="n">
        <f aca="false">Size</f>
        <v>1</v>
      </c>
      <c r="AC9" s="6" t="n">
        <f aca="false">Welfare/(Size)</f>
        <v>-23.2130903636051</v>
      </c>
      <c r="AD9" s="6" t="n">
        <f aca="false">Profit/(Size)</f>
        <v>-66.1577435066655</v>
      </c>
      <c r="AE9" s="6" t="n">
        <f aca="false">Utility/(Size)</f>
        <v>42.9446531430604</v>
      </c>
      <c r="AF9" s="2" t="n">
        <v>308.660962030988</v>
      </c>
    </row>
    <row r="10" customFormat="false" ht="13" hidden="false" customHeight="false" outlineLevel="0" collapsed="false">
      <c r="A10" s="7" t="n">
        <f aca="false">C9</f>
        <v>0.47077879510351</v>
      </c>
      <c r="B10" s="2" t="n">
        <f aca="false">(I10+J10)*Beta*2</f>
        <v>16.5670532817303</v>
      </c>
      <c r="C10" s="7" t="n">
        <f aca="false">(W10+B10*Theta-'W-Tax(All-Toll)-NONC'!$T$2)/B10</f>
        <v>-0.0513535606603908</v>
      </c>
      <c r="D10" s="2" t="n">
        <v>0.979625790651464</v>
      </c>
      <c r="E10" s="2" t="n">
        <v>0.979625790651464</v>
      </c>
      <c r="F10" s="2" t="n">
        <v>1</v>
      </c>
      <c r="G10" s="2" t="n">
        <v>0</v>
      </c>
      <c r="H10" s="2" t="n">
        <f aca="false">Size-a</f>
        <v>1</v>
      </c>
      <c r="I10" s="4" t="n">
        <f aca="false">(EXP(alpha*(Tau+OldTau+zeta-2*a*psi))*((EXP(alpha*a*psi)-EXP(alpha*b*psi))^2))/((EXP(alpha*a*psi)-EXP(alpha*(2*OldTau+b*psi)))*(alpha^2)*(psi^2))</f>
        <v>0.0404360934128908</v>
      </c>
      <c r="J10" s="4" t="n">
        <f aca="false">(EXP(alpha*(zeta+(2*b-a)*psi))*(-1+EXP(alpha*(-1)*Size*psi))*(EXP(alpha*(2*(Tau+OldTau)+a*psi))-EXP(alpha*(2*(Tau+OldTau)+b*psi))))/(((EXP(alpha*a*psi)-EXP(alpha*(2*OldTau+b*psi)))^2)*(alpha^2)*(psi^2))</f>
        <v>0.00558349903635993</v>
      </c>
      <c r="K10" s="5" t="n">
        <f aca="false">-Beta/alpha</f>
        <v>180</v>
      </c>
      <c r="L10" s="5" t="n">
        <f aca="false">(-EXP(alpha*zeta)*Beta*(-1+EXP(alpha*Size*psi)-Size*alpha*psi))/((alpha^3)*(psi^2))</f>
        <v>25.0388962482082</v>
      </c>
      <c r="M10" s="5" t="n">
        <f aca="false">Beta*Theta</f>
        <v>84.7401831186318</v>
      </c>
      <c r="N10" s="5" t="n">
        <f aca="false">Beta*Theta</f>
        <v>84.7401831186318</v>
      </c>
      <c r="O10" s="5" t="n">
        <f aca="false">kappa</f>
        <v>90</v>
      </c>
      <c r="P10" s="5" t="n">
        <f aca="false">Gamma*Size</f>
        <v>0</v>
      </c>
      <c r="Q10" s="5" t="n">
        <f aca="false">Size*Beta*Phi</f>
        <v>3.24</v>
      </c>
      <c r="R10" s="5" t="n">
        <f aca="false">-(EXP(alpha*a*psi)+EXP(alpha*b*psi)*(-1+Size*psi*alpha))*(Beta*Phi)/((alpha*psi)*(EXP(alpha*a*psi)-EXP(alpha*b*psi)))</f>
        <v>1.57951517936842</v>
      </c>
      <c r="S10" s="5" t="n">
        <f aca="false">(EXP(alpha*(zeta-a*psi))*Beta*Phi*(-EXP(alpha*a*psi)*(-2+(-1)*Size*alpha*psi)+EXP(alpha*b*psi)*(-2+Size*alpha*psi)))/((alpha^3)*(psi^3))</f>
        <v>0.146515554131081</v>
      </c>
      <c r="T10" s="5" t="n">
        <f aca="false">Tau*Beta</f>
        <v>176.332642317264</v>
      </c>
      <c r="U10" s="5" t="n">
        <f aca="false">Tau*Beta</f>
        <v>176.332642317264</v>
      </c>
      <c r="V10" s="6" t="n">
        <f aca="false">Tau</f>
        <v>0.979625790651464</v>
      </c>
      <c r="W10" s="5" t="n">
        <f aca="false">Profit+Utility</f>
        <v>-49.5448565876691</v>
      </c>
      <c r="X10" s="5" t="n">
        <f aca="false">(2*ij*BRIJ)+2*jj*BRJJ</f>
        <v>16.2295126698799</v>
      </c>
      <c r="Y10" s="5" t="n">
        <f aca="false">2*(ij*BCCIJ)+(2*jj*BCCJJ)+BCS+jj*BCPTJJ+2*(ij*BCPTIJ)+BCPTII+BCk</f>
        <v>98.0917623200776</v>
      </c>
      <c r="Z10" s="5" t="n">
        <f aca="false">ij*BUTIJ+BUTII</f>
        <v>32.3173930625285</v>
      </c>
      <c r="AA10" s="5" t="n">
        <f aca="false">Revenue-Cost</f>
        <v>-81.8622496501976</v>
      </c>
      <c r="AB10" s="5" t="n">
        <f aca="false">Size</f>
        <v>1</v>
      </c>
      <c r="AC10" s="6" t="n">
        <f aca="false">Welfare/(Size)</f>
        <v>-49.5448565876691</v>
      </c>
      <c r="AD10" s="6" t="n">
        <f aca="false">Profit/(Size)</f>
        <v>-81.8622496501976</v>
      </c>
      <c r="AE10" s="6" t="n">
        <f aca="false">Utility/(Size)</f>
        <v>32.3173930625285</v>
      </c>
      <c r="AF10" s="2" t="n">
        <v>308.660962030988</v>
      </c>
    </row>
    <row r="11" customFormat="false" ht="13" hidden="false" customHeight="false" outlineLevel="0" collapsed="false">
      <c r="A11" s="7" t="n">
        <f aca="false">C10</f>
        <v>-0.0513535606603908</v>
      </c>
      <c r="B11" s="2" t="n">
        <f aca="false">(I11+J11)*Beta*2</f>
        <v>84.6311179592744</v>
      </c>
      <c r="C11" s="7" t="n">
        <f aca="false">(W11+B11*Theta-'W-Tax(All-Toll)-NONC'!$T$2)/B11</f>
        <v>0.490211679346842</v>
      </c>
      <c r="D11" s="2" t="n">
        <v>0.457520938678525</v>
      </c>
      <c r="E11" s="2" t="n">
        <v>0.457520938678525</v>
      </c>
      <c r="F11" s="2" t="n">
        <v>1</v>
      </c>
      <c r="G11" s="2" t="n">
        <v>0</v>
      </c>
      <c r="H11" s="2" t="n">
        <f aca="false">Size-a</f>
        <v>1</v>
      </c>
      <c r="I11" s="4" t="n">
        <f aca="false">(EXP(alpha*(Tau+OldTau+zeta-2*a*psi))*((EXP(alpha*a*psi)-EXP(alpha*b*psi))^2))/((EXP(alpha*a*psi)-EXP(alpha*(2*OldTau+b*psi)))*(alpha^2)*(psi^2))</f>
        <v>0.154048988757016</v>
      </c>
      <c r="J11" s="4" t="n">
        <f aca="false">(EXP(alpha*(zeta+(2*b-a)*psi))*(-1+EXP(alpha*(-1)*Size*psi))*(EXP(alpha*(2*(Tau+OldTau)+a*psi))-EXP(alpha*(2*(Tau+OldTau)+b*psi))))/(((EXP(alpha*a*psi)-EXP(alpha*(2*OldTau+b*psi)))^2)*(alpha^2)*(psi^2))</f>
        <v>0.0810374500187459</v>
      </c>
      <c r="K11" s="5" t="n">
        <f aca="false">-Beta/alpha</f>
        <v>180</v>
      </c>
      <c r="L11" s="5" t="n">
        <f aca="false">(-EXP(alpha*zeta)*Beta*(-1+EXP(alpha*Size*psi)-Size*alpha*psi))/((alpha^3)*(psi^2))</f>
        <v>25.0388962482082</v>
      </c>
      <c r="M11" s="5" t="n">
        <f aca="false">Beta*Theta</f>
        <v>-9.24364091887035</v>
      </c>
      <c r="N11" s="5" t="n">
        <f aca="false">Beta*Theta</f>
        <v>-9.24364091887035</v>
      </c>
      <c r="O11" s="5" t="n">
        <f aca="false">kappa</f>
        <v>90</v>
      </c>
      <c r="P11" s="5" t="n">
        <f aca="false">Gamma*Size</f>
        <v>0</v>
      </c>
      <c r="Q11" s="5" t="n">
        <f aca="false">Size*Beta*Phi</f>
        <v>3.24</v>
      </c>
      <c r="R11" s="5" t="n">
        <f aca="false">-(EXP(alpha*a*psi)+EXP(alpha*b*psi)*(-1+Size*psi*alpha))*(Beta*Phi)/((alpha*psi)*(EXP(alpha*a*psi)-EXP(alpha*b*psi)))</f>
        <v>1.57951517936842</v>
      </c>
      <c r="S11" s="5" t="n">
        <f aca="false">(EXP(alpha*(zeta-a*psi))*Beta*Phi*(-EXP(alpha*a*psi)*(-2+(-1)*Size*alpha*psi)+EXP(alpha*b*psi)*(-2+Size*alpha*psi)))/((alpha^3)*(psi^3))</f>
        <v>0.146515554131081</v>
      </c>
      <c r="T11" s="5" t="n">
        <f aca="false">Tau*Beta</f>
        <v>82.3537689621345</v>
      </c>
      <c r="U11" s="5" t="n">
        <f aca="false">Tau*Beta</f>
        <v>82.3537689621345</v>
      </c>
      <c r="V11" s="6" t="n">
        <f aca="false">Tau</f>
        <v>0.457520938678525</v>
      </c>
      <c r="W11" s="5" t="n">
        <f aca="false">Profit+Utility</f>
        <v>4.93860968008165</v>
      </c>
      <c r="X11" s="5" t="n">
        <f aca="false">(2*ij*BRIJ)+2*jj*BRJJ</f>
        <v>38.7205085301402</v>
      </c>
      <c r="Y11" s="5" t="n">
        <f aca="false">2*(ij*BCCIJ)+(2*jj*BCCJJ)+BCS+jj*BCPTJJ+2*(ij*BCPTIJ)+BCPTII+BCk</f>
        <v>86.5496130745297</v>
      </c>
      <c r="Z11" s="5" t="n">
        <f aca="false">ij*BUTIJ+BUTII</f>
        <v>52.7677142244711</v>
      </c>
      <c r="AA11" s="5" t="n">
        <f aca="false">Revenue-Cost</f>
        <v>-47.8291045443894</v>
      </c>
      <c r="AB11" s="5" t="n">
        <f aca="false">Size</f>
        <v>1</v>
      </c>
      <c r="AC11" s="6" t="n">
        <f aca="false">Welfare/(Size)</f>
        <v>4.93860968008165</v>
      </c>
      <c r="AD11" s="6" t="n">
        <f aca="false">Profit/(Size)</f>
        <v>-47.8291045443894</v>
      </c>
      <c r="AE11" s="6" t="n">
        <f aca="false">Utility/(Size)</f>
        <v>52.7677142244711</v>
      </c>
      <c r="AF11" s="2" t="n">
        <v>308.660962030988</v>
      </c>
    </row>
    <row r="12" customFormat="false" ht="13" hidden="false" customHeight="false" outlineLevel="0" collapsed="false">
      <c r="I12" s="2"/>
    </row>
    <row r="13" customFormat="false" ht="13" hidden="false" customHeight="false" outlineLevel="0" collapsed="false">
      <c r="A13" s="2" t="n">
        <v>0.08</v>
      </c>
      <c r="B13" s="2" t="n">
        <f aca="false">(I13+J13)*Beta*2</f>
        <v>870.511307084778</v>
      </c>
      <c r="C13" s="7" t="n">
        <f aca="false">(W13+B13*Theta-'W-Tax(All-Toll)-NONC'!$T$5)/B13</f>
        <v>0.455453433491133</v>
      </c>
      <c r="D13" s="2" t="n">
        <v>0.65078512672321</v>
      </c>
      <c r="E13" s="2" t="n">
        <v>0.65078512672321</v>
      </c>
      <c r="F13" s="2" t="n">
        <v>10</v>
      </c>
      <c r="G13" s="2" t="n">
        <v>0</v>
      </c>
      <c r="H13" s="2" t="n">
        <f aca="false">Size-a</f>
        <v>10</v>
      </c>
      <c r="I13" s="4" t="n">
        <f aca="false">(EXP(alpha*(Tau+OldTau+zeta-2*a*psi))*((EXP(alpha*a*psi)-EXP(alpha*b*psi))^2))/((EXP(alpha*a*psi)-EXP(alpha*(2*OldTau+b*psi)))*(alpha^2)*(psi^2))</f>
        <v>2.27127365959343</v>
      </c>
      <c r="J13" s="4" t="n">
        <f aca="false">(EXP(alpha*(zeta+(2*b-a)*psi))*(-1+EXP(alpha*(-1)*Size*psi))*(EXP(alpha*(2*(Tau+OldTau)+a*psi))-EXP(alpha*(2*(Tau+OldTau)+b*psi))))/(((EXP(alpha*a*psi)-EXP(alpha*(2*OldTau+b*psi)))^2)*(alpha^2)*(psi^2))</f>
        <v>0.146813304530951</v>
      </c>
      <c r="K13" s="5" t="n">
        <f aca="false">-Beta/alpha</f>
        <v>180</v>
      </c>
      <c r="L13" s="5" t="n">
        <f aca="false">(-EXP(alpha*zeta)*Beta*(-1+EXP(alpha*Size*psi)-Size*alpha*psi))/((alpha^3)*(psi^2))</f>
        <v>1690.92462806846</v>
      </c>
      <c r="M13" s="5" t="n">
        <f aca="false">Beta*Theta</f>
        <v>14.4</v>
      </c>
      <c r="N13" s="5" t="n">
        <f aca="false">Beta*Theta</f>
        <v>14.4</v>
      </c>
      <c r="O13" s="5" t="n">
        <f aca="false">kappa</f>
        <v>90</v>
      </c>
      <c r="P13" s="5" t="n">
        <f aca="false">Gamma*Size</f>
        <v>0</v>
      </c>
      <c r="Q13" s="5" t="n">
        <f aca="false">Size*Beta*Phi</f>
        <v>32.4</v>
      </c>
      <c r="R13" s="5" t="n">
        <f aca="false">-(EXP(alpha*a*psi)+EXP(alpha*b*psi)*(-1+Size*psi*alpha))*(Beta*Phi)/((alpha*psi)*(EXP(alpha*a*psi)-EXP(alpha*b*psi)))</f>
        <v>12.2941718960407</v>
      </c>
      <c r="S13" s="5" t="n">
        <f aca="false">(EXP(alpha*(zeta-a*psi))*Beta*Phi*(-EXP(alpha*a*psi)*(-2+(-1)*Size*alpha*psi)+EXP(alpha*b*psi)*(-2+Size*alpha*psi)))/((alpha^3)*(psi^3))</f>
        <v>78.836375998096</v>
      </c>
      <c r="T13" s="5" t="n">
        <f aca="false">Tau*Beta</f>
        <v>117.141322810178</v>
      </c>
      <c r="U13" s="5" t="n">
        <f aca="false">Tau*Beta</f>
        <v>117.141322810178</v>
      </c>
      <c r="V13" s="6" t="n">
        <f aca="false">Tau</f>
        <v>0.65078512672321</v>
      </c>
      <c r="W13" s="5" t="n">
        <f aca="false">Profit+Utility</f>
        <v>2367.18880887077</v>
      </c>
      <c r="X13" s="5" t="n">
        <f aca="false">(2*ij*BRIJ)+2*jj*BRJJ</f>
        <v>566.515811295155</v>
      </c>
      <c r="Y13" s="5" t="n">
        <f aca="false">2*(ij*BCCIJ)+(2*jj*BCCJJ)+BCS+jj*BCPTJJ+2*(ij*BCPTIJ)+BCPTII+BCk</f>
        <v>299.080889219663</v>
      </c>
      <c r="Z13" s="5" t="n">
        <f aca="false">ij*BUTIJ+BUTII</f>
        <v>2099.75388679528</v>
      </c>
      <c r="AA13" s="5" t="n">
        <f aca="false">Revenue-Cost</f>
        <v>267.434922075492</v>
      </c>
      <c r="AB13" s="5" t="n">
        <f aca="false">Size</f>
        <v>10</v>
      </c>
      <c r="AC13" s="6" t="n">
        <f aca="false">Welfare/(Size)</f>
        <v>236.718880887077</v>
      </c>
      <c r="AD13" s="6" t="n">
        <f aca="false">Profit/(Size)</f>
        <v>26.7434922075492</v>
      </c>
      <c r="AE13" s="6" t="n">
        <f aca="false">Utility/(Size)</f>
        <v>209.975388679528</v>
      </c>
      <c r="AF13" s="2" t="n">
        <v>308.660962030988</v>
      </c>
    </row>
    <row r="14" customFormat="false" ht="13" hidden="false" customHeight="false" outlineLevel="0" collapsed="false">
      <c r="A14" s="7" t="n">
        <f aca="false">C13</f>
        <v>0.455453433491133</v>
      </c>
      <c r="B14" s="2" t="n">
        <f aca="false">(I14+J14)*Beta*2</f>
        <v>385.103436925841</v>
      </c>
      <c r="C14" s="7" t="n">
        <f aca="false">(W14+B14*Theta-'W-Tax(All-Toll)-NONC'!$T$5)/B14</f>
        <v>0.0959027766381215</v>
      </c>
      <c r="D14" s="2" t="n">
        <v>1.0249660648445</v>
      </c>
      <c r="E14" s="2" t="n">
        <v>1.02517673293587</v>
      </c>
      <c r="F14" s="2" t="n">
        <v>10</v>
      </c>
      <c r="G14" s="2" t="n">
        <v>0</v>
      </c>
      <c r="H14" s="2" t="n">
        <f aca="false">Size-a</f>
        <v>10</v>
      </c>
      <c r="I14" s="4" t="n">
        <f aca="false">(EXP(alpha*(Tau+OldTau+zeta-2*a*psi))*((EXP(alpha*a*psi)-EXP(alpha*b*psi))^2))/((EXP(alpha*a*psi)-EXP(alpha*(2*OldTau+b*psi)))*(alpha^2)*(psi^2))</f>
        <v>1.03900868303918</v>
      </c>
      <c r="J14" s="4" t="n">
        <f aca="false">(EXP(alpha*(zeta+(2*b-a)*psi))*(-1+EXP(alpha*(-1)*Size*psi))*(EXP(alpha*(2*(Tau+OldTau)+a*psi))-EXP(alpha*(2*(Tau+OldTau)+b*psi))))/(((EXP(alpha*a*psi)-EXP(alpha*(2*OldTau+b*psi)))^2)*(alpha^2)*(psi^2))</f>
        <v>0.0307230861992687</v>
      </c>
      <c r="K14" s="5" t="n">
        <f aca="false">-Beta/alpha</f>
        <v>180</v>
      </c>
      <c r="L14" s="5" t="n">
        <f aca="false">(-EXP(alpha*zeta)*Beta*(-1+EXP(alpha*Size*psi)-Size*alpha*psi))/((alpha^3)*(psi^2))</f>
        <v>1690.92462806846</v>
      </c>
      <c r="M14" s="5" t="n">
        <f aca="false">Beta*Theta</f>
        <v>81.9816180284039</v>
      </c>
      <c r="N14" s="5" t="n">
        <f aca="false">Beta*Theta</f>
        <v>81.9816180284039</v>
      </c>
      <c r="O14" s="5" t="n">
        <f aca="false">kappa</f>
        <v>90</v>
      </c>
      <c r="P14" s="5" t="n">
        <f aca="false">Gamma*Size</f>
        <v>0</v>
      </c>
      <c r="Q14" s="5" t="n">
        <f aca="false">Size*Beta*Phi</f>
        <v>32.4</v>
      </c>
      <c r="R14" s="5" t="n">
        <f aca="false">-(EXP(alpha*a*psi)+EXP(alpha*b*psi)*(-1+Size*psi*alpha))*(Beta*Phi)/((alpha*psi)*(EXP(alpha*a*psi)-EXP(alpha*b*psi)))</f>
        <v>12.2941718960407</v>
      </c>
      <c r="S14" s="5" t="n">
        <f aca="false">(EXP(alpha*(zeta-a*psi))*Beta*Phi*(-EXP(alpha*a*psi)*(-2+(-1)*Size*alpha*psi)+EXP(alpha*b*psi)*(-2+Size*alpha*psi)))/((alpha^3)*(psi^3))</f>
        <v>78.836375998096</v>
      </c>
      <c r="T14" s="5" t="n">
        <f aca="false">Tau*Beta</f>
        <v>184.49389167201</v>
      </c>
      <c r="U14" s="5" t="n">
        <f aca="false">Tau*Beta</f>
        <v>184.49389167201</v>
      </c>
      <c r="V14" s="6" t="n">
        <f aca="false">Tau</f>
        <v>1.0249660648445</v>
      </c>
      <c r="W14" s="5" t="n">
        <f aca="false">Profit+Utility</f>
        <v>1901.88815602989</v>
      </c>
      <c r="X14" s="5" t="n">
        <f aca="false">(2*ij*BRIJ)+2*jj*BRJJ</f>
        <v>394.717954303972</v>
      </c>
      <c r="Y14" s="5" t="n">
        <f aca="false">2*(ij*BCCIJ)+(2*jj*BCCJJ)+BCS+jj*BCPTJJ+2*(ij*BCPTIJ)+BCPTII+BCk</f>
        <v>370.775989289588</v>
      </c>
      <c r="Z14" s="5" t="n">
        <f aca="false">ij*BUTIJ+BUTII</f>
        <v>1877.94619101551</v>
      </c>
      <c r="AA14" s="5" t="n">
        <f aca="false">Revenue-Cost</f>
        <v>23.9419650143846</v>
      </c>
      <c r="AB14" s="5" t="n">
        <f aca="false">Size</f>
        <v>10</v>
      </c>
      <c r="AC14" s="6" t="n">
        <f aca="false">Welfare/(Size)</f>
        <v>190.188815602989</v>
      </c>
      <c r="AD14" s="6" t="n">
        <f aca="false">Profit/(Size)</f>
        <v>2.39419650143846</v>
      </c>
      <c r="AE14" s="6" t="n">
        <f aca="false">Utility/(Size)</f>
        <v>187.794619101551</v>
      </c>
      <c r="AF14" s="2" t="n">
        <v>308.660962030988</v>
      </c>
    </row>
    <row r="15" customFormat="false" ht="13" hidden="false" customHeight="false" outlineLevel="0" collapsed="false">
      <c r="A15" s="7" t="n">
        <f aca="false">C14</f>
        <v>0.0959027766381215</v>
      </c>
      <c r="B15" s="2" t="n">
        <f aca="false">(I15+J15)*Beta*2</f>
        <v>839.99232750935</v>
      </c>
      <c r="C15" s="7" t="n">
        <f aca="false">(W15+B15*Theta-'W-Tax(All-Toll)-NONC'!$T$5)/B15</f>
        <v>0.450641317858436</v>
      </c>
      <c r="D15" s="2" t="n">
        <v>0.666616549848275</v>
      </c>
      <c r="E15" s="2" t="n">
        <v>0.666616549848275</v>
      </c>
      <c r="F15" s="2" t="n">
        <v>10</v>
      </c>
      <c r="G15" s="2" t="n">
        <v>0</v>
      </c>
      <c r="H15" s="2" t="n">
        <f aca="false">Size-a</f>
        <v>10</v>
      </c>
      <c r="I15" s="4" t="n">
        <f aca="false">(EXP(alpha*(Tau+OldTau+zeta-2*a*psi))*((EXP(alpha*a*psi)-EXP(alpha*b*psi))^2))/((EXP(alpha*a*psi)-EXP(alpha*(2*OldTau+b*psi)))*(alpha^2)*(psi^2))</f>
        <v>2.19606108408039</v>
      </c>
      <c r="J15" s="4" t="n">
        <f aca="false">(EXP(alpha*(zeta+(2*b-a)*psi))*(-1+EXP(alpha*(-1)*Size*psi))*(EXP(alpha*(2*(Tau+OldTau)+a*psi))-EXP(alpha*(2*(Tau+OldTau)+b*psi))))/(((EXP(alpha*a*psi)-EXP(alpha*(2*OldTau+b*psi)))^2)*(alpha^2)*(psi^2))</f>
        <v>0.137250936778915</v>
      </c>
      <c r="K15" s="5" t="n">
        <f aca="false">-Beta/alpha</f>
        <v>180</v>
      </c>
      <c r="L15" s="5" t="n">
        <f aca="false">(-EXP(alpha*zeta)*Beta*(-1+EXP(alpha*Size*psi)-Size*alpha*psi))/((alpha^3)*(psi^2))</f>
        <v>1690.92462806846</v>
      </c>
      <c r="M15" s="5" t="n">
        <f aca="false">Beta*Theta</f>
        <v>17.2624997948619</v>
      </c>
      <c r="N15" s="5" t="n">
        <f aca="false">Beta*Theta</f>
        <v>17.2624997948619</v>
      </c>
      <c r="O15" s="5" t="n">
        <f aca="false">kappa</f>
        <v>90</v>
      </c>
      <c r="P15" s="5" t="n">
        <f aca="false">Gamma*Size</f>
        <v>0</v>
      </c>
      <c r="Q15" s="5" t="n">
        <f aca="false">Size*Beta*Phi</f>
        <v>32.4</v>
      </c>
      <c r="R15" s="5" t="n">
        <f aca="false">-(EXP(alpha*a*psi)+EXP(alpha*b*psi)*(-1+Size*psi*alpha))*(Beta*Phi)/((alpha*psi)*(EXP(alpha*a*psi)-EXP(alpha*b*psi)))</f>
        <v>12.2941718960407</v>
      </c>
      <c r="S15" s="5" t="n">
        <f aca="false">(EXP(alpha*(zeta-a*psi))*Beta*Phi*(-EXP(alpha*a*psi)*(-2+(-1)*Size*alpha*psi)+EXP(alpha*b*psi)*(-2+Size*alpha*psi)))/((alpha^3)*(psi^3))</f>
        <v>78.836375998096</v>
      </c>
      <c r="T15" s="5" t="n">
        <f aca="false">Tau*Beta</f>
        <v>119.99097897269</v>
      </c>
      <c r="U15" s="5" t="n">
        <f aca="false">Tau*Beta</f>
        <v>119.99097897269</v>
      </c>
      <c r="V15" s="6" t="n">
        <f aca="false">Tau</f>
        <v>0.666616549848275</v>
      </c>
      <c r="W15" s="5" t="n">
        <f aca="false">Profit+Utility</f>
        <v>2338.33000262986</v>
      </c>
      <c r="X15" s="5" t="n">
        <f aca="false">(2*ij*BRIJ)+2*jj*BRJJ</f>
        <v>559.952787263306</v>
      </c>
      <c r="Y15" s="5" t="n">
        <f aca="false">2*(ij*BCCIJ)+(2*jj*BCCJJ)+BCS+jj*BCPTJJ+2*(ij*BCPTIJ)+BCPTII+BCk</f>
        <v>307.838407836377</v>
      </c>
      <c r="Z15" s="5" t="n">
        <f aca="false">ij*BUTIJ+BUTII</f>
        <v>2086.21562320293</v>
      </c>
      <c r="AA15" s="5" t="n">
        <f aca="false">Revenue-Cost</f>
        <v>252.114379426928</v>
      </c>
      <c r="AB15" s="5" t="n">
        <f aca="false">Size</f>
        <v>10</v>
      </c>
      <c r="AC15" s="6" t="n">
        <f aca="false">Welfare/(Size)</f>
        <v>233.833000262986</v>
      </c>
      <c r="AD15" s="6" t="n">
        <f aca="false">Profit/(Size)</f>
        <v>25.2114379426928</v>
      </c>
      <c r="AE15" s="6" t="n">
        <f aca="false">Utility/(Size)</f>
        <v>208.621562320293</v>
      </c>
      <c r="AF15" s="2" t="n">
        <v>308.660962030988</v>
      </c>
    </row>
    <row r="16" customFormat="false" ht="13" hidden="false" customHeight="false" outlineLevel="0" collapsed="false">
      <c r="A16" s="7" t="n">
        <f aca="false">C15</f>
        <v>0.450641317858436</v>
      </c>
      <c r="B16" s="2" t="n">
        <f aca="false">(I16+J16)*Beta*2</f>
        <v>389.001470152038</v>
      </c>
      <c r="C16" s="7" t="n">
        <f aca="false">(W16+B16*Theta-'W-Tax(All-Toll)-NONC'!$T$5)/B16</f>
        <v>0.104600447806537</v>
      </c>
      <c r="D16" s="2" t="n">
        <v>1.02032132021432</v>
      </c>
      <c r="E16" s="2" t="n">
        <v>1.02032132021432</v>
      </c>
      <c r="F16" s="2" t="n">
        <v>10</v>
      </c>
      <c r="G16" s="2" t="n">
        <v>0</v>
      </c>
      <c r="H16" s="2" t="n">
        <f aca="false">Size-a</f>
        <v>10</v>
      </c>
      <c r="I16" s="4" t="n">
        <f aca="false">(EXP(alpha*(Tau+OldTau+zeta-2*a*psi))*((EXP(alpha*a*psi)-EXP(alpha*b*psi))^2))/((EXP(alpha*a*psi)-EXP(alpha*(2*OldTau+b*psi)))*(alpha^2)*(psi^2))</f>
        <v>1.04922914977421</v>
      </c>
      <c r="J16" s="4" t="n">
        <f aca="false">(EXP(alpha*(zeta+(2*b-a)*psi))*(-1+EXP(alpha*(-1)*Size*psi))*(EXP(alpha*(2*(Tau+OldTau)+a*psi))-EXP(alpha*(2*(Tau+OldTau)+b*psi))))/(((EXP(alpha*a*psi)-EXP(alpha*(2*OldTau+b*psi)))^2)*(alpha^2)*(psi^2))</f>
        <v>0.0313304895370076</v>
      </c>
      <c r="K16" s="5" t="n">
        <f aca="false">-Beta/alpha</f>
        <v>180</v>
      </c>
      <c r="L16" s="5" t="n">
        <f aca="false">(-EXP(alpha*zeta)*Beta*(-1+EXP(alpha*Size*psi)-Size*alpha*psi))/((alpha^3)*(psi^2))</f>
        <v>1690.92462806846</v>
      </c>
      <c r="M16" s="5" t="n">
        <f aca="false">Beta*Theta</f>
        <v>81.1154372145184</v>
      </c>
      <c r="N16" s="5" t="n">
        <f aca="false">Beta*Theta</f>
        <v>81.1154372145184</v>
      </c>
      <c r="O16" s="5" t="n">
        <f aca="false">kappa</f>
        <v>90</v>
      </c>
      <c r="P16" s="5" t="n">
        <f aca="false">Gamma*Size</f>
        <v>0</v>
      </c>
      <c r="Q16" s="5" t="n">
        <f aca="false">Size*Beta*Phi</f>
        <v>32.4</v>
      </c>
      <c r="R16" s="5" t="n">
        <f aca="false">-(EXP(alpha*a*psi)+EXP(alpha*b*psi)*(-1+Size*psi*alpha))*(Beta*Phi)/((alpha*psi)*(EXP(alpha*a*psi)-EXP(alpha*b*psi)))</f>
        <v>12.2941718960407</v>
      </c>
      <c r="S16" s="5" t="n">
        <f aca="false">(EXP(alpha*(zeta-a*psi))*Beta*Phi*(-EXP(alpha*a*psi)*(-2+(-1)*Size*alpha*psi)+EXP(alpha*b*psi)*(-2+Size*alpha*psi)))/((alpha^3)*(psi^3))</f>
        <v>78.836375998096</v>
      </c>
      <c r="T16" s="5" t="n">
        <f aca="false">Tau*Beta</f>
        <v>183.657837638577</v>
      </c>
      <c r="U16" s="5" t="n">
        <f aca="false">Tau*Beta</f>
        <v>183.657837638577</v>
      </c>
      <c r="V16" s="6" t="n">
        <f aca="false">Tau</f>
        <v>1.02032132021432</v>
      </c>
      <c r="W16" s="5" t="n">
        <f aca="false">Profit+Utility</f>
        <v>1905.74194255005</v>
      </c>
      <c r="X16" s="5" t="n">
        <f aca="false">(2*ij*BRIJ)+2*jj*BRJJ</f>
        <v>396.906493590838</v>
      </c>
      <c r="Y16" s="5" t="n">
        <f aca="false">2*(ij*BCCIJ)+(2*jj*BCCJJ)+BCS+jj*BCPTJJ+2*(ij*BCPTIJ)+BCPTII+BCk</f>
        <v>370.9504260686</v>
      </c>
      <c r="Z16" s="5" t="n">
        <f aca="false">ij*BUTIJ+BUTII</f>
        <v>1879.78587502782</v>
      </c>
      <c r="AA16" s="5" t="n">
        <f aca="false">Revenue-Cost</f>
        <v>25.9560675222384</v>
      </c>
      <c r="AB16" s="5" t="n">
        <f aca="false">Size</f>
        <v>10</v>
      </c>
      <c r="AC16" s="6" t="n">
        <f aca="false">Welfare/(Size)</f>
        <v>190.574194255005</v>
      </c>
      <c r="AD16" s="6" t="n">
        <f aca="false">Profit/(Size)</f>
        <v>2.59560675222384</v>
      </c>
      <c r="AE16" s="6" t="n">
        <f aca="false">Utility/(Size)</f>
        <v>187.978587502782</v>
      </c>
      <c r="AF16" s="2" t="n">
        <v>308.660962030988</v>
      </c>
    </row>
    <row r="17" customFormat="false" ht="13" hidden="false" customHeight="false" outlineLevel="0" collapsed="false">
      <c r="A17" s="7" t="n">
        <f aca="false">C16</f>
        <v>0.104600447806537</v>
      </c>
      <c r="B17" s="2" t="n">
        <f aca="false">(I17+J17)*Beta*2</f>
        <v>824.472407614521</v>
      </c>
      <c r="C17" s="7" t="n">
        <f aca="false">(W17+B17*Theta-'W-Tax(All-Toll)-NONC'!$T$5)/B17</f>
        <v>0.448191495619703</v>
      </c>
      <c r="D17" s="2" t="n">
        <v>0.675275921534273</v>
      </c>
      <c r="E17" s="2" t="n">
        <v>0.674590024921879</v>
      </c>
      <c r="F17" s="2" t="n">
        <v>10</v>
      </c>
      <c r="G17" s="2" t="n">
        <v>0</v>
      </c>
      <c r="H17" s="2" t="n">
        <f aca="false">Size-a</f>
        <v>10</v>
      </c>
      <c r="I17" s="4" t="n">
        <f aca="false">(EXP(alpha*(Tau+OldTau+zeta-2*a*psi))*((EXP(alpha*a*psi)-EXP(alpha*b*psi))^2))/((EXP(alpha*a*psi)-EXP(alpha*(2*OldTau+b*psi)))*(alpha^2)*(psi^2))</f>
        <v>2.15770298374721</v>
      </c>
      <c r="J17" s="4" t="n">
        <f aca="false">(EXP(alpha*(zeta+(2*b-a)*psi))*(-1+EXP(alpha*(-1)*Size*psi))*(EXP(alpha*(2*(Tau+OldTau)+a*psi))-EXP(alpha*(2*(Tau+OldTau)+b*psi))))/(((EXP(alpha*a*psi)-EXP(alpha*(2*OldTau+b*psi)))^2)*(alpha^2)*(psi^2))</f>
        <v>0.132498148515351</v>
      </c>
      <c r="K17" s="5" t="n">
        <f aca="false">-Beta/alpha</f>
        <v>180</v>
      </c>
      <c r="L17" s="5" t="n">
        <f aca="false">(-EXP(alpha*zeta)*Beta*(-1+EXP(alpha*Size*psi)-Size*alpha*psi))/((alpha^3)*(psi^2))</f>
        <v>1690.92462806846</v>
      </c>
      <c r="M17" s="5" t="n">
        <f aca="false">Beta*Theta</f>
        <v>18.8280806051766</v>
      </c>
      <c r="N17" s="5" t="n">
        <f aca="false">Beta*Theta</f>
        <v>18.8280806051766</v>
      </c>
      <c r="O17" s="5" t="n">
        <f aca="false">kappa</f>
        <v>90</v>
      </c>
      <c r="P17" s="5" t="n">
        <f aca="false">Gamma*Size</f>
        <v>0</v>
      </c>
      <c r="Q17" s="5" t="n">
        <f aca="false">Size*Beta*Phi</f>
        <v>32.4</v>
      </c>
      <c r="R17" s="5" t="n">
        <f aca="false">-(EXP(alpha*a*psi)+EXP(alpha*b*psi)*(-1+Size*psi*alpha))*(Beta*Phi)/((alpha*psi)*(EXP(alpha*a*psi)-EXP(alpha*b*psi)))</f>
        <v>12.2941718960407</v>
      </c>
      <c r="S17" s="5" t="n">
        <f aca="false">(EXP(alpha*(zeta-a*psi))*Beta*Phi*(-EXP(alpha*a*psi)*(-2+(-1)*Size*alpha*psi)+EXP(alpha*b*psi)*(-2+Size*alpha*psi)))/((alpha^3)*(psi^3))</f>
        <v>78.836375998096</v>
      </c>
      <c r="T17" s="5" t="n">
        <f aca="false">Tau*Beta</f>
        <v>121.549665876169</v>
      </c>
      <c r="U17" s="5" t="n">
        <f aca="false">Tau*Beta</f>
        <v>121.549665876169</v>
      </c>
      <c r="V17" s="6" t="n">
        <f aca="false">Tau</f>
        <v>0.675275921534273</v>
      </c>
      <c r="W17" s="5" t="n">
        <f aca="false">Profit+Utility</f>
        <v>2323.63368815825</v>
      </c>
      <c r="X17" s="5" t="n">
        <f aca="false">(2*ij*BRIJ)+2*jj*BRJJ</f>
        <v>556.746364831476</v>
      </c>
      <c r="Y17" s="5" t="n">
        <f aca="false">2*(ij*BCCIJ)+(2*jj*BCCJJ)+BCS+jj*BCPTJJ+2*(ij*BCPTIJ)+BCPTII+BCk</f>
        <v>312.423841816182</v>
      </c>
      <c r="Z17" s="5" t="n">
        <f aca="false">ij*BUTIJ+BUTII</f>
        <v>2079.31116514296</v>
      </c>
      <c r="AA17" s="5" t="n">
        <f aca="false">Revenue-Cost</f>
        <v>244.322523015295</v>
      </c>
      <c r="AB17" s="5" t="n">
        <f aca="false">Size</f>
        <v>10</v>
      </c>
      <c r="AC17" s="6" t="n">
        <f aca="false">Welfare/(Size)</f>
        <v>232.363368815825</v>
      </c>
      <c r="AD17" s="6" t="n">
        <f aca="false">Profit/(Size)</f>
        <v>24.4322523015295</v>
      </c>
      <c r="AE17" s="6" t="n">
        <f aca="false">Utility/(Size)</f>
        <v>207.931116514296</v>
      </c>
      <c r="AF17" s="2" t="n">
        <v>308.660962030988</v>
      </c>
    </row>
    <row r="18" customFormat="false" ht="13" hidden="false" customHeight="false" outlineLevel="0" collapsed="false">
      <c r="A18" s="7" t="n">
        <f aca="false">C17</f>
        <v>0.448191495619703</v>
      </c>
      <c r="B18" s="2" t="n">
        <f aca="false">(I18+J18)*Beta*2</f>
        <v>564.365771868023</v>
      </c>
      <c r="C18" s="7" t="n">
        <f aca="false">(W18+B18*Theta-'W-Tax(All-Toll)-NONC'!$T$5)/B18</f>
        <v>0.3387765872451</v>
      </c>
      <c r="D18" s="8" t="n">
        <f aca="false">AVERAGE(D14:D17)</f>
        <v>0.846794964110342</v>
      </c>
      <c r="E18" s="2" t="n">
        <f aca="false">AVERAGE(E14:E17)</f>
        <v>0.846676156980086</v>
      </c>
      <c r="F18" s="2" t="n">
        <v>10</v>
      </c>
      <c r="G18" s="2" t="n">
        <v>0</v>
      </c>
      <c r="H18" s="2" t="n">
        <f aca="false">Size-a</f>
        <v>10</v>
      </c>
      <c r="I18" s="4" t="n">
        <f aca="false">(EXP(alpha*(Tau+OldTau+zeta-2*a*psi))*((EXP(alpha*a*psi)-EXP(alpha*b*psi))^2))/((EXP(alpha*a*psi)-EXP(alpha*(2*OldTau+b*psi)))*(alpha^2)*(psi^2))</f>
        <v>1.50336160943826</v>
      </c>
      <c r="J18" s="4" t="n">
        <f aca="false">(EXP(alpha*(zeta+(2*b-a)*psi))*(-1+EXP(alpha*(-1)*Size*psi))*(EXP(alpha*(2*(Tau+OldTau)+a*psi))-EXP(alpha*(2*(Tau+OldTau)+b*psi))))/(((EXP(alpha*a*psi)-EXP(alpha*(2*OldTau+b*psi)))^2)*(alpha^2)*(psi^2))</f>
        <v>0.0643210901951422</v>
      </c>
      <c r="K18" s="5" t="n">
        <f aca="false">-Beta/alpha</f>
        <v>180</v>
      </c>
      <c r="L18" s="5" t="n">
        <f aca="false">(-EXP(alpha*zeta)*Beta*(-1+EXP(alpha*Size*psi)-Size*alpha*psi))/((alpha^3)*(psi^2))</f>
        <v>1690.92462806846</v>
      </c>
      <c r="M18" s="5" t="n">
        <f aca="false">Beta*Theta</f>
        <v>80.6744692115465</v>
      </c>
      <c r="N18" s="5" t="n">
        <f aca="false">Beta*Theta</f>
        <v>80.6744692115465</v>
      </c>
      <c r="O18" s="5" t="n">
        <f aca="false">kappa</f>
        <v>90</v>
      </c>
      <c r="P18" s="5" t="n">
        <f aca="false">Gamma*Size</f>
        <v>0</v>
      </c>
      <c r="Q18" s="5" t="n">
        <f aca="false">Size*Beta*Phi</f>
        <v>32.4</v>
      </c>
      <c r="R18" s="5" t="n">
        <f aca="false">-(EXP(alpha*a*psi)+EXP(alpha*b*psi)*(-1+Size*psi*alpha))*(Beta*Phi)/((alpha*psi)*(EXP(alpha*a*psi)-EXP(alpha*b*psi)))</f>
        <v>12.2941718960407</v>
      </c>
      <c r="S18" s="5" t="n">
        <f aca="false">(EXP(alpha*(zeta-a*psi))*Beta*Phi*(-EXP(alpha*a*psi)*(-2+(-1)*Size*alpha*psi)+EXP(alpha*b*psi)*(-2+Size*alpha*psi)))/((alpha^3)*(psi^3))</f>
        <v>78.836375998096</v>
      </c>
      <c r="T18" s="5" t="n">
        <f aca="false">Tau*Beta</f>
        <v>152.423093539862</v>
      </c>
      <c r="U18" s="5" t="n">
        <f aca="false">Tau*Beta</f>
        <v>152.423093539862</v>
      </c>
      <c r="V18" s="6" t="n">
        <f aca="false">Tau</f>
        <v>0.846794964110342</v>
      </c>
      <c r="W18" s="5" t="n">
        <f aca="false">Profit+Utility</f>
        <v>1978.60232051423</v>
      </c>
      <c r="X18" s="5" t="n">
        <f aca="false">(2*ij*BRIJ)+2*jj*BRJJ</f>
        <v>477.902093534088</v>
      </c>
      <c r="Y18" s="5" t="n">
        <f aca="false">2*(ij*BCCIJ)+(2*jj*BCCJJ)+BCS+jj*BCPTJJ+2*(ij*BCPTIJ)+BCPTII+BCk</f>
        <v>460.8294907872</v>
      </c>
      <c r="Z18" s="5" t="n">
        <f aca="false">ij*BUTIJ+BUTII</f>
        <v>1961.52971776734</v>
      </c>
      <c r="AA18" s="5" t="n">
        <f aca="false">Revenue-Cost</f>
        <v>17.0726027468877</v>
      </c>
      <c r="AB18" s="5" t="n">
        <f aca="false">Size</f>
        <v>10</v>
      </c>
      <c r="AC18" s="6" t="n">
        <f aca="false">Welfare/(Size)</f>
        <v>197.860232051423</v>
      </c>
      <c r="AD18" s="6" t="n">
        <f aca="false">Profit/(Size)</f>
        <v>1.70726027468877</v>
      </c>
      <c r="AE18" s="6" t="n">
        <f aca="false">Utility/(Size)</f>
        <v>196.152971776734</v>
      </c>
      <c r="AF18" s="2" t="n">
        <v>308.660962030988</v>
      </c>
    </row>
    <row r="19" customFormat="false" ht="13" hidden="false" customHeight="false" outlineLevel="0" collapsed="false">
      <c r="A19" s="7" t="n">
        <f aca="false">C18</f>
        <v>0.3387765872451</v>
      </c>
      <c r="B19" s="2" t="n">
        <f aca="false">(I19+J19)*Beta*2</f>
        <v>493.843183588806</v>
      </c>
      <c r="C19" s="7" t="n">
        <f aca="false">(W19+B19*Theta-'W-Tax(All-Toll)-NONC'!$T$5)/B19</f>
        <v>0.27192744490608</v>
      </c>
      <c r="D19" s="2" t="n">
        <v>0.908596157015574</v>
      </c>
      <c r="E19" s="2" t="n">
        <v>0.908438874443721</v>
      </c>
      <c r="F19" s="2" t="n">
        <v>10</v>
      </c>
      <c r="G19" s="2" t="n">
        <v>0</v>
      </c>
      <c r="H19" s="2" t="n">
        <f aca="false">Size-a</f>
        <v>10</v>
      </c>
      <c r="I19" s="4" t="n">
        <f aca="false">(EXP(alpha*(Tau+OldTau+zeta-2*a*psi))*((EXP(alpha*a*psi)-EXP(alpha*b*psi))^2))/((EXP(alpha*a*psi)-EXP(alpha*(2*OldTau+b*psi)))*(alpha^2)*(psi^2))</f>
        <v>1.32204510369233</v>
      </c>
      <c r="J19" s="4" t="n">
        <f aca="false">(EXP(alpha*(zeta+(2*b-a)*psi))*(-1+EXP(alpha*(-1)*Size*psi))*(EXP(alpha*(2*(Tau+OldTau)+a*psi))-EXP(alpha*(2*(Tau+OldTau)+b*psi))))/(((EXP(alpha*a*psi)-EXP(alpha*(2*OldTau+b*psi)))^2)*(alpha^2)*(psi^2))</f>
        <v>0.0497415173876854</v>
      </c>
      <c r="K19" s="5" t="n">
        <f aca="false">-Beta/alpha</f>
        <v>180</v>
      </c>
      <c r="L19" s="5" t="n">
        <f aca="false">(-EXP(alpha*zeta)*Beta*(-1+EXP(alpha*Size*psi)-Size*alpha*psi))/((alpha^3)*(psi^2))</f>
        <v>1690.92462806846</v>
      </c>
      <c r="M19" s="5" t="n">
        <f aca="false">Beta*Theta</f>
        <v>60.979785704118</v>
      </c>
      <c r="N19" s="5" t="n">
        <f aca="false">Beta*Theta</f>
        <v>60.979785704118</v>
      </c>
      <c r="O19" s="5" t="n">
        <f aca="false">kappa</f>
        <v>90</v>
      </c>
      <c r="P19" s="5" t="n">
        <f aca="false">Gamma*Size</f>
        <v>0</v>
      </c>
      <c r="Q19" s="5" t="n">
        <f aca="false">Size*Beta*Phi</f>
        <v>32.4</v>
      </c>
      <c r="R19" s="5" t="n">
        <f aca="false">-(EXP(alpha*a*psi)+EXP(alpha*b*psi)*(-1+Size*psi*alpha))*(Beta*Phi)/((alpha*psi)*(EXP(alpha*a*psi)-EXP(alpha*b*psi)))</f>
        <v>12.2941718960407</v>
      </c>
      <c r="S19" s="5" t="n">
        <f aca="false">(EXP(alpha*(zeta-a*psi))*Beta*Phi*(-EXP(alpha*a*psi)*(-2+(-1)*Size*alpha*psi)+EXP(alpha*b*psi)*(-2+Size*alpha*psi)))/((alpha^3)*(psi^3))</f>
        <v>78.836375998096</v>
      </c>
      <c r="T19" s="5" t="n">
        <f aca="false">Tau*Beta</f>
        <v>163.547308262803</v>
      </c>
      <c r="U19" s="5" t="n">
        <f aca="false">Tau*Beta</f>
        <v>163.547308262803</v>
      </c>
      <c r="V19" s="6" t="n">
        <f aca="false">Tau</f>
        <v>0.908596157015574</v>
      </c>
      <c r="W19" s="5" t="n">
        <f aca="false">Profit+Utility</f>
        <v>2007.33935646005</v>
      </c>
      <c r="X19" s="5" t="n">
        <f aca="false">(2*ij*BRIJ)+2*jj*BRJJ</f>
        <v>448.704018777126</v>
      </c>
      <c r="Y19" s="5" t="n">
        <f aca="false">2*(ij*BCCIJ)+(2*jj*BCCJJ)+BCS+jj*BCPTJJ+2*(ij*BCPTIJ)+BCPTII+BCk</f>
        <v>370.257409050153</v>
      </c>
      <c r="Z19" s="5" t="n">
        <f aca="false">ij*BUTIJ+BUTII</f>
        <v>1928.89274673308</v>
      </c>
      <c r="AA19" s="5" t="n">
        <f aca="false">Revenue-Cost</f>
        <v>78.446609726973</v>
      </c>
      <c r="AB19" s="5" t="n">
        <f aca="false">Size</f>
        <v>10</v>
      </c>
      <c r="AC19" s="6" t="n">
        <f aca="false">Welfare/(Size)</f>
        <v>200.733935646005</v>
      </c>
      <c r="AD19" s="6" t="n">
        <f aca="false">Profit/(Size)</f>
        <v>7.8446609726973</v>
      </c>
      <c r="AE19" s="6" t="n">
        <f aca="false">Utility/(Size)</f>
        <v>192.889274673308</v>
      </c>
      <c r="AF19" s="2" t="n">
        <v>308.660962030988</v>
      </c>
    </row>
    <row r="20" customFormat="false" ht="13" hidden="false" customHeight="false" outlineLevel="0" collapsed="false">
      <c r="A20" s="7" t="n">
        <f aca="false">C19</f>
        <v>0.27192744490608</v>
      </c>
      <c r="B20" s="2" t="n">
        <f aca="false">(I20+J20)*Beta*2</f>
        <v>570.424575972599</v>
      </c>
      <c r="C20" s="7" t="n">
        <f aca="false">(W20+B20*Theta-'W-Tax(All-Toll)-NONC'!$T$5)/B20</f>
        <v>0.343479132046309</v>
      </c>
      <c r="D20" s="2" t="n">
        <v>0.8419550965209</v>
      </c>
      <c r="E20" s="2" t="n">
        <v>0.841689483643051</v>
      </c>
      <c r="F20" s="2" t="n">
        <v>10</v>
      </c>
      <c r="G20" s="2" t="n">
        <v>0</v>
      </c>
      <c r="H20" s="2" t="n">
        <f aca="false">Size-a</f>
        <v>10</v>
      </c>
      <c r="I20" s="4" t="n">
        <f aca="false">(EXP(alpha*(Tau+OldTau+zeta-2*a*psi))*((EXP(alpha*a*psi)-EXP(alpha*b*psi))^2))/((EXP(alpha*a*psi)-EXP(alpha*(2*OldTau+b*psi)))*(alpha^2)*(psi^2))</f>
        <v>1.5188587044691</v>
      </c>
      <c r="J20" s="4" t="n">
        <f aca="false">(EXP(alpha*(zeta+(2*b-a)*psi))*(-1+EXP(alpha*(-1)*Size*psi))*(EXP(alpha*(2*(Tau+OldTau)+a*psi))-EXP(alpha*(2*(Tau+OldTau)+b*psi))))/(((EXP(alpha*a*psi)-EXP(alpha*(2*OldTau+b*psi)))^2)*(alpha^2)*(psi^2))</f>
        <v>0.0656540065658999</v>
      </c>
      <c r="K20" s="5" t="n">
        <f aca="false">-Beta/alpha</f>
        <v>180</v>
      </c>
      <c r="L20" s="5" t="n">
        <f aca="false">(-EXP(alpha*zeta)*Beta*(-1+EXP(alpha*Size*psi)-Size*alpha*psi))/((alpha^3)*(psi^2))</f>
        <v>1690.92462806846</v>
      </c>
      <c r="M20" s="5" t="n">
        <f aca="false">Beta*Theta</f>
        <v>48.9469400830944</v>
      </c>
      <c r="N20" s="5" t="n">
        <f aca="false">Beta*Theta</f>
        <v>48.9469400830944</v>
      </c>
      <c r="O20" s="5" t="n">
        <f aca="false">kappa</f>
        <v>90</v>
      </c>
      <c r="P20" s="5" t="n">
        <f aca="false">Gamma*Size</f>
        <v>0</v>
      </c>
      <c r="Q20" s="5" t="n">
        <f aca="false">Size*Beta*Phi</f>
        <v>32.4</v>
      </c>
      <c r="R20" s="5" t="n">
        <f aca="false">-(EXP(alpha*a*psi)+EXP(alpha*b*psi)*(-1+Size*psi*alpha))*(Beta*Phi)/((alpha*psi)*(EXP(alpha*a*psi)-EXP(alpha*b*psi)))</f>
        <v>12.2941718960407</v>
      </c>
      <c r="S20" s="5" t="n">
        <f aca="false">(EXP(alpha*(zeta-a*psi))*Beta*Phi*(-EXP(alpha*a*psi)*(-2+(-1)*Size*alpha*psi)+EXP(alpha*b*psi)*(-2+Size*alpha*psi)))/((alpha^3)*(psi^3))</f>
        <v>78.836375998096</v>
      </c>
      <c r="T20" s="5" t="n">
        <f aca="false">Tau*Beta</f>
        <v>151.551917373762</v>
      </c>
      <c r="U20" s="5" t="n">
        <f aca="false">Tau*Beta</f>
        <v>151.551917373762</v>
      </c>
      <c r="V20" s="6" t="n">
        <f aca="false">Tau</f>
        <v>0.8419550965209</v>
      </c>
      <c r="W20" s="5" t="n">
        <f aca="false">Profit+Utility</f>
        <v>2081.16719053002</v>
      </c>
      <c r="X20" s="5" t="n">
        <f aca="false">(2*ij*BRIJ)+2*jj*BRJJ</f>
        <v>480.271878920903</v>
      </c>
      <c r="Y20" s="5" t="n">
        <f aca="false">2*(ij*BCCIJ)+(2*jj*BCCJJ)+BCS+jj*BCPTJJ+2*(ij*BCPTIJ)+BCPTII+BCk</f>
        <v>363.423883263776</v>
      </c>
      <c r="Z20" s="5" t="n">
        <f aca="false">ij*BUTIJ+BUTII</f>
        <v>1964.3191948729</v>
      </c>
      <c r="AA20" s="5" t="n">
        <f aca="false">Revenue-Cost</f>
        <v>116.847995657127</v>
      </c>
      <c r="AB20" s="5" t="n">
        <f aca="false">Size</f>
        <v>10</v>
      </c>
      <c r="AC20" s="6" t="n">
        <f aca="false">Welfare/(Size)</f>
        <v>208.116719053002</v>
      </c>
      <c r="AD20" s="6" t="n">
        <f aca="false">Profit/(Size)</f>
        <v>11.6847995657127</v>
      </c>
      <c r="AE20" s="6" t="n">
        <f aca="false">Utility/(Size)</f>
        <v>196.43191948729</v>
      </c>
      <c r="AF20" s="2" t="n">
        <v>308.660962030988</v>
      </c>
    </row>
    <row r="21" customFormat="false" ht="13" hidden="false" customHeight="false" outlineLevel="0" collapsed="false">
      <c r="A21" s="7" t="n">
        <f aca="false">C20</f>
        <v>0.343479132046309</v>
      </c>
      <c r="B21" s="2" t="n">
        <f aca="false">(I21+J21)*Beta*2</f>
        <v>488.886208119698</v>
      </c>
      <c r="C21" s="7" t="n">
        <f aca="false">(W21+B21*Theta-'W-Tax(All-Toll)-NONC'!$T$5)/B21</f>
        <v>0.266152287822915</v>
      </c>
      <c r="D21" s="2" t="n">
        <v>0.913285006673205</v>
      </c>
      <c r="E21" s="2" t="n">
        <v>0.913135149055284</v>
      </c>
      <c r="F21" s="2" t="n">
        <v>10</v>
      </c>
      <c r="G21" s="2" t="n">
        <v>0</v>
      </c>
      <c r="H21" s="2" t="n">
        <f aca="false">Size-a</f>
        <v>10</v>
      </c>
      <c r="I21" s="4" t="n">
        <f aca="false">(EXP(alpha*(Tau+OldTau+zeta-2*a*psi))*((EXP(alpha*a*psi)-EXP(alpha*b*psi))^2))/((EXP(alpha*a*psi)-EXP(alpha*(2*OldTau+b*psi)))*(alpha^2)*(psi^2))</f>
        <v>1.30923500856742</v>
      </c>
      <c r="J21" s="4" t="n">
        <f aca="false">(EXP(alpha*(zeta+(2*b-a)*psi))*(-1+EXP(alpha*(-1)*Size*psi))*(EXP(alpha*(2*(Tau+OldTau)+a*psi))-EXP(alpha*(2*(Tau+OldTau)+b*psi))))/(((EXP(alpha*a*psi)-EXP(alpha*(2*OldTau+b*psi)))^2)*(alpha^2)*(psi^2))</f>
        <v>0.0487822362095201</v>
      </c>
      <c r="K21" s="5" t="n">
        <f aca="false">-Beta/alpha</f>
        <v>180</v>
      </c>
      <c r="L21" s="5" t="n">
        <f aca="false">(-EXP(alpha*zeta)*Beta*(-1+EXP(alpha*Size*psi)-Size*alpha*psi))/((alpha^3)*(psi^2))</f>
        <v>1690.92462806846</v>
      </c>
      <c r="M21" s="5" t="n">
        <f aca="false">Beta*Theta</f>
        <v>61.8262437683357</v>
      </c>
      <c r="N21" s="5" t="n">
        <f aca="false">Beta*Theta</f>
        <v>61.8262437683357</v>
      </c>
      <c r="O21" s="5" t="n">
        <f aca="false">kappa</f>
        <v>90</v>
      </c>
      <c r="P21" s="5" t="n">
        <f aca="false">Gamma*Size</f>
        <v>0</v>
      </c>
      <c r="Q21" s="5" t="n">
        <f aca="false">Size*Beta*Phi</f>
        <v>32.4</v>
      </c>
      <c r="R21" s="5" t="n">
        <f aca="false">-(EXP(alpha*a*psi)+EXP(alpha*b*psi)*(-1+Size*psi*alpha))*(Beta*Phi)/((alpha*psi)*(EXP(alpha*a*psi)-EXP(alpha*b*psi)))</f>
        <v>12.2941718960407</v>
      </c>
      <c r="S21" s="5" t="n">
        <f aca="false">(EXP(alpha*(zeta-a*psi))*Beta*Phi*(-EXP(alpha*a*psi)*(-2+(-1)*Size*alpha*psi)+EXP(alpha*b*psi)*(-2+Size*alpha*psi)))/((alpha^3)*(psi^3))</f>
        <v>78.836375998096</v>
      </c>
      <c r="T21" s="5" t="n">
        <f aca="false">Tau*Beta</f>
        <v>164.391301201177</v>
      </c>
      <c r="U21" s="5" t="n">
        <f aca="false">Tau*Beta</f>
        <v>164.391301201177</v>
      </c>
      <c r="V21" s="6" t="n">
        <f aca="false">Tau</f>
        <v>0.913285006673205</v>
      </c>
      <c r="W21" s="5" t="n">
        <f aca="false">Profit+Utility</f>
        <v>2002.5483220747</v>
      </c>
      <c r="X21" s="5" t="n">
        <f aca="false">(2*ij*BRIJ)+2*jj*BRJJ</f>
        <v>446.492443845036</v>
      </c>
      <c r="Y21" s="5" t="n">
        <f aca="false">2*(ij*BCCIJ)+(2*jj*BCCJJ)+BCS+jj*BCPTJJ+2*(ij*BCPTIJ)+BCPTII+BCk</f>
        <v>370.531051380934</v>
      </c>
      <c r="Z21" s="5" t="n">
        <f aca="false">ij*BUTIJ+BUTII</f>
        <v>1926.58692961059</v>
      </c>
      <c r="AA21" s="5" t="n">
        <f aca="false">Revenue-Cost</f>
        <v>75.9613924641025</v>
      </c>
      <c r="AB21" s="5" t="n">
        <f aca="false">Size</f>
        <v>10</v>
      </c>
      <c r="AC21" s="6" t="n">
        <f aca="false">Welfare/(Size)</f>
        <v>200.25483220747</v>
      </c>
      <c r="AD21" s="6" t="n">
        <f aca="false">Profit/(Size)</f>
        <v>7.59613924641025</v>
      </c>
      <c r="AE21" s="6" t="n">
        <f aca="false">Utility/(Size)</f>
        <v>192.658692961059</v>
      </c>
      <c r="AF21" s="2" t="n">
        <v>308.660962030988</v>
      </c>
    </row>
    <row r="22" customFormat="false" ht="13" hidden="false" customHeight="false" outlineLevel="0" collapsed="false">
      <c r="A22" s="7" t="n">
        <f aca="false">C21</f>
        <v>0.266152287822915</v>
      </c>
      <c r="B22" s="2" t="n">
        <f aca="false">(I22+J22)*Beta*2</f>
        <v>577.595297001208</v>
      </c>
      <c r="C22" s="7" t="n">
        <f aca="false">(W22+B22*Theta-'W-Tax(All-Toll)-NONC'!$T$5)/B22</f>
        <v>0.348624046589603</v>
      </c>
      <c r="D22" s="2" t="n">
        <v>0.83607032330792</v>
      </c>
      <c r="E22" s="2" t="n">
        <v>0.83607032330792</v>
      </c>
      <c r="F22" s="2" t="n">
        <v>10</v>
      </c>
      <c r="G22" s="2" t="n">
        <v>0</v>
      </c>
      <c r="H22" s="2" t="n">
        <f aca="false">Size-a</f>
        <v>10</v>
      </c>
      <c r="I22" s="4" t="n">
        <f aca="false">(EXP(alpha*(Tau+OldTau+zeta-2*a*psi))*((EXP(alpha*a*psi)-EXP(alpha*b*psi))^2))/((EXP(alpha*a*psi)-EXP(alpha*(2*OldTau+b*psi)))*(alpha^2)*(psi^2))</f>
        <v>1.53718359791163</v>
      </c>
      <c r="J22" s="4" t="n">
        <f aca="false">(EXP(alpha*(zeta+(2*b-a)*psi))*(-1+EXP(alpha*(-1)*Size*psi))*(EXP(alpha*(2*(Tau+OldTau)+a*psi))-EXP(alpha*(2*(Tau+OldTau)+b*psi))))/(((EXP(alpha*a*psi)-EXP(alpha*(2*OldTau+b*psi)))^2)*(alpha^2)*(psi^2))</f>
        <v>0.067247782647278</v>
      </c>
      <c r="K22" s="5" t="n">
        <f aca="false">-Beta/alpha</f>
        <v>180</v>
      </c>
      <c r="L22" s="5" t="n">
        <f aca="false">(-EXP(alpha*zeta)*Beta*(-1+EXP(alpha*Size*psi)-Size*alpha*psi))/((alpha^3)*(psi^2))</f>
        <v>1690.92462806846</v>
      </c>
      <c r="M22" s="5" t="n">
        <f aca="false">Beta*Theta</f>
        <v>47.9074118081247</v>
      </c>
      <c r="N22" s="5" t="n">
        <f aca="false">Beta*Theta</f>
        <v>47.9074118081247</v>
      </c>
      <c r="O22" s="5" t="n">
        <f aca="false">kappa</f>
        <v>90</v>
      </c>
      <c r="P22" s="5" t="n">
        <f aca="false">Gamma*Size</f>
        <v>0</v>
      </c>
      <c r="Q22" s="5" t="n">
        <f aca="false">Size*Beta*Phi</f>
        <v>32.4</v>
      </c>
      <c r="R22" s="5" t="n">
        <f aca="false">-(EXP(alpha*a*psi)+EXP(alpha*b*psi)*(-1+Size*psi*alpha))*(Beta*Phi)/((alpha*psi)*(EXP(alpha*a*psi)-EXP(alpha*b*psi)))</f>
        <v>12.2941718960407</v>
      </c>
      <c r="S22" s="5" t="n">
        <f aca="false">(EXP(alpha*(zeta-a*psi))*Beta*Phi*(-EXP(alpha*a*psi)*(-2+(-1)*Size*alpha*psi)+EXP(alpha*b*psi)*(-2+Size*alpha*psi)))/((alpha^3)*(psi^3))</f>
        <v>78.836375998096</v>
      </c>
      <c r="T22" s="5" t="n">
        <f aca="false">Tau*Beta</f>
        <v>150.492658195426</v>
      </c>
      <c r="U22" s="5" t="n">
        <f aca="false">Tau*Beta</f>
        <v>150.492658195426</v>
      </c>
      <c r="V22" s="6" t="n">
        <f aca="false">Tau</f>
        <v>0.83607032330792</v>
      </c>
      <c r="W22" s="5" t="n">
        <f aca="false">Profit+Utility</f>
        <v>2087.98764973199</v>
      </c>
      <c r="X22" s="5" t="n">
        <f aca="false">(2*ij*BRIJ)+2*jj*BRJJ</f>
        <v>482.910286704934</v>
      </c>
      <c r="Y22" s="5" t="n">
        <f aca="false">2*(ij*BCCIJ)+(2*jj*BCCJJ)+BCS+jj*BCPTJJ+2*(ij*BCPTIJ)+BCPTII+BCk</f>
        <v>362.540312665495</v>
      </c>
      <c r="Z22" s="5" t="n">
        <f aca="false">ij*BUTIJ+BUTII</f>
        <v>1967.61767569255</v>
      </c>
      <c r="AA22" s="5" t="n">
        <f aca="false">Revenue-Cost</f>
        <v>120.369974039439</v>
      </c>
      <c r="AB22" s="5" t="n">
        <f aca="false">Size</f>
        <v>10</v>
      </c>
      <c r="AC22" s="6" t="n">
        <f aca="false">Welfare/(Size)</f>
        <v>208.798764973199</v>
      </c>
      <c r="AD22" s="6" t="n">
        <f aca="false">Profit/(Size)</f>
        <v>12.0369974039439</v>
      </c>
      <c r="AE22" s="6" t="n">
        <f aca="false">Utility/(Size)</f>
        <v>196.761767569255</v>
      </c>
      <c r="AF22" s="2" t="n">
        <v>308.660962030988</v>
      </c>
    </row>
    <row r="23" customFormat="false" ht="13" hidden="false" customHeight="false" outlineLevel="0" collapsed="false">
      <c r="A23" s="7" t="n">
        <f aca="false">C22</f>
        <v>0.348624046589603</v>
      </c>
      <c r="B23" s="2" t="n">
        <f aca="false">(I23+J23)*Beta*2</f>
        <v>530.957610006003</v>
      </c>
      <c r="C23" s="7" t="n">
        <f aca="false">(W23+B23*Theta-'W-Tax(All-Toll)-NONC'!$T$5)/B23</f>
        <v>0.310350097825509</v>
      </c>
      <c r="D23" s="8" t="n">
        <f aca="false">AVERAGE(D19:D22)</f>
        <v>0.8749766458794</v>
      </c>
      <c r="E23" s="8" t="n">
        <f aca="false">AVERAGE(E19:E22)</f>
        <v>0.874833457612494</v>
      </c>
      <c r="F23" s="2" t="n">
        <v>10</v>
      </c>
      <c r="G23" s="2" t="n">
        <v>0</v>
      </c>
      <c r="H23" s="2" t="n">
        <f aca="false">Size-a</f>
        <v>10</v>
      </c>
      <c r="I23" s="4" t="n">
        <f aca="false">(EXP(alpha*(Tau+OldTau+zeta-2*a*psi))*((EXP(alpha*a*psi)-EXP(alpha*b*psi))^2))/((EXP(alpha*a*psi)-EXP(alpha*(2*OldTau+b*psi)))*(alpha^2)*(psi^2))</f>
        <v>1.41768368076003</v>
      </c>
      <c r="J23" s="4" t="n">
        <f aca="false">(EXP(alpha*(zeta+(2*b-a)*psi))*(-1+EXP(alpha*(-1)*Size*psi))*(EXP(alpha*(2*(Tau+OldTau)+a*psi))-EXP(alpha*(2*(Tau+OldTau)+b*psi))))/(((EXP(alpha*a*psi)-EXP(alpha*(2*OldTau+b*psi)))^2)*(alpha^2)*(psi^2))</f>
        <v>0.0571985692566485</v>
      </c>
      <c r="K23" s="5" t="n">
        <f aca="false">-Beta/alpha</f>
        <v>180</v>
      </c>
      <c r="L23" s="5" t="n">
        <f aca="false">(-EXP(alpha*zeta)*Beta*(-1+EXP(alpha*Size*psi)-Size*alpha*psi))/((alpha^3)*(psi^2))</f>
        <v>1690.92462806846</v>
      </c>
      <c r="M23" s="5" t="n">
        <f aca="false">Beta*Theta</f>
        <v>62.7523283861285</v>
      </c>
      <c r="N23" s="5" t="n">
        <f aca="false">Beta*Theta</f>
        <v>62.7523283861285</v>
      </c>
      <c r="O23" s="5" t="n">
        <f aca="false">kappa</f>
        <v>90</v>
      </c>
      <c r="P23" s="5" t="n">
        <f aca="false">Gamma*Size</f>
        <v>0</v>
      </c>
      <c r="Q23" s="5" t="n">
        <f aca="false">Size*Beta*Phi</f>
        <v>32.4</v>
      </c>
      <c r="R23" s="5" t="n">
        <f aca="false">-(EXP(alpha*a*psi)+EXP(alpha*b*psi)*(-1+Size*psi*alpha))*(Beta*Phi)/((alpha*psi)*(EXP(alpha*a*psi)-EXP(alpha*b*psi)))</f>
        <v>12.2941718960407</v>
      </c>
      <c r="S23" s="5" t="n">
        <f aca="false">(EXP(alpha*(zeta-a*psi))*Beta*Phi*(-EXP(alpha*a*psi)*(-2+(-1)*Size*alpha*psi)+EXP(alpha*b*psi)*(-2+Size*alpha*psi)))/((alpha^3)*(psi^3))</f>
        <v>78.836375998096</v>
      </c>
      <c r="T23" s="5" t="n">
        <f aca="false">Tau*Beta</f>
        <v>157.495796258292</v>
      </c>
      <c r="U23" s="5" t="n">
        <f aca="false">Tau*Beta</f>
        <v>157.495796258292</v>
      </c>
      <c r="V23" s="6" t="n">
        <f aca="false">Tau</f>
        <v>0.8749766458794</v>
      </c>
      <c r="W23" s="5" t="n">
        <f aca="false">Profit+Utility</f>
        <v>2020.03050537166</v>
      </c>
      <c r="X23" s="5" t="n">
        <f aca="false">(2*ij*BRIJ)+2*jj*BRJJ</f>
        <v>464.575508707195</v>
      </c>
      <c r="Y23" s="5" t="n">
        <f aca="false">2*(ij*BCCIJ)+(2*jj*BCCJJ)+BCS+jj*BCPTJJ+2*(ij*BCPTIJ)+BCPTII+BCk</f>
        <v>390.652693940799</v>
      </c>
      <c r="Z23" s="5" t="n">
        <f aca="false">ij*BUTIJ+BUTII</f>
        <v>1946.10769060526</v>
      </c>
      <c r="AA23" s="5" t="n">
        <f aca="false">Revenue-Cost</f>
        <v>73.9228147663957</v>
      </c>
      <c r="AB23" s="5" t="n">
        <f aca="false">Size</f>
        <v>10</v>
      </c>
      <c r="AC23" s="6" t="n">
        <f aca="false">Welfare/(Size)</f>
        <v>202.003050537166</v>
      </c>
      <c r="AD23" s="6" t="n">
        <f aca="false">Profit/(Size)</f>
        <v>7.39228147663957</v>
      </c>
      <c r="AE23" s="6" t="n">
        <f aca="false">Utility/(Size)</f>
        <v>194.610769060526</v>
      </c>
      <c r="AF23" s="2" t="n">
        <v>308.660962030988</v>
      </c>
    </row>
    <row r="24" customFormat="false" ht="13" hidden="false" customHeight="false" outlineLevel="0" collapsed="false">
      <c r="A24" s="7" t="n">
        <f aca="false">C23</f>
        <v>0.310350097825509</v>
      </c>
      <c r="B24" s="2" t="n">
        <f aca="false">(I24+J24)*Beta*2</f>
        <v>524.883384729986</v>
      </c>
      <c r="C24" s="7" t="n">
        <f aca="false">(W24+B24*Theta-'W-Tax(All-Toll)-NONC'!$T$5)/B24</f>
        <v>0.304546704646541</v>
      </c>
      <c r="D24" s="2" t="n">
        <v>0.880254755248385</v>
      </c>
      <c r="E24" s="2" t="n">
        <v>0.880203106689991</v>
      </c>
      <c r="F24" s="2" t="n">
        <v>10</v>
      </c>
      <c r="G24" s="2" t="n">
        <v>0</v>
      </c>
      <c r="H24" s="2" t="n">
        <f aca="false">Size-a</f>
        <v>10</v>
      </c>
      <c r="I24" s="4" t="n">
        <f aca="false">(EXP(alpha*(Tau+OldTau+zeta-2*a*psi))*((EXP(alpha*a*psi)-EXP(alpha*b*psi))^2))/((EXP(alpha*a*psi)-EXP(alpha*(2*OldTau+b*psi)))*(alpha^2)*(psi^2))</f>
        <v>1.4020642668768</v>
      </c>
      <c r="J24" s="4" t="n">
        <f aca="false">(EXP(alpha*(zeta+(2*b-a)*psi))*(-1+EXP(alpha*(-1)*Size*psi))*(EXP(alpha*(2*(Tau+OldTau)+a*psi))-EXP(alpha*(2*(Tau+OldTau)+b*psi))))/(((EXP(alpha*a*psi)-EXP(alpha*(2*OldTau+b*psi)))^2)*(alpha^2)*(psi^2))</f>
        <v>0.0559451351509422</v>
      </c>
      <c r="K24" s="5" t="n">
        <f aca="false">-Beta/alpha</f>
        <v>180</v>
      </c>
      <c r="L24" s="5" t="n">
        <f aca="false">(-EXP(alpha*zeta)*Beta*(-1+EXP(alpha*Size*psi)-Size*alpha*psi))/((alpha^3)*(psi^2))</f>
        <v>1690.92462806846</v>
      </c>
      <c r="M24" s="5" t="n">
        <f aca="false">Beta*Theta</f>
        <v>55.8630176085917</v>
      </c>
      <c r="N24" s="5" t="n">
        <f aca="false">Beta*Theta</f>
        <v>55.8630176085917</v>
      </c>
      <c r="O24" s="5" t="n">
        <f aca="false">kappa</f>
        <v>90</v>
      </c>
      <c r="P24" s="5" t="n">
        <f aca="false">Gamma*Size</f>
        <v>0</v>
      </c>
      <c r="Q24" s="5" t="n">
        <f aca="false">Size*Beta*Phi</f>
        <v>32.4</v>
      </c>
      <c r="R24" s="5" t="n">
        <f aca="false">-(EXP(alpha*a*psi)+EXP(alpha*b*psi)*(-1+Size*psi*alpha))*(Beta*Phi)/((alpha*psi)*(EXP(alpha*a*psi)-EXP(alpha*b*psi)))</f>
        <v>12.2941718960407</v>
      </c>
      <c r="S24" s="5" t="n">
        <f aca="false">(EXP(alpha*(zeta-a*psi))*Beta*Phi*(-EXP(alpha*a*psi)*(-2+(-1)*Size*alpha*psi)+EXP(alpha*b*psi)*(-2+Size*alpha*psi)))/((alpha^3)*(psi^3))</f>
        <v>78.836375998096</v>
      </c>
      <c r="T24" s="5" t="n">
        <f aca="false">Tau*Beta</f>
        <v>158.445855944709</v>
      </c>
      <c r="U24" s="5" t="n">
        <f aca="false">Tau*Beta</f>
        <v>158.445855944709</v>
      </c>
      <c r="V24" s="6" t="n">
        <f aca="false">Tau</f>
        <v>0.880254755248385</v>
      </c>
      <c r="W24" s="5" t="n">
        <f aca="false">Profit+Utility</f>
        <v>2037.30624507824</v>
      </c>
      <c r="X24" s="5" t="n">
        <f aca="false">(2*ij*BRIJ)+2*jj*BRJJ</f>
        <v>462.031095359438</v>
      </c>
      <c r="Y24" s="5" t="n">
        <f aca="false">2*(ij*BCCIJ)+(2*jj*BCCJJ)+BCS+jj*BCPTJJ+2*(ij*BCPTIJ)+BCPTII+BCk</f>
        <v>368.021046387481</v>
      </c>
      <c r="Z24" s="5" t="n">
        <f aca="false">ij*BUTIJ+BUTII</f>
        <v>1943.29619610628</v>
      </c>
      <c r="AA24" s="5" t="n">
        <f aca="false">Revenue-Cost</f>
        <v>94.0100489719565</v>
      </c>
      <c r="AB24" s="5" t="n">
        <f aca="false">Size</f>
        <v>10</v>
      </c>
      <c r="AC24" s="6" t="n">
        <f aca="false">Welfare/(Size)</f>
        <v>203.730624507824</v>
      </c>
      <c r="AD24" s="6" t="n">
        <f aca="false">Profit/(Size)</f>
        <v>9.40100489719564</v>
      </c>
      <c r="AE24" s="6" t="n">
        <f aca="false">Utility/(Size)</f>
        <v>194.329619610628</v>
      </c>
      <c r="AF24" s="2" t="n">
        <v>308.660962030988</v>
      </c>
    </row>
    <row r="25" customFormat="false" ht="13" hidden="false" customHeight="false" outlineLevel="0" collapsed="false">
      <c r="A25" s="7" t="n">
        <f aca="false">C24</f>
        <v>0.304546704646541</v>
      </c>
      <c r="B25" s="2" t="n">
        <f aca="false">(I25+J25)*Beta*2</f>
        <v>531.425642645954</v>
      </c>
      <c r="C25" s="7" t="n">
        <f aca="false">(W25+B25*Theta-'W-Tax(All-Toll)-NONC'!$T$5)/B25</f>
        <v>0.310711239534911</v>
      </c>
      <c r="D25" s="2" t="n">
        <v>0.874494633064356</v>
      </c>
      <c r="E25" s="2" t="n">
        <v>0.874494633064356</v>
      </c>
      <c r="F25" s="2" t="n">
        <v>10</v>
      </c>
      <c r="G25" s="2" t="n">
        <v>0</v>
      </c>
      <c r="H25" s="2" t="n">
        <f aca="false">Size-a</f>
        <v>10</v>
      </c>
      <c r="I25" s="4" t="n">
        <f aca="false">(EXP(alpha*(Tau+OldTau+zeta-2*a*psi))*((EXP(alpha*a*psi)-EXP(alpha*b*psi))^2))/((EXP(alpha*a*psi)-EXP(alpha*(2*OldTau+b*psi)))*(alpha^2)*(psi^2))</f>
        <v>1.41888665837754</v>
      </c>
      <c r="J25" s="4" t="n">
        <f aca="false">(EXP(alpha*(zeta+(2*b-a)*psi))*(-1+EXP(alpha*(-1)*Size*psi))*(EXP(alpha*(2*(Tau+OldTau)+a*psi))-EXP(alpha*(2*(Tau+OldTau)+b*psi))))/(((EXP(alpha*a*psi)-EXP(alpha*(2*OldTau+b*psi)))^2)*(alpha^2)*(psi^2))</f>
        <v>0.0572956823056645</v>
      </c>
      <c r="K25" s="5" t="n">
        <f aca="false">-Beta/alpha</f>
        <v>180</v>
      </c>
      <c r="L25" s="5" t="n">
        <f aca="false">(-EXP(alpha*zeta)*Beta*(-1+EXP(alpha*Size*psi)-Size*alpha*psi))/((alpha^3)*(psi^2))</f>
        <v>1690.92462806846</v>
      </c>
      <c r="M25" s="5" t="n">
        <f aca="false">Beta*Theta</f>
        <v>54.8184068363774</v>
      </c>
      <c r="N25" s="5" t="n">
        <f aca="false">Beta*Theta</f>
        <v>54.8184068363774</v>
      </c>
      <c r="O25" s="5" t="n">
        <f aca="false">kappa</f>
        <v>90</v>
      </c>
      <c r="P25" s="5" t="n">
        <f aca="false">Gamma*Size</f>
        <v>0</v>
      </c>
      <c r="Q25" s="5" t="n">
        <f aca="false">Size*Beta*Phi</f>
        <v>32.4</v>
      </c>
      <c r="R25" s="5" t="n">
        <f aca="false">-(EXP(alpha*a*psi)+EXP(alpha*b*psi)*(-1+Size*psi*alpha))*(Beta*Phi)/((alpha*psi)*(EXP(alpha*a*psi)-EXP(alpha*b*psi)))</f>
        <v>12.2941718960407</v>
      </c>
      <c r="S25" s="5" t="n">
        <f aca="false">(EXP(alpha*(zeta-a*psi))*Beta*Phi*(-EXP(alpha*a*psi)*(-2+(-1)*Size*alpha*psi)+EXP(alpha*b*psi)*(-2+Size*alpha*psi)))/((alpha^3)*(psi^3))</f>
        <v>78.836375998096</v>
      </c>
      <c r="T25" s="5" t="n">
        <f aca="false">Tau*Beta</f>
        <v>157.409033951584</v>
      </c>
      <c r="U25" s="5" t="n">
        <f aca="false">Tau*Beta</f>
        <v>157.409033951584</v>
      </c>
      <c r="V25" s="6" t="n">
        <f aca="false">Tau</f>
        <v>0.874494633064356</v>
      </c>
      <c r="W25" s="5" t="n">
        <f aca="false">Profit+Utility</f>
        <v>2043.6283416476</v>
      </c>
      <c r="X25" s="5" t="n">
        <f aca="false">(2*ij*BRIJ)+2*jj*BRJJ</f>
        <v>464.728872366663</v>
      </c>
      <c r="Y25" s="5" t="n">
        <f aca="false">2*(ij*BCCIJ)+(2*jj*BCCJJ)+BCS+jj*BCPTJJ+2*(ij*BCPTIJ)+BCPTII+BCk</f>
        <v>367.424757295479</v>
      </c>
      <c r="Z25" s="5" t="n">
        <f aca="false">ij*BUTIJ+BUTII</f>
        <v>1946.32422657642</v>
      </c>
      <c r="AA25" s="5" t="n">
        <f aca="false">Revenue-Cost</f>
        <v>97.3041150711837</v>
      </c>
      <c r="AB25" s="5" t="n">
        <f aca="false">Size</f>
        <v>10</v>
      </c>
      <c r="AC25" s="6" t="n">
        <f aca="false">Welfare/(Size)</f>
        <v>204.36283416476</v>
      </c>
      <c r="AD25" s="6" t="n">
        <f aca="false">Profit/(Size)</f>
        <v>9.73041150711837</v>
      </c>
      <c r="AE25" s="6" t="n">
        <f aca="false">Utility/(Size)</f>
        <v>194.632422657642</v>
      </c>
      <c r="AF25" s="2" t="n">
        <v>308.660962030988</v>
      </c>
    </row>
    <row r="26" customFormat="false" ht="13" hidden="false" customHeight="false" outlineLevel="0" collapsed="false">
      <c r="A26" s="7" t="n">
        <f aca="false">C25</f>
        <v>0.310711239534911</v>
      </c>
      <c r="B26" s="2" t="n">
        <f aca="false">(I26+J26)*Beta*2</f>
        <v>524.444320283094</v>
      </c>
      <c r="C26" s="7" t="n">
        <f aca="false">(W26+B26*Theta-'W-Tax(All-Toll)-NONC'!$T$5)/B26</f>
        <v>0.304096268466719</v>
      </c>
      <c r="D26" s="2" t="n">
        <v>0.880615452061286</v>
      </c>
      <c r="E26" s="2" t="n">
        <v>0.880615452061286</v>
      </c>
      <c r="F26" s="2" t="n">
        <v>10</v>
      </c>
      <c r="G26" s="2" t="n">
        <v>0</v>
      </c>
      <c r="H26" s="2" t="n">
        <f aca="false">Size-a</f>
        <v>10</v>
      </c>
      <c r="I26" s="4" t="n">
        <f aca="false">(EXP(alpha*(Tau+OldTau+zeta-2*a*psi))*((EXP(alpha*a*psi)-EXP(alpha*b*psi))^2))/((EXP(alpha*a*psi)-EXP(alpha*(2*OldTau+b*psi)))*(alpha^2)*(psi^2))</f>
        <v>1.4009347472361</v>
      </c>
      <c r="J26" s="4" t="n">
        <f aca="false">(EXP(alpha*(zeta+(2*b-a)*psi))*(-1+EXP(alpha*(-1)*Size*psi))*(EXP(alpha*(2*(Tau+OldTau)+a*psi))-EXP(alpha*(2*(Tau+OldTau)+b*psi))))/(((EXP(alpha*a*psi)-EXP(alpha*(2*OldTau+b*psi)))^2)*(alpha^2)*(psi^2))</f>
        <v>0.0558550313280512</v>
      </c>
      <c r="K26" s="5" t="n">
        <f aca="false">-Beta/alpha</f>
        <v>180</v>
      </c>
      <c r="L26" s="5" t="n">
        <f aca="false">(-EXP(alpha*zeta)*Beta*(-1+EXP(alpha*Size*psi)-Size*alpha*psi))/((alpha^3)*(psi^2))</f>
        <v>1690.92462806846</v>
      </c>
      <c r="M26" s="5" t="n">
        <f aca="false">Beta*Theta</f>
        <v>55.928023116284</v>
      </c>
      <c r="N26" s="5" t="n">
        <f aca="false">Beta*Theta</f>
        <v>55.928023116284</v>
      </c>
      <c r="O26" s="5" t="n">
        <f aca="false">kappa</f>
        <v>90</v>
      </c>
      <c r="P26" s="5" t="n">
        <f aca="false">Gamma*Size</f>
        <v>0</v>
      </c>
      <c r="Q26" s="5" t="n">
        <f aca="false">Size*Beta*Phi</f>
        <v>32.4</v>
      </c>
      <c r="R26" s="5" t="n">
        <f aca="false">-(EXP(alpha*a*psi)+EXP(alpha*b*psi)*(-1+Size*psi*alpha))*(Beta*Phi)/((alpha*psi)*(EXP(alpha*a*psi)-EXP(alpha*b*psi)))</f>
        <v>12.2941718960407</v>
      </c>
      <c r="S26" s="5" t="n">
        <f aca="false">(EXP(alpha*(zeta-a*psi))*Beta*Phi*(-EXP(alpha*a*psi)*(-2+(-1)*Size*alpha*psi)+EXP(alpha*b*psi)*(-2+Size*alpha*psi)))/((alpha^3)*(psi^3))</f>
        <v>78.836375998096</v>
      </c>
      <c r="T26" s="5" t="n">
        <f aca="false">Tau*Beta</f>
        <v>158.510781371031</v>
      </c>
      <c r="U26" s="5" t="n">
        <f aca="false">Tau*Beta</f>
        <v>158.510781371031</v>
      </c>
      <c r="V26" s="6" t="n">
        <f aca="false">Tau</f>
        <v>0.880615452061286</v>
      </c>
      <c r="W26" s="5" t="n">
        <f aca="false">Profit+Utility</f>
        <v>2036.88316572738</v>
      </c>
      <c r="X26" s="5" t="n">
        <f aca="false">(2*ij*BRIJ)+2*jj*BRJJ</f>
        <v>461.83377218707</v>
      </c>
      <c r="Y26" s="5" t="n">
        <f aca="false">2*(ij*BCCIJ)+(2*jj*BCCJJ)+BCS+jj*BCPTJJ+2*(ij*BCPTIJ)+BCPTII+BCk</f>
        <v>368.043489030642</v>
      </c>
      <c r="Z26" s="5" t="n">
        <f aca="false">ij*BUTIJ+BUTII</f>
        <v>1943.09288257096</v>
      </c>
      <c r="AA26" s="5" t="n">
        <f aca="false">Revenue-Cost</f>
        <v>93.7902831564278</v>
      </c>
      <c r="AB26" s="5" t="n">
        <f aca="false">Size</f>
        <v>10</v>
      </c>
      <c r="AC26" s="6" t="n">
        <f aca="false">Welfare/(Size)</f>
        <v>203.688316572738</v>
      </c>
      <c r="AD26" s="6" t="n">
        <f aca="false">Profit/(Size)</f>
        <v>9.37902831564278</v>
      </c>
      <c r="AE26" s="6" t="n">
        <f aca="false">Utility/(Size)</f>
        <v>194.309288257096</v>
      </c>
      <c r="AF26" s="2" t="n">
        <v>308.660962030988</v>
      </c>
    </row>
    <row r="27" customFormat="false" ht="13" hidden="false" customHeight="false" outlineLevel="0" collapsed="false">
      <c r="A27" s="7" t="n">
        <f aca="false">C26</f>
        <v>0.304096268466719</v>
      </c>
      <c r="B27" s="2" t="n">
        <f aca="false">(I27+J27)*Beta*2</f>
        <v>528.277553422381</v>
      </c>
      <c r="C27" s="7" t="n">
        <f aca="false">(W27+B27*Theta-'W-Tax(All-Toll)-NONC'!$T$5)/B27</f>
        <v>0.304564000172596</v>
      </c>
      <c r="D27" s="2" t="n">
        <v>0.87404792757788</v>
      </c>
      <c r="E27" s="2" t="n">
        <v>0.880203106689991</v>
      </c>
      <c r="F27" s="2" t="n">
        <v>10</v>
      </c>
      <c r="G27" s="2" t="n">
        <v>0</v>
      </c>
      <c r="H27" s="2" t="n">
        <f aca="false">Size-a</f>
        <v>10</v>
      </c>
      <c r="I27" s="4" t="n">
        <f aca="false">(EXP(alpha*(Tau+OldTau+zeta-2*a*psi))*((EXP(alpha*a*psi)-EXP(alpha*b*psi))^2))/((EXP(alpha*a*psi)-EXP(alpha*(2*OldTau+b*psi)))*(alpha^2)*(psi^2))</f>
        <v>1.41079370118659</v>
      </c>
      <c r="J27" s="4" t="n">
        <f aca="false">(EXP(alpha*(zeta+(2*b-a)*psi))*(-1+EXP(alpha*(-1)*Size*psi))*(EXP(alpha*(2*(Tau+OldTau)+a*psi))-EXP(alpha*(2*(Tau+OldTau)+b*psi))))/(((EXP(alpha*a*psi)-EXP(alpha*(2*OldTau+b*psi)))^2)*(alpha^2)*(psi^2))</f>
        <v>0.0566439472089093</v>
      </c>
      <c r="K27" s="5" t="n">
        <f aca="false">-Beta/alpha</f>
        <v>180</v>
      </c>
      <c r="L27" s="5" t="n">
        <f aca="false">(-EXP(alpha*zeta)*Beta*(-1+EXP(alpha*Size*psi)-Size*alpha*psi))/((alpha^3)*(psi^2))</f>
        <v>1690.92462806846</v>
      </c>
      <c r="M27" s="5" t="n">
        <f aca="false">Beta*Theta</f>
        <v>54.7373283240095</v>
      </c>
      <c r="N27" s="5" t="n">
        <f aca="false">Beta*Theta</f>
        <v>54.7373283240095</v>
      </c>
      <c r="O27" s="5" t="n">
        <f aca="false">kappa</f>
        <v>90</v>
      </c>
      <c r="P27" s="5" t="n">
        <f aca="false">Gamma*Size</f>
        <v>0</v>
      </c>
      <c r="Q27" s="5" t="n">
        <f aca="false">Size*Beta*Phi</f>
        <v>32.4</v>
      </c>
      <c r="R27" s="5" t="n">
        <f aca="false">-(EXP(alpha*a*psi)+EXP(alpha*b*psi)*(-1+Size*psi*alpha))*(Beta*Phi)/((alpha*psi)*(EXP(alpha*a*psi)-EXP(alpha*b*psi)))</f>
        <v>12.2941718960407</v>
      </c>
      <c r="S27" s="5" t="n">
        <f aca="false">(EXP(alpha*(zeta-a*psi))*Beta*Phi*(-EXP(alpha*a*psi)*(-2+(-1)*Size*alpha*psi)+EXP(alpha*b*psi)*(-2+Size*alpha*psi)))/((alpha^3)*(psi^3))</f>
        <v>78.836375998096</v>
      </c>
      <c r="T27" s="5" t="n">
        <f aca="false">Tau*Beta</f>
        <v>157.328626964018</v>
      </c>
      <c r="U27" s="5" t="n">
        <f aca="false">Tau*Beta</f>
        <v>157.328626964018</v>
      </c>
      <c r="V27" s="6" t="n">
        <f aca="false">Tau</f>
        <v>0.87404792757788</v>
      </c>
      <c r="W27" s="5" t="n">
        <f aca="false">Profit+Utility</f>
        <v>2040.59944189417</v>
      </c>
      <c r="X27" s="5" t="n">
        <f aca="false">(2*ij*BRIJ)+2*jj*BRJJ</f>
        <v>461.739900754745</v>
      </c>
      <c r="Y27" s="5" t="n">
        <f aca="false">2*(ij*BCCIJ)+(2*jj*BCCJJ)+BCS+jj*BCPTJJ+2*(ij*BCPTIJ)+BCPTII+BCk</f>
        <v>366.007953142617</v>
      </c>
      <c r="Z27" s="5" t="n">
        <f aca="false">ij*BUTIJ+BUTII</f>
        <v>1944.86749428204</v>
      </c>
      <c r="AA27" s="5" t="n">
        <f aca="false">Revenue-Cost</f>
        <v>95.7319476121273</v>
      </c>
      <c r="AB27" s="5" t="n">
        <f aca="false">Size</f>
        <v>10</v>
      </c>
      <c r="AC27" s="6" t="n">
        <f aca="false">Welfare/(Size)</f>
        <v>204.059944189417</v>
      </c>
      <c r="AD27" s="6" t="n">
        <f aca="false">Profit/(Size)</f>
        <v>9.57319476121273</v>
      </c>
      <c r="AE27" s="6" t="n">
        <f aca="false">Utility/(Size)</f>
        <v>194.486749428204</v>
      </c>
      <c r="AF27" s="2" t="n">
        <v>308.660962030988</v>
      </c>
    </row>
    <row r="28" customFormat="false" ht="13" hidden="false" customHeight="false" outlineLevel="0" collapsed="false">
      <c r="A28" s="7" t="n">
        <f aca="false">C27</f>
        <v>0.304564000172596</v>
      </c>
      <c r="B28" s="2" t="n">
        <f aca="false">(I28+J28)*Beta*2</f>
        <v>527.249604728065</v>
      </c>
      <c r="C28" s="7" t="n">
        <f aca="false">(W28+B28*Theta-'W-Tax(All-Toll)-NONC'!$T$5)/B28</f>
        <v>0.305992854270836</v>
      </c>
      <c r="D28" s="8" t="n">
        <f aca="false">AVERAGE(D24:D27)</f>
        <v>0.877353191987977</v>
      </c>
      <c r="E28" s="8" t="n">
        <f aca="false">AVERAGE(E24:E27)</f>
        <v>0.878879074626406</v>
      </c>
      <c r="F28" s="2" t="n">
        <v>10</v>
      </c>
      <c r="G28" s="2" t="n">
        <v>0</v>
      </c>
      <c r="H28" s="2" t="n">
        <f aca="false">Size-a</f>
        <v>10</v>
      </c>
      <c r="I28" s="4" t="n">
        <f aca="false">(EXP(alpha*(Tau+OldTau+zeta-2*a*psi))*((EXP(alpha*a*psi)-EXP(alpha*b*psi))^2))/((EXP(alpha*a*psi)-EXP(alpha*(2*OldTau+b*psi)))*(alpha^2)*(psi^2))</f>
        <v>1.40815035237568</v>
      </c>
      <c r="J28" s="4" t="n">
        <f aca="false">(EXP(alpha*(zeta+(2*b-a)*psi))*(-1+EXP(alpha*(-1)*Size*psi))*(EXP(alpha*(2*(Tau+OldTau)+a*psi))-EXP(alpha*(2*(Tau+OldTau)+b*psi))))/(((EXP(alpha*a*psi)-EXP(alpha*(2*OldTau+b*psi)))^2)*(alpha^2)*(psi^2))</f>
        <v>0.0564318829800544</v>
      </c>
      <c r="K28" s="5" t="n">
        <f aca="false">-Beta/alpha</f>
        <v>180</v>
      </c>
      <c r="L28" s="5" t="n">
        <f aca="false">(-EXP(alpha*zeta)*Beta*(-1+EXP(alpha*Size*psi)-Size*alpha*psi))/((alpha^3)*(psi^2))</f>
        <v>1690.92462806846</v>
      </c>
      <c r="M28" s="5" t="n">
        <f aca="false">Beta*Theta</f>
        <v>54.8215200310672</v>
      </c>
      <c r="N28" s="5" t="n">
        <f aca="false">Beta*Theta</f>
        <v>54.8215200310672</v>
      </c>
      <c r="O28" s="5" t="n">
        <f aca="false">kappa</f>
        <v>90</v>
      </c>
      <c r="P28" s="5" t="n">
        <f aca="false">Gamma*Size</f>
        <v>0</v>
      </c>
      <c r="Q28" s="5" t="n">
        <f aca="false">Size*Beta*Phi</f>
        <v>32.4</v>
      </c>
      <c r="R28" s="5" t="n">
        <f aca="false">-(EXP(alpha*a*psi)+EXP(alpha*b*psi)*(-1+Size*psi*alpha))*(Beta*Phi)/((alpha*psi)*(EXP(alpha*a*psi)-EXP(alpha*b*psi)))</f>
        <v>12.2941718960407</v>
      </c>
      <c r="S28" s="5" t="n">
        <f aca="false">(EXP(alpha*(zeta-a*psi))*Beta*Phi*(-EXP(alpha*a*psi)*(-2+(-1)*Size*alpha*psi)+EXP(alpha*b*psi)*(-2+Size*alpha*psi)))/((alpha^3)*(psi^3))</f>
        <v>78.836375998096</v>
      </c>
      <c r="T28" s="5" t="n">
        <f aca="false">Tau*Beta</f>
        <v>157.923574557836</v>
      </c>
      <c r="U28" s="5" t="n">
        <f aca="false">Tau*Beta</f>
        <v>157.923574557836</v>
      </c>
      <c r="V28" s="6" t="n">
        <f aca="false">Tau</f>
        <v>0.877353191987977</v>
      </c>
      <c r="W28" s="5" t="n">
        <f aca="false">Profit+Utility</f>
        <v>2041.10571249144</v>
      </c>
      <c r="X28" s="5" t="n">
        <f aca="false">(2*ij*BRIJ)+2*jj*BRJJ</f>
        <v>462.584123682567</v>
      </c>
      <c r="Y28" s="5" t="n">
        <f aca="false">2*(ij*BCCIJ)+(2*jj*BCCJJ)+BCS+jj*BCPTJJ+2*(ij*BCPTIJ)+BCPTII+BCk</f>
        <v>365.870102687203</v>
      </c>
      <c r="Z28" s="5" t="n">
        <f aca="false">ij*BUTIJ+BUTII</f>
        <v>1944.39169149608</v>
      </c>
      <c r="AA28" s="5" t="n">
        <f aca="false">Revenue-Cost</f>
        <v>96.7140209953639</v>
      </c>
      <c r="AB28" s="5" t="n">
        <f aca="false">Size</f>
        <v>10</v>
      </c>
      <c r="AC28" s="6" t="n">
        <f aca="false">Welfare/(Size)</f>
        <v>204.110571249144</v>
      </c>
      <c r="AD28" s="6" t="n">
        <f aca="false">Profit/(Size)</f>
        <v>9.67140209953639</v>
      </c>
      <c r="AE28" s="6" t="n">
        <f aca="false">Utility/(Size)</f>
        <v>194.439169149608</v>
      </c>
      <c r="AF28" s="2" t="n">
        <v>308.660962030988</v>
      </c>
    </row>
    <row r="29" customFormat="false" ht="13" hidden="false" customHeight="false" outlineLevel="0" collapsed="false">
      <c r="A29" s="7" t="n">
        <f aca="false">C28</f>
        <v>0.305992854270836</v>
      </c>
      <c r="B29" s="2" t="n">
        <f aca="false">(I29+J29)*Beta*2</f>
        <v>529.78428314013</v>
      </c>
      <c r="C29" s="7" t="n">
        <f aca="false">(W29+B29*Theta-'W-Tax(All-Toll)-NONC'!$T$5)/B29</f>
        <v>0.309178953640506</v>
      </c>
      <c r="D29" s="2" t="n">
        <v>0.875925901798701</v>
      </c>
      <c r="E29" s="2" t="n">
        <v>0.875925901798701</v>
      </c>
      <c r="F29" s="2" t="n">
        <v>10</v>
      </c>
      <c r="G29" s="2" t="n">
        <v>0</v>
      </c>
      <c r="H29" s="2" t="n">
        <f aca="false">Size-a</f>
        <v>10</v>
      </c>
      <c r="I29" s="4" t="n">
        <f aca="false">(EXP(alpha*(Tau+OldTau+zeta-2*a*psi))*((EXP(alpha*a*psi)-EXP(alpha*b*psi))^2))/((EXP(alpha*a*psi)-EXP(alpha*(2*OldTau+b*psi)))*(alpha^2)*(psi^2))</f>
        <v>1.41466756035207</v>
      </c>
      <c r="J29" s="4" t="n">
        <f aca="false">(EXP(alpha*(zeta+(2*b-a)*psi))*(-1+EXP(alpha*(-1)*Size*psi))*(EXP(alpha*(2*(Tau+OldTau)+a*psi))-EXP(alpha*(2*(Tau+OldTau)+b*psi))))/(((EXP(alpha*a*psi)-EXP(alpha*(2*OldTau+b*psi)))^2)*(alpha^2)*(psi^2))</f>
        <v>0.0569554483705177</v>
      </c>
      <c r="K29" s="5" t="n">
        <f aca="false">-Beta/alpha</f>
        <v>180</v>
      </c>
      <c r="L29" s="5" t="n">
        <f aca="false">(-EXP(alpha*zeta)*Beta*(-1+EXP(alpha*Size*psi)-Size*alpha*psi))/((alpha^3)*(psi^2))</f>
        <v>1690.92462806846</v>
      </c>
      <c r="M29" s="5" t="n">
        <f aca="false">Beta*Theta</f>
        <v>55.0787137687504</v>
      </c>
      <c r="N29" s="5" t="n">
        <f aca="false">Beta*Theta</f>
        <v>55.0787137687504</v>
      </c>
      <c r="O29" s="5" t="n">
        <f aca="false">kappa</f>
        <v>90</v>
      </c>
      <c r="P29" s="5" t="n">
        <f aca="false">Gamma*Size</f>
        <v>0</v>
      </c>
      <c r="Q29" s="5" t="n">
        <f aca="false">Size*Beta*Phi</f>
        <v>32.4</v>
      </c>
      <c r="R29" s="5" t="n">
        <f aca="false">-(EXP(alpha*a*psi)+EXP(alpha*b*psi)*(-1+Size*psi*alpha))*(Beta*Phi)/((alpha*psi)*(EXP(alpha*a*psi)-EXP(alpha*b*psi)))</f>
        <v>12.2941718960407</v>
      </c>
      <c r="S29" s="5" t="n">
        <f aca="false">(EXP(alpha*(zeta-a*psi))*Beta*Phi*(-EXP(alpha*a*psi)*(-2+(-1)*Size*alpha*psi)+EXP(alpha*b*psi)*(-2+Size*alpha*psi)))/((alpha^3)*(psi^3))</f>
        <v>78.836375998096</v>
      </c>
      <c r="T29" s="5" t="n">
        <f aca="false">Tau*Beta</f>
        <v>157.666662323766</v>
      </c>
      <c r="U29" s="5" t="n">
        <f aca="false">Tau*Beta</f>
        <v>157.666662323766</v>
      </c>
      <c r="V29" s="6" t="n">
        <f aca="false">Tau</f>
        <v>0.875925901798701</v>
      </c>
      <c r="W29" s="5" t="n">
        <f aca="false">Profit+Utility</f>
        <v>2042.04029510351</v>
      </c>
      <c r="X29" s="5" t="n">
        <f aca="false">(2*ij*BRIJ)+2*jj*BRJJ</f>
        <v>464.051775968297</v>
      </c>
      <c r="Y29" s="5" t="n">
        <f aca="false">2*(ij*BCCIJ)+(2*jj*BCCJJ)+BCS+jj*BCPTJJ+2*(ij*BCPTIJ)+BCPTII+BCk</f>
        <v>367.576269796619</v>
      </c>
      <c r="Z29" s="5" t="n">
        <f aca="false">ij*BUTIJ+BUTII</f>
        <v>1945.56478893183</v>
      </c>
      <c r="AA29" s="5" t="n">
        <f aca="false">Revenue-Cost</f>
        <v>96.4755061716776</v>
      </c>
      <c r="AB29" s="5" t="n">
        <f aca="false">Size</f>
        <v>10</v>
      </c>
      <c r="AC29" s="6" t="n">
        <f aca="false">Welfare/(Size)</f>
        <v>204.204029510351</v>
      </c>
      <c r="AD29" s="6" t="n">
        <f aca="false">Profit/(Size)</f>
        <v>9.64755061716776</v>
      </c>
      <c r="AE29" s="6" t="n">
        <f aca="false">Utility/(Size)</f>
        <v>194.556478893183</v>
      </c>
      <c r="AF29" s="2" t="n">
        <v>308.660962030988</v>
      </c>
    </row>
    <row r="30" customFormat="false" ht="13" hidden="false" customHeight="false" outlineLevel="0" collapsed="false">
      <c r="A30" s="7" t="n">
        <f aca="false">C29</f>
        <v>0.309178953640506</v>
      </c>
      <c r="B30" s="2" t="n">
        <f aca="false">(I30+J30)*Beta*2</f>
        <v>526.141862755913</v>
      </c>
      <c r="C30" s="7" t="n">
        <f aca="false">(W30+B30*Theta-'W-Tax(All-Toll)-NONC'!$T$5)/B30</f>
        <v>0.305728389213186</v>
      </c>
      <c r="D30" s="2" t="n">
        <v>0.879119146353421</v>
      </c>
      <c r="E30" s="2" t="n">
        <v>0.879119146353421</v>
      </c>
      <c r="F30" s="2" t="n">
        <v>10</v>
      </c>
      <c r="G30" s="2" t="n">
        <v>0</v>
      </c>
      <c r="H30" s="2" t="n">
        <f aca="false">Size-a</f>
        <v>10</v>
      </c>
      <c r="I30" s="4" t="n">
        <f aca="false">(EXP(alpha*(Tau+OldTau+zeta-2*a*psi))*((EXP(alpha*a*psi)-EXP(alpha*b*psi))^2))/((EXP(alpha*a*psi)-EXP(alpha*(2*OldTau+b*psi)))*(alpha^2)*(psi^2))</f>
        <v>1.40530140456047</v>
      </c>
      <c r="J30" s="4" t="n">
        <f aca="false">(EXP(alpha*(zeta+(2*b-a)*psi))*(-1+EXP(alpha*(-1)*Size*psi))*(EXP(alpha*(2*(Tau+OldTau)+a*psi))-EXP(alpha*(2*(Tau+OldTau)+b*psi))))/(((EXP(alpha*a*psi)-EXP(alpha*(2*OldTau+b*psi)))^2)*(alpha^2)*(psi^2))</f>
        <v>0.0562037697615068</v>
      </c>
      <c r="K30" s="5" t="n">
        <f aca="false">-Beta/alpha</f>
        <v>180</v>
      </c>
      <c r="L30" s="5" t="n">
        <f aca="false">(-EXP(alpha*zeta)*Beta*(-1+EXP(alpha*Size*psi)-Size*alpha*psi))/((alpha^3)*(psi^2))</f>
        <v>1690.92462806846</v>
      </c>
      <c r="M30" s="5" t="n">
        <f aca="false">Beta*Theta</f>
        <v>55.6522116552911</v>
      </c>
      <c r="N30" s="5" t="n">
        <f aca="false">Beta*Theta</f>
        <v>55.6522116552911</v>
      </c>
      <c r="O30" s="5" t="n">
        <f aca="false">kappa</f>
        <v>90</v>
      </c>
      <c r="P30" s="5" t="n">
        <f aca="false">Gamma*Size</f>
        <v>0</v>
      </c>
      <c r="Q30" s="5" t="n">
        <f aca="false">Size*Beta*Phi</f>
        <v>32.4</v>
      </c>
      <c r="R30" s="5" t="n">
        <f aca="false">-(EXP(alpha*a*psi)+EXP(alpha*b*psi)*(-1+Size*psi*alpha))*(Beta*Phi)/((alpha*psi)*(EXP(alpha*a*psi)-EXP(alpha*b*psi)))</f>
        <v>12.2941718960407</v>
      </c>
      <c r="S30" s="5" t="n">
        <f aca="false">(EXP(alpha*(zeta-a*psi))*Beta*Phi*(-EXP(alpha*a*psi)*(-2+(-1)*Size*alpha*psi)+EXP(alpha*b*psi)*(-2+Size*alpha*psi)))/((alpha^3)*(psi^3))</f>
        <v>78.836375998096</v>
      </c>
      <c r="T30" s="5" t="n">
        <f aca="false">Tau*Beta</f>
        <v>158.241446343616</v>
      </c>
      <c r="U30" s="5" t="n">
        <f aca="false">Tau*Beta</f>
        <v>158.241446343616</v>
      </c>
      <c r="V30" s="6" t="n">
        <f aca="false">Tau</f>
        <v>0.879119146353421</v>
      </c>
      <c r="W30" s="5" t="n">
        <f aca="false">Profit+Utility</f>
        <v>2038.53686333758</v>
      </c>
      <c r="X30" s="5" t="n">
        <f aca="false">(2*ij*BRIJ)+2*jj*BRJJ</f>
        <v>462.541385246777</v>
      </c>
      <c r="Y30" s="5" t="n">
        <f aca="false">2*(ij*BCCIJ)+(2*jj*BCCJJ)+BCS+jj*BCPTJJ+2*(ij*BCPTIJ)+BCPTII+BCk</f>
        <v>367.883402798536</v>
      </c>
      <c r="Z30" s="5" t="n">
        <f aca="false">ij*BUTIJ+BUTII</f>
        <v>1943.87888088934</v>
      </c>
      <c r="AA30" s="5" t="n">
        <f aca="false">Revenue-Cost</f>
        <v>94.6579824482407</v>
      </c>
      <c r="AB30" s="5" t="n">
        <f aca="false">Size</f>
        <v>10</v>
      </c>
      <c r="AC30" s="6" t="n">
        <f aca="false">Welfare/(Size)</f>
        <v>203.853686333758</v>
      </c>
      <c r="AD30" s="6" t="n">
        <f aca="false">Profit/(Size)</f>
        <v>9.46579824482407</v>
      </c>
      <c r="AE30" s="6" t="n">
        <f aca="false">Utility/(Size)</f>
        <v>194.387888088934</v>
      </c>
      <c r="AF30" s="2" t="n">
        <v>308.660962030988</v>
      </c>
    </row>
    <row r="31" customFormat="false" ht="13" hidden="false" customHeight="false" outlineLevel="0" collapsed="false">
      <c r="A31" s="7" t="n">
        <f aca="false">C30</f>
        <v>0.305728389213186</v>
      </c>
      <c r="B31" s="2" t="n">
        <f aca="false">(I31+J31)*Beta*2</f>
        <v>530.080525995008</v>
      </c>
      <c r="C31" s="7" t="n">
        <f aca="false">(W31+B31*Theta-'W-Tax(All-Toll)-NONC'!$T$5)/B31</f>
        <v>0.309456540883556</v>
      </c>
      <c r="D31" s="2" t="n">
        <v>0.875667226253494</v>
      </c>
      <c r="E31" s="2" t="n">
        <v>0.875667226253494</v>
      </c>
      <c r="F31" s="2" t="n">
        <v>10</v>
      </c>
      <c r="G31" s="2" t="n">
        <v>0</v>
      </c>
      <c r="H31" s="2" t="n">
        <f aca="false">Size-a</f>
        <v>10</v>
      </c>
      <c r="I31" s="4" t="n">
        <f aca="false">(EXP(alpha*(Tau+OldTau+zeta-2*a*psi))*((EXP(alpha*a*psi)-EXP(alpha*b*psi))^2))/((EXP(alpha*a*psi)-EXP(alpha*(2*OldTau+b*psi)))*(alpha^2)*(psi^2))</f>
        <v>1.41542911896233</v>
      </c>
      <c r="J31" s="4" t="n">
        <f aca="false">(EXP(alpha*(zeta+(2*b-a)*psi))*(-1+EXP(alpha*(-1)*Size*psi))*(EXP(alpha*(2*(Tau+OldTau)+a*psi))-EXP(alpha*(2*(Tau+OldTau)+b*psi))))/(((EXP(alpha*a*psi)-EXP(alpha*(2*OldTau+b*psi)))^2)*(alpha^2)*(psi^2))</f>
        <v>0.0570167865793548</v>
      </c>
      <c r="K31" s="5" t="n">
        <f aca="false">-Beta/alpha</f>
        <v>180</v>
      </c>
      <c r="L31" s="5" t="n">
        <f aca="false">(-EXP(alpha*zeta)*Beta*(-1+EXP(alpha*Size*psi)-Size*alpha*psi))/((alpha^3)*(psi^2))</f>
        <v>1690.92462806846</v>
      </c>
      <c r="M31" s="5" t="n">
        <f aca="false">Beta*Theta</f>
        <v>55.0311100583735</v>
      </c>
      <c r="N31" s="5" t="n">
        <f aca="false">Beta*Theta</f>
        <v>55.0311100583735</v>
      </c>
      <c r="O31" s="5" t="n">
        <f aca="false">kappa</f>
        <v>90</v>
      </c>
      <c r="P31" s="5" t="n">
        <f aca="false">Gamma*Size</f>
        <v>0</v>
      </c>
      <c r="Q31" s="5" t="n">
        <f aca="false">Size*Beta*Phi</f>
        <v>32.4</v>
      </c>
      <c r="R31" s="5" t="n">
        <f aca="false">-(EXP(alpha*a*psi)+EXP(alpha*b*psi)*(-1+Size*psi*alpha))*(Beta*Phi)/((alpha*psi)*(EXP(alpha*a*psi)-EXP(alpha*b*psi)))</f>
        <v>12.2941718960407</v>
      </c>
      <c r="S31" s="5" t="n">
        <f aca="false">(EXP(alpha*(zeta-a*psi))*Beta*Phi*(-EXP(alpha*a*psi)*(-2+(-1)*Size*alpha*psi)+EXP(alpha*b*psi)*(-2+Size*alpha*psi)))/((alpha^3)*(psi^3))</f>
        <v>78.836375998096</v>
      </c>
      <c r="T31" s="5" t="n">
        <f aca="false">Tau*Beta</f>
        <v>157.620100725629</v>
      </c>
      <c r="U31" s="5" t="n">
        <f aca="false">Tau*Beta</f>
        <v>157.620100725629</v>
      </c>
      <c r="V31" s="6" t="n">
        <f aca="false">Tau</f>
        <v>0.875667226253494</v>
      </c>
      <c r="W31" s="5" t="n">
        <f aca="false">Profit+Utility</f>
        <v>2042.32857033135</v>
      </c>
      <c r="X31" s="5" t="n">
        <f aca="false">(2*ij*BRIJ)+2*jj*BRJJ</f>
        <v>464.174143889042</v>
      </c>
      <c r="Y31" s="5" t="n">
        <f aca="false">2*(ij*BCCIJ)+(2*jj*BCCJJ)+BCS+jj*BCPTJJ+2*(ij*BCPTIJ)+BCPTII+BCk</f>
        <v>367.547443039368</v>
      </c>
      <c r="Z31" s="5" t="n">
        <f aca="false">ij*BUTIJ+BUTII</f>
        <v>1945.70186948168</v>
      </c>
      <c r="AA31" s="5" t="n">
        <f aca="false">Revenue-Cost</f>
        <v>96.626700849674</v>
      </c>
      <c r="AB31" s="5" t="n">
        <f aca="false">Size</f>
        <v>10</v>
      </c>
      <c r="AC31" s="6" t="n">
        <f aca="false">Welfare/(Size)</f>
        <v>204.232857033135</v>
      </c>
      <c r="AD31" s="6" t="n">
        <f aca="false">Profit/(Size)</f>
        <v>9.6626700849674</v>
      </c>
      <c r="AE31" s="6" t="n">
        <f aca="false">Utility/(Size)</f>
        <v>194.570186948168</v>
      </c>
      <c r="AF31" s="2" t="n">
        <v>308.660962030988</v>
      </c>
    </row>
    <row r="32" customFormat="false" ht="13" hidden="false" customHeight="false" outlineLevel="0" collapsed="false">
      <c r="A32" s="7" t="n">
        <f aca="false">C31</f>
        <v>0.309456540883556</v>
      </c>
      <c r="B32" s="2" t="n">
        <f aca="false">(I32+J32)*Beta*2</f>
        <v>525.830173232059</v>
      </c>
      <c r="C32" s="7" t="n">
        <f aca="false">(W32+B32*Theta-'W-Tax(All-Toll)-NONC'!$T$5)/B32</f>
        <v>0.305429864764763</v>
      </c>
      <c r="D32" s="2" t="n">
        <v>0.879393498388232</v>
      </c>
      <c r="E32" s="2" t="n">
        <v>0.879393498388232</v>
      </c>
      <c r="F32" s="2" t="n">
        <v>10</v>
      </c>
      <c r="G32" s="2" t="n">
        <v>0</v>
      </c>
      <c r="H32" s="2" t="n">
        <f aca="false">Size-a</f>
        <v>10</v>
      </c>
      <c r="I32" s="4" t="n">
        <f aca="false">(EXP(alpha*(Tau+OldTau+zeta-2*a*psi))*((EXP(alpha*a*psi)-EXP(alpha*b*psi))^2))/((EXP(alpha*a*psi)-EXP(alpha*(2*OldTau+b*psi)))*(alpha^2)*(psi^2))</f>
        <v>1.40449970828383</v>
      </c>
      <c r="J32" s="4" t="n">
        <f aca="false">(EXP(alpha*(zeta+(2*b-a)*psi))*(-1+EXP(alpha*(-1)*Size*psi))*(EXP(alpha*(2*(Tau+OldTau)+a*psi))-EXP(alpha*(2*(Tau+OldTau)+b*psi))))/(((EXP(alpha*a*psi)-EXP(alpha*(2*OldTau+b*psi)))^2)*(alpha^2)*(psi^2))</f>
        <v>0.0561396618052189</v>
      </c>
      <c r="K32" s="5" t="n">
        <f aca="false">-Beta/alpha</f>
        <v>180</v>
      </c>
      <c r="L32" s="5" t="n">
        <f aca="false">(-EXP(alpha*zeta)*Beta*(-1+EXP(alpha*Size*psi)-Size*alpha*psi))/((alpha^3)*(psi^2))</f>
        <v>1690.92462806846</v>
      </c>
      <c r="M32" s="5" t="n">
        <f aca="false">Beta*Theta</f>
        <v>55.70217735904</v>
      </c>
      <c r="N32" s="5" t="n">
        <f aca="false">Beta*Theta</f>
        <v>55.70217735904</v>
      </c>
      <c r="O32" s="5" t="n">
        <f aca="false">kappa</f>
        <v>90</v>
      </c>
      <c r="P32" s="5" t="n">
        <f aca="false">Gamma*Size</f>
        <v>0</v>
      </c>
      <c r="Q32" s="5" t="n">
        <f aca="false">Size*Beta*Phi</f>
        <v>32.4</v>
      </c>
      <c r="R32" s="5" t="n">
        <f aca="false">-(EXP(alpha*a*psi)+EXP(alpha*b*psi)*(-1+Size*psi*alpha))*(Beta*Phi)/((alpha*psi)*(EXP(alpha*a*psi)-EXP(alpha*b*psi)))</f>
        <v>12.2941718960407</v>
      </c>
      <c r="S32" s="5" t="n">
        <f aca="false">(EXP(alpha*(zeta-a*psi))*Beta*Phi*(-EXP(alpha*a*psi)*(-2+(-1)*Size*alpha*psi)+EXP(alpha*b*psi)*(-2+Size*alpha*psi)))/((alpha^3)*(psi^3))</f>
        <v>78.836375998096</v>
      </c>
      <c r="T32" s="5" t="n">
        <f aca="false">Tau*Beta</f>
        <v>158.290829709882</v>
      </c>
      <c r="U32" s="5" t="n">
        <f aca="false">Tau*Beta</f>
        <v>158.290829709882</v>
      </c>
      <c r="V32" s="6" t="n">
        <f aca="false">Tau</f>
        <v>0.879393498388232</v>
      </c>
      <c r="W32" s="5" t="n">
        <f aca="false">Profit+Utility</f>
        <v>2038.23500193184</v>
      </c>
      <c r="X32" s="5" t="n">
        <f aca="false">(2*ij*BRIJ)+2*jj*BRJJ</f>
        <v>462.411635596631</v>
      </c>
      <c r="Y32" s="5" t="n">
        <f aca="false">2*(ij*BCCIJ)+(2*jj*BCCJJ)+BCS+jj*BCPTJJ+2*(ij*BCPTIJ)+BCPTII+BCk</f>
        <v>367.91120922434</v>
      </c>
      <c r="Z32" s="5" t="n">
        <f aca="false">ij*BUTIJ+BUTII</f>
        <v>1943.73457555955</v>
      </c>
      <c r="AA32" s="5" t="n">
        <f aca="false">Revenue-Cost</f>
        <v>94.500426372291</v>
      </c>
      <c r="AB32" s="5" t="n">
        <f aca="false">Size</f>
        <v>10</v>
      </c>
      <c r="AC32" s="6" t="n">
        <f aca="false">Welfare/(Size)</f>
        <v>203.823500193184</v>
      </c>
      <c r="AD32" s="6" t="n">
        <f aca="false">Profit/(Size)</f>
        <v>9.4500426372291</v>
      </c>
      <c r="AE32" s="6" t="n">
        <f aca="false">Utility/(Size)</f>
        <v>194.373457555955</v>
      </c>
      <c r="AF32" s="2" t="n">
        <v>308.660962030988</v>
      </c>
    </row>
    <row r="33" customFormat="false" ht="13" hidden="false" customHeight="false" outlineLevel="0" collapsed="false">
      <c r="I33" s="2"/>
    </row>
    <row r="34" customFormat="false" ht="13" hidden="false" customHeight="false" outlineLevel="0" collapsed="false">
      <c r="A34" s="2" t="n">
        <v>0.08</v>
      </c>
      <c r="B34" s="2" t="n">
        <f aca="false">(I34+J34)*Beta*2</f>
        <v>1152.89794528053</v>
      </c>
      <c r="C34" s="7" t="n">
        <f aca="false">(W34+B34*Theta-'W-Tax(All-Toll)-NONC'!$T$8)/B34</f>
        <v>0.475841933659596</v>
      </c>
      <c r="D34" s="2" t="n">
        <v>0.700154768110318</v>
      </c>
      <c r="E34" s="2" t="n">
        <v>0.700154768110318</v>
      </c>
      <c r="F34" s="2" t="n">
        <v>100</v>
      </c>
      <c r="G34" s="2" t="n">
        <v>0</v>
      </c>
      <c r="H34" s="2" t="n">
        <f aca="false">Size-a</f>
        <v>100</v>
      </c>
      <c r="I34" s="4" t="n">
        <f aca="false">(EXP(alpha*(Tau+OldTau+zeta-2*a*psi))*((EXP(alpha*a*psi)-EXP(alpha*b*psi))^2))/((EXP(alpha*a*psi)-EXP(alpha*(2*OldTau+b*psi)))*(alpha^2)*(psi^2))</f>
        <v>3.20249405094186</v>
      </c>
      <c r="J34" s="4" t="n">
        <f aca="false">(EXP(alpha*(zeta+(2*b-a)*psi))*(-1+EXP(alpha*(-1)*Size*psi))*(EXP(alpha*(2*(Tau+OldTau)+a*psi))-EXP(alpha*(2*(Tau+OldTau)+b*psi))))/(((EXP(alpha*a*psi)-EXP(alpha*(2*OldTau+b*psi)))^2)*(alpha^2)*(psi^2))</f>
        <v>2.41504057282869E-007</v>
      </c>
      <c r="K34" s="5" t="n">
        <f aca="false">-Beta/alpha</f>
        <v>180</v>
      </c>
      <c r="L34" s="5" t="n">
        <f aca="false">(-EXP(alpha*zeta)*Beta*(-1+EXP(alpha*Size*psi)-Size*alpha*psi))/((alpha^3)*(psi^2))</f>
        <v>32736.7694155601</v>
      </c>
      <c r="M34" s="5" t="n">
        <f aca="false">Beta*Theta</f>
        <v>14.4</v>
      </c>
      <c r="N34" s="5" t="n">
        <f aca="false">Beta*Theta</f>
        <v>14.4</v>
      </c>
      <c r="O34" s="5" t="n">
        <f aca="false">kappa</f>
        <v>90</v>
      </c>
      <c r="P34" s="5" t="n">
        <f aca="false">Gamma*Size</f>
        <v>0</v>
      </c>
      <c r="Q34" s="5" t="n">
        <f aca="false">Size*Beta*Phi</f>
        <v>324</v>
      </c>
      <c r="R34" s="5" t="n">
        <f aca="false">-(EXP(alpha*a*psi)+EXP(alpha*b*psi)*(-1+Size*psi*alpha))*(Beta*Phi)/((alpha*psi)*(EXP(alpha*a*psi)-EXP(alpha*b*psi)))</f>
        <v>21.5999008876178</v>
      </c>
      <c r="S34" s="5" t="n">
        <f aca="false">(EXP(alpha*(zeta-a*psi))*Beta*Phi*(-EXP(alpha*a*psi)*(-2+(-1)*Size*alpha*psi)+EXP(alpha*b*psi)*(-2+Size*alpha*psi)))/((alpha^3)*(psi^3))</f>
        <v>3647.81282867692</v>
      </c>
      <c r="T34" s="5" t="n">
        <f aca="false">Tau*Beta</f>
        <v>126.027858259857</v>
      </c>
      <c r="U34" s="5" t="n">
        <f aca="false">Tau*Beta</f>
        <v>126.027858259857</v>
      </c>
      <c r="V34" s="6" t="n">
        <f aca="false">Tau</f>
        <v>0.700154768110318</v>
      </c>
      <c r="W34" s="5" t="n">
        <f aca="false">Profit+Utility</f>
        <v>30152.0334875286</v>
      </c>
      <c r="X34" s="5" t="n">
        <f aca="false">(2*ij*BRIJ)+2*jj*BRJJ</f>
        <v>807.206993532753</v>
      </c>
      <c r="Y34" s="5" t="n">
        <f aca="false">2*(ij*BCCIJ)+(2*jj*BCCJJ)+BCS+jj*BCPTJJ+2*(ij*BCPTIJ)+BCPTII+BCk</f>
        <v>3968.39185073374</v>
      </c>
      <c r="Z34" s="5" t="n">
        <f aca="false">ij*BUTIJ+BUTII</f>
        <v>33313.2183447296</v>
      </c>
      <c r="AA34" s="5" t="n">
        <f aca="false">Revenue-Cost</f>
        <v>-3161.18485720099</v>
      </c>
      <c r="AB34" s="5" t="n">
        <f aca="false">Size</f>
        <v>100</v>
      </c>
      <c r="AC34" s="6" t="n">
        <f aca="false">Welfare/(Size)</f>
        <v>301.520334875286</v>
      </c>
      <c r="AD34" s="6" t="n">
        <f aca="false">Profit/(Size)</f>
        <v>-31.6118485720099</v>
      </c>
      <c r="AE34" s="6" t="n">
        <f aca="false">Utility/(Size)</f>
        <v>333.132183447296</v>
      </c>
      <c r="AF34" s="2" t="n">
        <v>308.660962030988</v>
      </c>
    </row>
    <row r="35" customFormat="false" ht="13" hidden="false" customHeight="false" outlineLevel="0" collapsed="false">
      <c r="A35" s="7" t="n">
        <f aca="false">C34</f>
        <v>0.475841933659596</v>
      </c>
      <c r="B35" s="2" t="n">
        <f aca="false">(I35+J35)*Beta*2</f>
        <v>522.476912436481</v>
      </c>
      <c r="C35" s="7" t="n">
        <f aca="false">(W35+B35*Theta-'W-Tax(All-Toll)-NONC'!$T$8)/B35</f>
        <v>0.142403683752069</v>
      </c>
      <c r="D35" s="2" t="n">
        <v>1.09588133081476</v>
      </c>
      <c r="E35" s="2" t="n">
        <v>1.09588133081476</v>
      </c>
      <c r="F35" s="2" t="n">
        <v>100</v>
      </c>
      <c r="G35" s="2" t="n">
        <v>0</v>
      </c>
      <c r="H35" s="2" t="n">
        <f aca="false">Size-a</f>
        <v>100</v>
      </c>
      <c r="I35" s="4" t="n">
        <f aca="false">(EXP(alpha*(Tau+OldTau+zeta-2*a*psi))*((EXP(alpha*a*psi)-EXP(alpha*b*psi))^2))/((EXP(alpha*a*psi)-EXP(alpha*(2*OldTau+b*psi)))*(alpha^2)*(psi^2))</f>
        <v>1.45132470716854</v>
      </c>
      <c r="J35" s="4" t="n">
        <f aca="false">(EXP(alpha*(zeta+(2*b-a)*psi))*(-1+EXP(alpha*(-1)*Size*psi))*(EXP(alpha*(2*(Tau+OldTau)+a*psi))-EXP(alpha*(2*(Tau+OldTau)+b*psi))))/(((EXP(alpha*a*psi)-EXP(alpha*(2*OldTau+b*psi)))^2)*(alpha^2)*(psi^2))</f>
        <v>4.95994596741394E-008</v>
      </c>
      <c r="K35" s="5" t="n">
        <f aca="false">-Beta/alpha</f>
        <v>180</v>
      </c>
      <c r="L35" s="5" t="n">
        <f aca="false">(-EXP(alpha*zeta)*Beta*(-1+EXP(alpha*Size*psi)-Size*alpha*psi))/((alpha^3)*(psi^2))</f>
        <v>32736.7694155601</v>
      </c>
      <c r="M35" s="5" t="n">
        <f aca="false">Beta*Theta</f>
        <v>85.6515480587273</v>
      </c>
      <c r="N35" s="5" t="n">
        <f aca="false">Beta*Theta</f>
        <v>85.6515480587273</v>
      </c>
      <c r="O35" s="5" t="n">
        <f aca="false">kappa</f>
        <v>90</v>
      </c>
      <c r="P35" s="5" t="n">
        <f aca="false">Gamma*Size</f>
        <v>0</v>
      </c>
      <c r="Q35" s="5" t="n">
        <f aca="false">Size*Beta*Phi</f>
        <v>324</v>
      </c>
      <c r="R35" s="5" t="n">
        <f aca="false">-(EXP(alpha*a*psi)+EXP(alpha*b*psi)*(-1+Size*psi*alpha))*(Beta*Phi)/((alpha*psi)*(EXP(alpha*a*psi)-EXP(alpha*b*psi)))</f>
        <v>21.5999008876178</v>
      </c>
      <c r="S35" s="5" t="n">
        <f aca="false">(EXP(alpha*(zeta-a*psi))*Beta*Phi*(-EXP(alpha*a*psi)*(-2+(-1)*Size*alpha*psi)+EXP(alpha*b*psi)*(-2+Size*alpha*psi)))/((alpha^3)*(psi^3))</f>
        <v>3647.81282867692</v>
      </c>
      <c r="T35" s="5" t="n">
        <f aca="false">Tau*Beta</f>
        <v>197.258639546657</v>
      </c>
      <c r="U35" s="5" t="n">
        <f aca="false">Tau*Beta</f>
        <v>197.258639546657</v>
      </c>
      <c r="V35" s="6" t="n">
        <f aca="false">Tau</f>
        <v>1.09588133081476</v>
      </c>
      <c r="W35" s="5" t="n">
        <f aca="false">Profit+Utility</f>
        <v>29521.4543482567</v>
      </c>
      <c r="X35" s="5" t="n">
        <f aca="false">(2*ij*BRIJ)+2*jj*BRJJ</f>
        <v>572.572694120878</v>
      </c>
      <c r="Y35" s="5" t="n">
        <f aca="false">2*(ij*BCCIJ)+(2*jj*BCCJJ)+BCS+jj*BCPTJJ+2*(ij*BCPTIJ)+BCPTII+BCk</f>
        <v>4049.1262087146</v>
      </c>
      <c r="Z35" s="5" t="n">
        <f aca="false">ij*BUTIJ+BUTII</f>
        <v>32998.0078628504</v>
      </c>
      <c r="AA35" s="5" t="n">
        <f aca="false">Revenue-Cost</f>
        <v>-3476.55351459372</v>
      </c>
      <c r="AB35" s="5" t="n">
        <f aca="false">Size</f>
        <v>100</v>
      </c>
      <c r="AC35" s="6" t="n">
        <f aca="false">Welfare/(Size)</f>
        <v>295.214543482567</v>
      </c>
      <c r="AD35" s="6" t="n">
        <f aca="false">Profit/(Size)</f>
        <v>-34.7655351459372</v>
      </c>
      <c r="AE35" s="6" t="n">
        <f aca="false">Utility/(Size)</f>
        <v>329.980078628504</v>
      </c>
      <c r="AF35" s="2" t="n">
        <v>308.660962030988</v>
      </c>
    </row>
    <row r="36" customFormat="false" ht="13" hidden="false" customHeight="false" outlineLevel="0" collapsed="false">
      <c r="A36" s="7" t="n">
        <f aca="false">C35</f>
        <v>0.142403683752069</v>
      </c>
      <c r="B36" s="2" t="n">
        <f aca="false">(I36+J36)*Beta*2</f>
        <v>1017.93382080849</v>
      </c>
      <c r="C36" s="7" t="n">
        <f aca="false">(W36+B36*Theta-'W-Tax(All-Toll)-NONC'!$T$8)/B36</f>
        <v>0.457970155159944</v>
      </c>
      <c r="D36" s="2" t="n">
        <v>0.762406668307659</v>
      </c>
      <c r="E36" s="2" t="n">
        <v>0.762406668307659</v>
      </c>
      <c r="F36" s="2" t="n">
        <v>100</v>
      </c>
      <c r="G36" s="2" t="n">
        <v>0</v>
      </c>
      <c r="H36" s="2" t="n">
        <f aca="false">Size-a</f>
        <v>100</v>
      </c>
      <c r="I36" s="4" t="n">
        <f aca="false">(EXP(alpha*(Tau+OldTau+zeta-2*a*psi))*((EXP(alpha*a*psi)-EXP(alpha*b*psi))^2))/((EXP(alpha*a*psi)-EXP(alpha*(2*OldTau+b*psi)))*(alpha^2)*(psi^2))</f>
        <v>2.82759375841995</v>
      </c>
      <c r="J36" s="4" t="n">
        <f aca="false">(EXP(alpha*(zeta+(2*b-a)*psi))*(-1+EXP(alpha*(-1)*Size*psi))*(EXP(alpha*(2*(Tau+OldTau)+a*psi))-EXP(alpha*(2*(Tau+OldTau)+b*psi))))/(((EXP(alpha*a*psi)-EXP(alpha*(2*OldTau+b*psi)))^2)*(alpha^2)*(psi^2))</f>
        <v>1.88270292216469E-007</v>
      </c>
      <c r="K36" s="5" t="n">
        <f aca="false">-Beta/alpha</f>
        <v>180</v>
      </c>
      <c r="L36" s="5" t="n">
        <f aca="false">(-EXP(alpha*zeta)*Beta*(-1+EXP(alpha*Size*psi)-Size*alpha*psi))/((alpha^3)*(psi^2))</f>
        <v>32736.7694155601</v>
      </c>
      <c r="M36" s="5" t="n">
        <f aca="false">Beta*Theta</f>
        <v>25.6326630753724</v>
      </c>
      <c r="N36" s="5" t="n">
        <f aca="false">Beta*Theta</f>
        <v>25.6326630753724</v>
      </c>
      <c r="O36" s="5" t="n">
        <f aca="false">kappa</f>
        <v>90</v>
      </c>
      <c r="P36" s="5" t="n">
        <f aca="false">Gamma*Size</f>
        <v>0</v>
      </c>
      <c r="Q36" s="5" t="n">
        <f aca="false">Size*Beta*Phi</f>
        <v>324</v>
      </c>
      <c r="R36" s="5" t="n">
        <f aca="false">-(EXP(alpha*a*psi)+EXP(alpha*b*psi)*(-1+Size*psi*alpha))*(Beta*Phi)/((alpha*psi)*(EXP(alpha*a*psi)-EXP(alpha*b*psi)))</f>
        <v>21.5999008876178</v>
      </c>
      <c r="S36" s="5" t="n">
        <f aca="false">(EXP(alpha*(zeta-a*psi))*Beta*Phi*(-EXP(alpha*a*psi)*(-2+(-1)*Size*alpha*psi)+EXP(alpha*b*psi)*(-2+Size*alpha*psi)))/((alpha^3)*(psi^3))</f>
        <v>3647.81282867692</v>
      </c>
      <c r="T36" s="5" t="n">
        <f aca="false">Tau*Beta</f>
        <v>137.233200295379</v>
      </c>
      <c r="U36" s="5" t="n">
        <f aca="false">Tau*Beta</f>
        <v>137.233200295379</v>
      </c>
      <c r="V36" s="6" t="n">
        <f aca="false">Tau</f>
        <v>0.762406668307659</v>
      </c>
      <c r="W36" s="5" t="n">
        <f aca="false">Profit+Utility</f>
        <v>30016.8939195159</v>
      </c>
      <c r="X36" s="5" t="n">
        <f aca="false">(2*ij*BRIJ)+2*jj*BRJJ</f>
        <v>776.079532880284</v>
      </c>
      <c r="Y36" s="5" t="n">
        <f aca="false">2*(ij*BCCIJ)+(2*jj*BCCJJ)+BCS+jj*BCPTJJ+2*(ij*BCPTIJ)+BCPTII+BCk</f>
        <v>4004.92190544008</v>
      </c>
      <c r="Z36" s="5" t="n">
        <f aca="false">ij*BUTIJ+BUTII</f>
        <v>33245.7362920757</v>
      </c>
      <c r="AA36" s="5" t="n">
        <f aca="false">Revenue-Cost</f>
        <v>-3228.8423725598</v>
      </c>
      <c r="AB36" s="5" t="n">
        <f aca="false">Size</f>
        <v>100</v>
      </c>
      <c r="AC36" s="6" t="n">
        <f aca="false">Welfare/(Size)</f>
        <v>300.168939195159</v>
      </c>
      <c r="AD36" s="6" t="n">
        <f aca="false">Profit/(Size)</f>
        <v>-32.288423725598</v>
      </c>
      <c r="AE36" s="6" t="n">
        <f aca="false">Utility/(Size)</f>
        <v>332.457362920757</v>
      </c>
      <c r="AF36" s="2" t="n">
        <v>308.660962030988</v>
      </c>
    </row>
    <row r="37" customFormat="false" ht="13" hidden="false" customHeight="false" outlineLevel="0" collapsed="false">
      <c r="A37" s="7" t="n">
        <f aca="false">C36</f>
        <v>0.457970155159944</v>
      </c>
      <c r="B37" s="2" t="n">
        <f aca="false">(I37+J37)*Beta*2</f>
        <v>541.522244495936</v>
      </c>
      <c r="C37" s="7" t="n">
        <f aca="false">(W37+B37*Theta-'W-Tax(All-Toll)-NONC'!$T$8)/B37</f>
        <v>0.17140042264663</v>
      </c>
      <c r="D37" s="2" t="n">
        <v>1.07797965763022</v>
      </c>
      <c r="E37" s="2" t="n">
        <v>1.07797965763022</v>
      </c>
      <c r="F37" s="2" t="n">
        <v>100</v>
      </c>
      <c r="G37" s="2" t="n">
        <v>0</v>
      </c>
      <c r="H37" s="2" t="n">
        <f aca="false">Size-a</f>
        <v>100</v>
      </c>
      <c r="I37" s="4" t="n">
        <f aca="false">(EXP(alpha*(Tau+OldTau+zeta-2*a*psi))*((EXP(alpha*a*psi)-EXP(alpha*b*psi))^2))/((EXP(alpha*a*psi)-EXP(alpha*(2*OldTau+b*psi)))*(alpha^2)*(psi^2))</f>
        <v>1.50422840365179</v>
      </c>
      <c r="J37" s="4" t="n">
        <f aca="false">(EXP(alpha*(zeta+(2*b-a)*psi))*(-1+EXP(alpha*(-1)*Size*psi))*(EXP(alpha*(2*(Tau+OldTau)+a*psi))-EXP(alpha*(2*(Tau+OldTau)+b*psi))))/(((EXP(alpha*a*psi)-EXP(alpha*(2*OldTau+b*psi)))^2)*(alpha^2)*(psi^2))</f>
        <v>5.32813644651257E-008</v>
      </c>
      <c r="K37" s="5" t="n">
        <f aca="false">-Beta/alpha</f>
        <v>180</v>
      </c>
      <c r="L37" s="5" t="n">
        <f aca="false">(-EXP(alpha*zeta)*Beta*(-1+EXP(alpha*Size*psi)-Size*alpha*psi))/((alpha^3)*(psi^2))</f>
        <v>32736.7694155601</v>
      </c>
      <c r="M37" s="5" t="n">
        <f aca="false">Beta*Theta</f>
        <v>82.43462792879</v>
      </c>
      <c r="N37" s="5" t="n">
        <f aca="false">Beta*Theta</f>
        <v>82.43462792879</v>
      </c>
      <c r="O37" s="5" t="n">
        <f aca="false">kappa</f>
        <v>90</v>
      </c>
      <c r="P37" s="5" t="n">
        <f aca="false">Gamma*Size</f>
        <v>0</v>
      </c>
      <c r="Q37" s="5" t="n">
        <f aca="false">Size*Beta*Phi</f>
        <v>324</v>
      </c>
      <c r="R37" s="5" t="n">
        <f aca="false">-(EXP(alpha*a*psi)+EXP(alpha*b*psi)*(-1+Size*psi*alpha))*(Beta*Phi)/((alpha*psi)*(EXP(alpha*a*psi)-EXP(alpha*b*psi)))</f>
        <v>21.5999008876178</v>
      </c>
      <c r="S37" s="5" t="n">
        <f aca="false">(EXP(alpha*(zeta-a*psi))*Beta*Phi*(-EXP(alpha*a*psi)*(-2+(-1)*Size*alpha*psi)+EXP(alpha*b*psi)*(-2+Size*alpha*psi)))/((alpha^3)*(psi^3))</f>
        <v>3647.81282867692</v>
      </c>
      <c r="T37" s="5" t="n">
        <f aca="false">Tau*Beta</f>
        <v>194.03633837344</v>
      </c>
      <c r="U37" s="5" t="n">
        <f aca="false">Tau*Beta</f>
        <v>194.03633837344</v>
      </c>
      <c r="V37" s="6" t="n">
        <f aca="false">Tau</f>
        <v>1.07797965763022</v>
      </c>
      <c r="W37" s="5" t="n">
        <f aca="false">Profit+Utility</f>
        <v>29540.4842508014</v>
      </c>
      <c r="X37" s="5" t="n">
        <f aca="false">(2*ij*BRIJ)+2*jj*BRJJ</f>
        <v>583.74996372088</v>
      </c>
      <c r="Y37" s="5" t="n">
        <f aca="false">2*(ij*BCCIJ)+(2*jj*BCCJJ)+BCS+jj*BCPTJJ+2*(ij*BCPTIJ)+BCPTII+BCk</f>
        <v>4050.79624113689</v>
      </c>
      <c r="Z37" s="5" t="n">
        <f aca="false">ij*BUTIJ+BUTII</f>
        <v>33007.5305282174</v>
      </c>
      <c r="AA37" s="5" t="n">
        <f aca="false">Revenue-Cost</f>
        <v>-3467.04627741601</v>
      </c>
      <c r="AB37" s="5" t="n">
        <f aca="false">Size</f>
        <v>100</v>
      </c>
      <c r="AC37" s="6" t="n">
        <f aca="false">Welfare/(Size)</f>
        <v>295.404842508014</v>
      </c>
      <c r="AD37" s="6" t="n">
        <f aca="false">Profit/(Size)</f>
        <v>-34.6704627741601</v>
      </c>
      <c r="AE37" s="6" t="n">
        <f aca="false">Utility/(Size)</f>
        <v>330.075305282174</v>
      </c>
      <c r="AF37" s="2" t="n">
        <v>308.660962030988</v>
      </c>
    </row>
    <row r="38" customFormat="false" ht="13" hidden="false" customHeight="false" outlineLevel="0" collapsed="false">
      <c r="A38" s="7" t="n">
        <f aca="false">C37</f>
        <v>0.17140042264663</v>
      </c>
      <c r="B38" s="2" t="n">
        <f aca="false">(I38+J38)*Beta*2</f>
        <v>960.581248523033</v>
      </c>
      <c r="C38" s="7" t="n">
        <f aca="false">(W38+B38*Theta-'W-Tax(All-Toll)-NONC'!$T$8)/B38</f>
        <v>0.446100893588799</v>
      </c>
      <c r="D38" s="2" t="n">
        <v>0.79140247331434</v>
      </c>
      <c r="E38" s="2" t="n">
        <v>0.79140247331434</v>
      </c>
      <c r="F38" s="2" t="n">
        <v>100</v>
      </c>
      <c r="G38" s="2" t="n">
        <v>0</v>
      </c>
      <c r="H38" s="2" t="n">
        <f aca="false">Size-a</f>
        <v>100</v>
      </c>
      <c r="I38" s="4" t="n">
        <f aca="false">(EXP(alpha*(Tau+OldTau+zeta-2*a*psi))*((EXP(alpha*a*psi)-EXP(alpha*b*psi))^2))/((EXP(alpha*a*psi)-EXP(alpha*(2*OldTau+b*psi)))*(alpha^2)*(psi^2))</f>
        <v>2.66828107824447</v>
      </c>
      <c r="J38" s="4" t="n">
        <f aca="false">(EXP(alpha*(zeta+(2*b-a)*psi))*(-1+EXP(alpha*(-1)*Size*psi))*(EXP(alpha*(2*(Tau+OldTau)+a*psi))-EXP(alpha*(2*(Tau+OldTau)+b*psi))))/(((EXP(alpha*a*psi)-EXP(alpha*(2*OldTau+b*psi)))^2)*(alpha^2)*(psi^2))</f>
        <v>1.67652842430495E-007</v>
      </c>
      <c r="K38" s="5" t="n">
        <f aca="false">-Beta/alpha</f>
        <v>180</v>
      </c>
      <c r="L38" s="5" t="n">
        <f aca="false">(-EXP(alpha*zeta)*Beta*(-1+EXP(alpha*Size*psi)-Size*alpha*psi))/((alpha^3)*(psi^2))</f>
        <v>32736.7694155601</v>
      </c>
      <c r="M38" s="5" t="n">
        <f aca="false">Beta*Theta</f>
        <v>30.8520760763933</v>
      </c>
      <c r="N38" s="5" t="n">
        <f aca="false">Beta*Theta</f>
        <v>30.8520760763933</v>
      </c>
      <c r="O38" s="5" t="n">
        <f aca="false">kappa</f>
        <v>90</v>
      </c>
      <c r="P38" s="5" t="n">
        <f aca="false">Gamma*Size</f>
        <v>0</v>
      </c>
      <c r="Q38" s="5" t="n">
        <f aca="false">Size*Beta*Phi</f>
        <v>324</v>
      </c>
      <c r="R38" s="5" t="n">
        <f aca="false">-(EXP(alpha*a*psi)+EXP(alpha*b*psi)*(-1+Size*psi*alpha))*(Beta*Phi)/((alpha*psi)*(EXP(alpha*a*psi)-EXP(alpha*b*psi)))</f>
        <v>21.5999008876178</v>
      </c>
      <c r="S38" s="5" t="n">
        <f aca="false">(EXP(alpha*(zeta-a*psi))*Beta*Phi*(-EXP(alpha*a*psi)*(-2+(-1)*Size*alpha*psi)+EXP(alpha*b*psi)*(-2+Size*alpha*psi)))/((alpha^3)*(psi^3))</f>
        <v>3647.81282867692</v>
      </c>
      <c r="T38" s="5" t="n">
        <f aca="false">Tau*Beta</f>
        <v>142.452445196581</v>
      </c>
      <c r="U38" s="5" t="n">
        <f aca="false">Tau*Beta</f>
        <v>142.452445196581</v>
      </c>
      <c r="V38" s="6" t="n">
        <f aca="false">Tau</f>
        <v>0.79140247331434</v>
      </c>
      <c r="W38" s="5" t="n">
        <f aca="false">Profit+Utility</f>
        <v>29959.5402569041</v>
      </c>
      <c r="X38" s="5" t="n">
        <f aca="false">(2*ij*BRIJ)+2*jj*BRJJ</f>
        <v>760.206375900505</v>
      </c>
      <c r="Y38" s="5" t="n">
        <f aca="false">2*(ij*BCCIJ)+(2*jj*BCCJJ)+BCS+jj*BCPTJJ+2*(ij*BCPTIJ)+BCPTII+BCk</f>
        <v>4017.72612864049</v>
      </c>
      <c r="Z38" s="5" t="n">
        <f aca="false">ij*BUTIJ+BUTII</f>
        <v>33217.0600096441</v>
      </c>
      <c r="AA38" s="5" t="n">
        <f aca="false">Revenue-Cost</f>
        <v>-3257.51975273999</v>
      </c>
      <c r="AB38" s="5" t="n">
        <f aca="false">Size</f>
        <v>100</v>
      </c>
      <c r="AC38" s="6" t="n">
        <f aca="false">Welfare/(Size)</f>
        <v>299.595402569041</v>
      </c>
      <c r="AD38" s="6" t="n">
        <f aca="false">Profit/(Size)</f>
        <v>-32.5751975273999</v>
      </c>
      <c r="AE38" s="6" t="n">
        <f aca="false">Utility/(Size)</f>
        <v>332.170600096441</v>
      </c>
      <c r="AF38" s="2" t="n">
        <v>308.660962030988</v>
      </c>
    </row>
    <row r="39" customFormat="false" ht="13" hidden="false" customHeight="false" outlineLevel="0" collapsed="false">
      <c r="A39" s="7" t="n">
        <f aca="false">C38</f>
        <v>0.446100893588799</v>
      </c>
      <c r="B39" s="2" t="n">
        <f aca="false">(I39+J39)*Beta*2</f>
        <v>725.244195309969</v>
      </c>
      <c r="C39" s="7" t="n">
        <f aca="false">(W39+B39*Theta-'W-Tax(All-Toll)-NONC'!$T$8)/B39</f>
        <v>0.351260145833096</v>
      </c>
      <c r="D39" s="8" t="n">
        <f aca="false">AVERAGE(D35:D38)</f>
        <v>0.931917532516746</v>
      </c>
      <c r="E39" s="8" t="n">
        <f aca="false">AVERAGE(E35:E38)</f>
        <v>0.931917532516746</v>
      </c>
      <c r="F39" s="2" t="n">
        <v>100</v>
      </c>
      <c r="G39" s="2" t="n">
        <v>0</v>
      </c>
      <c r="H39" s="2" t="n">
        <f aca="false">Size-a</f>
        <v>100</v>
      </c>
      <c r="I39" s="4" t="n">
        <f aca="false">(EXP(alpha*(Tau+OldTau+zeta-2*a*psi))*((EXP(alpha*a*psi)-EXP(alpha*b*psi))^2))/((EXP(alpha*a*psi)-EXP(alpha*(2*OldTau+b*psi)))*(alpha^2)*(psi^2))</f>
        <v>2.01456711362663</v>
      </c>
      <c r="J39" s="4" t="n">
        <f aca="false">(EXP(alpha*(zeta+(2*b-a)*psi))*(-1+EXP(alpha*(-1)*Size*psi))*(EXP(alpha*(2*(Tau+OldTau)+a*psi))-EXP(alpha*(2*(Tau+OldTau)+b*psi))))/(((EXP(alpha*a*psi)-EXP(alpha*(2*OldTau+b*psi)))^2)*(alpha^2)*(psi^2))</f>
        <v>9.55677251213286E-008</v>
      </c>
      <c r="K39" s="5" t="n">
        <f aca="false">-Beta/alpha</f>
        <v>180</v>
      </c>
      <c r="L39" s="5" t="n">
        <f aca="false">(-EXP(alpha*zeta)*Beta*(-1+EXP(alpha*Size*psi)-Size*alpha*psi))/((alpha^3)*(psi^2))</f>
        <v>32736.7694155601</v>
      </c>
      <c r="M39" s="5" t="n">
        <f aca="false">Beta*Theta</f>
        <v>80.2981608459838</v>
      </c>
      <c r="N39" s="5" t="n">
        <f aca="false">Beta*Theta</f>
        <v>80.2981608459838</v>
      </c>
      <c r="O39" s="5" t="n">
        <f aca="false">kappa</f>
        <v>90</v>
      </c>
      <c r="P39" s="5" t="n">
        <f aca="false">Gamma*Size</f>
        <v>0</v>
      </c>
      <c r="Q39" s="5" t="n">
        <f aca="false">Size*Beta*Phi</f>
        <v>324</v>
      </c>
      <c r="R39" s="5" t="n">
        <f aca="false">-(EXP(alpha*a*psi)+EXP(alpha*b*psi)*(-1+Size*psi*alpha))*(Beta*Phi)/((alpha*psi)*(EXP(alpha*a*psi)-EXP(alpha*b*psi)))</f>
        <v>21.5999008876178</v>
      </c>
      <c r="S39" s="5" t="n">
        <f aca="false">(EXP(alpha*(zeta-a*psi))*Beta*Phi*(-EXP(alpha*a*psi)*(-2+(-1)*Size*alpha*psi)+EXP(alpha*b*psi)*(-2+Size*alpha*psi)))/((alpha^3)*(psi^3))</f>
        <v>3647.81282867692</v>
      </c>
      <c r="T39" s="5" t="n">
        <f aca="false">Tau*Beta</f>
        <v>167.745155853014</v>
      </c>
      <c r="U39" s="5" t="n">
        <f aca="false">Tau*Beta</f>
        <v>167.745155853014</v>
      </c>
      <c r="V39" s="6" t="n">
        <f aca="false">Tau</f>
        <v>0.931917532516746</v>
      </c>
      <c r="W39" s="5" t="n">
        <f aca="false">Profit+Utility</f>
        <v>29626.8854337679</v>
      </c>
      <c r="X39" s="5" t="n">
        <f aca="false">(2*ij*BRIJ)+2*jj*BRJJ</f>
        <v>675.867780965359</v>
      </c>
      <c r="Y39" s="5" t="n">
        <f aca="false">2*(ij*BCCIJ)+(2*jj*BCCJJ)+BCS+jj*BCPTJJ+2*(ij*BCPTIJ)+BCPTII+BCk</f>
        <v>4148.37384321031</v>
      </c>
      <c r="Z39" s="5" t="n">
        <f aca="false">ij*BUTIJ+BUTII</f>
        <v>33099.3914960129</v>
      </c>
      <c r="AA39" s="5" t="n">
        <f aca="false">Revenue-Cost</f>
        <v>-3472.50606224495</v>
      </c>
      <c r="AB39" s="5" t="n">
        <f aca="false">Size</f>
        <v>100</v>
      </c>
      <c r="AC39" s="6" t="n">
        <f aca="false">Welfare/(Size)</f>
        <v>296.268854337679</v>
      </c>
      <c r="AD39" s="6" t="n">
        <f aca="false">Profit/(Size)</f>
        <v>-34.7250606224495</v>
      </c>
      <c r="AE39" s="6" t="n">
        <f aca="false">Utility/(Size)</f>
        <v>330.993914960129</v>
      </c>
      <c r="AF39" s="2" t="n">
        <v>308.660962030988</v>
      </c>
    </row>
    <row r="40" customFormat="false" ht="13" hidden="false" customHeight="false" outlineLevel="0" collapsed="false">
      <c r="A40" s="7" t="n">
        <f aca="false">C39</f>
        <v>0.351260145833096</v>
      </c>
      <c r="B40" s="2" t="n">
        <f aca="false">(I40+J40)*Beta*2</f>
        <v>670.33262705699</v>
      </c>
      <c r="C40" s="7" t="n">
        <f aca="false">(W40+B40*Theta-'W-Tax(All-Toll)-NONC'!$T$8)/B40</f>
        <v>0.311933221133927</v>
      </c>
      <c r="D40" s="2" t="n">
        <v>0.971284714812969</v>
      </c>
      <c r="E40" s="2" t="n">
        <v>0.971284714812969</v>
      </c>
      <c r="F40" s="2" t="n">
        <v>100</v>
      </c>
      <c r="G40" s="2" t="n">
        <v>0</v>
      </c>
      <c r="H40" s="2" t="n">
        <f aca="false">Size-a</f>
        <v>100</v>
      </c>
      <c r="I40" s="4" t="n">
        <f aca="false">(EXP(alpha*(Tau+OldTau+zeta-2*a*psi))*((EXP(alpha*a*psi)-EXP(alpha*b*psi))^2))/((EXP(alpha*a*psi)-EXP(alpha*(2*OldTau+b*psi)))*(alpha^2)*(psi^2))</f>
        <v>1.86203499351446</v>
      </c>
      <c r="J40" s="4" t="n">
        <f aca="false">(EXP(alpha*(zeta+(2*b-a)*psi))*(-1+EXP(alpha*(-1)*Size*psi))*(EXP(alpha*(2*(Tau+OldTau)+a*psi))-EXP(alpha*(2*(Tau+OldTau)+b*psi))))/(((EXP(alpha*a*psi)-EXP(alpha*(2*OldTau+b*psi)))^2)*(alpha^2)*(psi^2))</f>
        <v>8.16438441436225E-008</v>
      </c>
      <c r="K40" s="5" t="n">
        <f aca="false">-Beta/alpha</f>
        <v>180</v>
      </c>
      <c r="L40" s="5" t="n">
        <f aca="false">(-EXP(alpha*zeta)*Beta*(-1+EXP(alpha*Size*psi)-Size*alpha*psi))/((alpha^3)*(psi^2))</f>
        <v>32736.7694155601</v>
      </c>
      <c r="M40" s="5" t="n">
        <f aca="false">Beta*Theta</f>
        <v>63.2268262499573</v>
      </c>
      <c r="N40" s="5" t="n">
        <f aca="false">Beta*Theta</f>
        <v>63.2268262499573</v>
      </c>
      <c r="O40" s="5" t="n">
        <f aca="false">kappa</f>
        <v>90</v>
      </c>
      <c r="P40" s="5" t="n">
        <f aca="false">Gamma*Size</f>
        <v>0</v>
      </c>
      <c r="Q40" s="5" t="n">
        <f aca="false">Size*Beta*Phi</f>
        <v>324</v>
      </c>
      <c r="R40" s="5" t="n">
        <f aca="false">-(EXP(alpha*a*psi)+EXP(alpha*b*psi)*(-1+Size*psi*alpha))*(Beta*Phi)/((alpha*psi)*(EXP(alpha*a*psi)-EXP(alpha*b*psi)))</f>
        <v>21.5999008876178</v>
      </c>
      <c r="S40" s="5" t="n">
        <f aca="false">(EXP(alpha*(zeta-a*psi))*Beta*Phi*(-EXP(alpha*a*psi)*(-2+(-1)*Size*alpha*psi)+EXP(alpha*b*psi)*(-2+Size*alpha*psi)))/((alpha^3)*(psi^3))</f>
        <v>3647.81282867692</v>
      </c>
      <c r="T40" s="5" t="n">
        <f aca="false">Tau*Beta</f>
        <v>174.831248666334</v>
      </c>
      <c r="U40" s="5" t="n">
        <f aca="false">Tau*Beta</f>
        <v>174.831248666334</v>
      </c>
      <c r="V40" s="6" t="n">
        <f aca="false">Tau</f>
        <v>0.971284714812969</v>
      </c>
      <c r="W40" s="5" t="n">
        <f aca="false">Profit+Utility</f>
        <v>29669.3060148089</v>
      </c>
      <c r="X40" s="5" t="n">
        <f aca="false">(2*ij*BRIJ)+2*jj*BRJJ</f>
        <v>651.083834500877</v>
      </c>
      <c r="Y40" s="5" t="n">
        <f aca="false">2*(ij*BCCIJ)+(2*jj*BCCJJ)+BCS+jj*BCPTJJ+2*(ij*BCPTIJ)+BCPTII+BCk</f>
        <v>4053.71353408463</v>
      </c>
      <c r="Z40" s="5" t="n">
        <f aca="false">ij*BUTIJ+BUTII</f>
        <v>33071.9357143927</v>
      </c>
      <c r="AA40" s="5" t="n">
        <f aca="false">Revenue-Cost</f>
        <v>-3402.62969958375</v>
      </c>
      <c r="AB40" s="5" t="n">
        <f aca="false">Size</f>
        <v>100</v>
      </c>
      <c r="AC40" s="6" t="n">
        <f aca="false">Welfare/(Size)</f>
        <v>296.693060148089</v>
      </c>
      <c r="AD40" s="6" t="n">
        <f aca="false">Profit/(Size)</f>
        <v>-34.0262969958375</v>
      </c>
      <c r="AE40" s="6" t="n">
        <f aca="false">Utility/(Size)</f>
        <v>330.719357143927</v>
      </c>
      <c r="AF40" s="2" t="n">
        <v>308.660962030988</v>
      </c>
    </row>
    <row r="41" customFormat="false" ht="13" hidden="false" customHeight="false" outlineLevel="0" collapsed="false">
      <c r="A41" s="7" t="n">
        <f aca="false">C40</f>
        <v>0.311933221133927</v>
      </c>
      <c r="B41" s="2" t="n">
        <f aca="false">(I41+J41)*Beta*2</f>
        <v>725.215350514493</v>
      </c>
      <c r="C41" s="7" t="n">
        <f aca="false">(W41+B41*Theta-'W-Tax(All-Toll)-NONC'!$T$8)/B41</f>
        <v>0.351241823180855</v>
      </c>
      <c r="D41" s="2" t="n">
        <v>0.931937419174617</v>
      </c>
      <c r="E41" s="2" t="n">
        <v>0.931937419174617</v>
      </c>
      <c r="F41" s="2" t="n">
        <v>100</v>
      </c>
      <c r="G41" s="2" t="n">
        <v>0</v>
      </c>
      <c r="H41" s="2" t="n">
        <f aca="false">Size-a</f>
        <v>100</v>
      </c>
      <c r="I41" s="4" t="n">
        <f aca="false">(EXP(alpha*(Tau+OldTau+zeta-2*a*psi))*((EXP(alpha*a*psi)-EXP(alpha*b*psi))^2))/((EXP(alpha*a*psi)-EXP(alpha*(2*OldTau+b*psi)))*(alpha^2)*(psi^2))</f>
        <v>2.01448698920236</v>
      </c>
      <c r="J41" s="4" t="n">
        <f aca="false">(EXP(alpha*(zeta+(2*b-a)*psi))*(-1+EXP(alpha*(-1)*Size*psi))*(EXP(alpha*(2*(Tau+OldTau)+a*psi))-EXP(alpha*(2*(Tau+OldTau)+b*psi))))/(((EXP(alpha*a*psi)-EXP(alpha*(2*OldTau+b*psi)))^2)*(alpha^2)*(psi^2))</f>
        <v>9.55601233327084E-008</v>
      </c>
      <c r="K41" s="5" t="n">
        <f aca="false">-Beta/alpha</f>
        <v>180</v>
      </c>
      <c r="L41" s="5" t="n">
        <f aca="false">(-EXP(alpha*zeta)*Beta*(-1+EXP(alpha*Size*psi)-Size*alpha*psi))/((alpha^3)*(psi^2))</f>
        <v>32736.7694155601</v>
      </c>
      <c r="M41" s="5" t="n">
        <f aca="false">Beta*Theta</f>
        <v>56.1479798041068</v>
      </c>
      <c r="N41" s="5" t="n">
        <f aca="false">Beta*Theta</f>
        <v>56.1479798041068</v>
      </c>
      <c r="O41" s="5" t="n">
        <f aca="false">kappa</f>
        <v>90</v>
      </c>
      <c r="P41" s="5" t="n">
        <f aca="false">Gamma*Size</f>
        <v>0</v>
      </c>
      <c r="Q41" s="5" t="n">
        <f aca="false">Size*Beta*Phi</f>
        <v>324</v>
      </c>
      <c r="R41" s="5" t="n">
        <f aca="false">-(EXP(alpha*a*psi)+EXP(alpha*b*psi)*(-1+Size*psi*alpha))*(Beta*Phi)/((alpha*psi)*(EXP(alpha*a*psi)-EXP(alpha*b*psi)))</f>
        <v>21.5999008876178</v>
      </c>
      <c r="S41" s="5" t="n">
        <f aca="false">(EXP(alpha*(zeta-a*psi))*Beta*Phi*(-EXP(alpha*a*psi)*(-2+(-1)*Size*alpha*psi)+EXP(alpha*b*psi)*(-2+Size*alpha*psi)))/((alpha^3)*(psi^3))</f>
        <v>3647.81282867692</v>
      </c>
      <c r="T41" s="5" t="n">
        <f aca="false">Tau*Beta</f>
        <v>167.748735451431</v>
      </c>
      <c r="U41" s="5" t="n">
        <f aca="false">Tau*Beta</f>
        <v>167.748735451431</v>
      </c>
      <c r="V41" s="6" t="n">
        <f aca="false">Tau</f>
        <v>0.931937419174617</v>
      </c>
      <c r="W41" s="5" t="n">
        <f aca="false">Profit+Utility</f>
        <v>29724.1753371683</v>
      </c>
      <c r="X41" s="5" t="n">
        <f aca="false">(2*ij*BRIJ)+2*jj*BRJJ</f>
        <v>675.855322104292</v>
      </c>
      <c r="Y41" s="5" t="n">
        <f aca="false">2*(ij*BCCIJ)+(2*jj*BCCJJ)+BCS+jj*BCPTJJ+2*(ij*BCPTIJ)+BCPTII+BCk</f>
        <v>4051.05705855249</v>
      </c>
      <c r="Z41" s="5" t="n">
        <f aca="false">ij*BUTIJ+BUTII</f>
        <v>33099.3770736165</v>
      </c>
      <c r="AA41" s="5" t="n">
        <f aca="false">Revenue-Cost</f>
        <v>-3375.2017364482</v>
      </c>
      <c r="AB41" s="5" t="n">
        <f aca="false">Size</f>
        <v>100</v>
      </c>
      <c r="AC41" s="6" t="n">
        <f aca="false">Welfare/(Size)</f>
        <v>297.241753371683</v>
      </c>
      <c r="AD41" s="6" t="n">
        <f aca="false">Profit/(Size)</f>
        <v>-33.752017364482</v>
      </c>
      <c r="AE41" s="6" t="n">
        <f aca="false">Utility/(Size)</f>
        <v>330.993770736165</v>
      </c>
      <c r="AF41" s="2" t="n">
        <v>308.660962030988</v>
      </c>
    </row>
    <row r="42" customFormat="false" ht="13" hidden="false" customHeight="false" outlineLevel="0" collapsed="false">
      <c r="A42" s="7" t="n">
        <f aca="false">C41</f>
        <v>0.351241823180855</v>
      </c>
      <c r="B42" s="2" t="n">
        <f aca="false">(I42+J42)*Beta*2</f>
        <v>670.357192957983</v>
      </c>
      <c r="C42" s="7" t="n">
        <f aca="false">(W42+B42*Theta-'W-Tax(All-Toll)-NONC'!$T$8)/B42</f>
        <v>0.311952985883689</v>
      </c>
      <c r="D42" s="2" t="n">
        <v>0.971266391485324</v>
      </c>
      <c r="E42" s="2" t="n">
        <v>0.971266391485324</v>
      </c>
      <c r="F42" s="2" t="n">
        <v>100</v>
      </c>
      <c r="G42" s="2" t="n">
        <v>0</v>
      </c>
      <c r="H42" s="2" t="n">
        <f aca="false">Size-a</f>
        <v>100</v>
      </c>
      <c r="I42" s="4" t="n">
        <f aca="false">(EXP(alpha*(Tau+OldTau+zeta-2*a*psi))*((EXP(alpha*a*psi)-EXP(alpha*b*psi))^2))/((EXP(alpha*a*psi)-EXP(alpha*(2*OldTau+b*psi)))*(alpha^2)*(psi^2))</f>
        <v>1.86210323212235</v>
      </c>
      <c r="J42" s="4" t="n">
        <f aca="false">(EXP(alpha*(zeta+(2*b-a)*psi))*(-1+EXP(alpha*(-1)*Size*psi))*(EXP(alpha*(2*(Tau+OldTau)+a*psi))-EXP(alpha*(2*(Tau+OldTau)+b*psi))))/(((EXP(alpha*a*psi)-EXP(alpha*(2*OldTau+b*psi)))^2)*(alpha^2)*(psi^2))</f>
        <v>8.16498283108076E-008</v>
      </c>
      <c r="K42" s="5" t="n">
        <f aca="false">-Beta/alpha</f>
        <v>180</v>
      </c>
      <c r="L42" s="5" t="n">
        <f aca="false">(-EXP(alpha*zeta)*Beta*(-1+EXP(alpha*Size*psi)-Size*alpha*psi))/((alpha^3)*(psi^2))</f>
        <v>32736.7694155601</v>
      </c>
      <c r="M42" s="5" t="n">
        <f aca="false">Beta*Theta</f>
        <v>63.2235281725538</v>
      </c>
      <c r="N42" s="5" t="n">
        <f aca="false">Beta*Theta</f>
        <v>63.2235281725538</v>
      </c>
      <c r="O42" s="5" t="n">
        <f aca="false">kappa</f>
        <v>90</v>
      </c>
      <c r="P42" s="5" t="n">
        <f aca="false">Gamma*Size</f>
        <v>0</v>
      </c>
      <c r="Q42" s="5" t="n">
        <f aca="false">Size*Beta*Phi</f>
        <v>324</v>
      </c>
      <c r="R42" s="5" t="n">
        <f aca="false">-(EXP(alpha*a*psi)+EXP(alpha*b*psi)*(-1+Size*psi*alpha))*(Beta*Phi)/((alpha*psi)*(EXP(alpha*a*psi)-EXP(alpha*b*psi)))</f>
        <v>21.5999008876178</v>
      </c>
      <c r="S42" s="5" t="n">
        <f aca="false">(EXP(alpha*(zeta-a*psi))*Beta*Phi*(-EXP(alpha*a*psi)*(-2+(-1)*Size*alpha*psi)+EXP(alpha*b*psi)*(-2+Size*alpha*psi)))/((alpha^3)*(psi^3))</f>
        <v>3647.81282867692</v>
      </c>
      <c r="T42" s="5" t="n">
        <f aca="false">Tau*Beta</f>
        <v>174.827950467358</v>
      </c>
      <c r="U42" s="5" t="n">
        <f aca="false">Tau*Beta</f>
        <v>174.827950467358</v>
      </c>
      <c r="V42" s="6" t="n">
        <f aca="false">Tau</f>
        <v>0.971266391485324</v>
      </c>
      <c r="W42" s="5" t="n">
        <f aca="false">Profit+Utility</f>
        <v>29669.3305808715</v>
      </c>
      <c r="X42" s="5" t="n">
        <f aca="false">(2*ij*BRIJ)+2*jj*BRJJ</f>
        <v>651.095411810532</v>
      </c>
      <c r="Y42" s="5" t="n">
        <f aca="false">2*(ij*BCCIJ)+(2*jj*BCCJJ)+BCS+jj*BCPTJJ+2*(ij*BCPTIJ)+BCPTII+BCk</f>
        <v>4053.71282828114</v>
      </c>
      <c r="Z42" s="5" t="n">
        <f aca="false">ij*BUTIJ+BUTII</f>
        <v>33071.9479973421</v>
      </c>
      <c r="AA42" s="5" t="n">
        <f aca="false">Revenue-Cost</f>
        <v>-3402.61741647061</v>
      </c>
      <c r="AB42" s="5" t="n">
        <f aca="false">Size</f>
        <v>100</v>
      </c>
      <c r="AC42" s="6" t="n">
        <f aca="false">Welfare/(Size)</f>
        <v>296.693305808715</v>
      </c>
      <c r="AD42" s="6" t="n">
        <f aca="false">Profit/(Size)</f>
        <v>-34.0261741647061</v>
      </c>
      <c r="AE42" s="6" t="n">
        <f aca="false">Utility/(Size)</f>
        <v>330.719479973421</v>
      </c>
      <c r="AF42" s="2" t="n">
        <v>308.660962030988</v>
      </c>
    </row>
    <row r="43" customFormat="false" ht="13" hidden="false" customHeight="false" outlineLevel="0" collapsed="false">
      <c r="A43" s="7" t="n">
        <f aca="false">C42</f>
        <v>0.311952985883689</v>
      </c>
      <c r="B43" s="2" t="n">
        <f aca="false">(I43+J43)*Beta*2</f>
        <v>697.247507425584</v>
      </c>
      <c r="C43" s="7" t="n">
        <f aca="false">(W43+B43*Theta-'W-Tax(All-Toll)-NONC'!$T$8)/B43</f>
        <v>0.332370684648056</v>
      </c>
      <c r="D43" s="8" t="n">
        <f aca="false">AVERAGE(D39:D42)</f>
        <v>0.951601514497414</v>
      </c>
      <c r="E43" s="8" t="n">
        <f aca="false">AVERAGE(E39:E42)</f>
        <v>0.951601514497414</v>
      </c>
      <c r="F43" s="2" t="n">
        <v>100</v>
      </c>
      <c r="G43" s="2" t="n">
        <v>0</v>
      </c>
      <c r="H43" s="2" t="n">
        <f aca="false">Size-a</f>
        <v>100</v>
      </c>
      <c r="I43" s="4" t="n">
        <f aca="false">(EXP(alpha*(Tau+OldTau+zeta-2*a*psi))*((EXP(alpha*a*psi)-EXP(alpha*b*psi))^2))/((EXP(alpha*a*psi)-EXP(alpha*(2*OldTau+b*psi)))*(alpha^2)*(psi^2))</f>
        <v>1.93679854340602</v>
      </c>
      <c r="J43" s="4" t="n">
        <f aca="false">(EXP(alpha*(zeta+(2*b-a)*psi))*(-1+EXP(alpha*(-1)*Size*psi))*(EXP(alpha*(2*(Tau+OldTau)+a*psi))-EXP(alpha*(2*(Tau+OldTau)+b*psi))))/(((EXP(alpha*a*psi)-EXP(alpha*(2*OldTau+b*psi)))^2)*(alpha^2)*(psi^2))</f>
        <v>8.83317160372229E-008</v>
      </c>
      <c r="K43" s="5" t="n">
        <f aca="false">-Beta/alpha</f>
        <v>180</v>
      </c>
      <c r="L43" s="5" t="n">
        <f aca="false">(-EXP(alpha*zeta)*Beta*(-1+EXP(alpha*Size*psi)-Size*alpha*psi))/((alpha^3)*(psi^2))</f>
        <v>32736.7694155601</v>
      </c>
      <c r="M43" s="5" t="n">
        <f aca="false">Beta*Theta</f>
        <v>56.1515374590641</v>
      </c>
      <c r="N43" s="5" t="n">
        <f aca="false">Beta*Theta</f>
        <v>56.1515374590641</v>
      </c>
      <c r="O43" s="5" t="n">
        <f aca="false">kappa</f>
        <v>90</v>
      </c>
      <c r="P43" s="5" t="n">
        <f aca="false">Gamma*Size</f>
        <v>0</v>
      </c>
      <c r="Q43" s="5" t="n">
        <f aca="false">Size*Beta*Phi</f>
        <v>324</v>
      </c>
      <c r="R43" s="5" t="n">
        <f aca="false">-(EXP(alpha*a*psi)+EXP(alpha*b*psi)*(-1+Size*psi*alpha))*(Beta*Phi)/((alpha*psi)*(EXP(alpha*a*psi)-EXP(alpha*b*psi)))</f>
        <v>21.5999008876178</v>
      </c>
      <c r="S43" s="5" t="n">
        <f aca="false">(EXP(alpha*(zeta-a*psi))*Beta*Phi*(-EXP(alpha*a*psi)*(-2+(-1)*Size*alpha*psi)+EXP(alpha*b*psi)*(-2+Size*alpha*psi)))/((alpha^3)*(psi^3))</f>
        <v>3647.81282867692</v>
      </c>
      <c r="T43" s="5" t="n">
        <f aca="false">Tau*Beta</f>
        <v>171.288272609535</v>
      </c>
      <c r="U43" s="5" t="n">
        <f aca="false">Tau*Beta</f>
        <v>171.288272609535</v>
      </c>
      <c r="V43" s="6" t="n">
        <f aca="false">Tau</f>
        <v>0.951601514497414</v>
      </c>
      <c r="W43" s="5" t="n">
        <f aca="false">Profit+Utility</f>
        <v>29709.9043251274</v>
      </c>
      <c r="X43" s="5" t="n">
        <f aca="false">(2*ij*BRIJ)+2*jj*BRJJ</f>
        <v>663.501784045733</v>
      </c>
      <c r="Y43" s="5" t="n">
        <f aca="false">2*(ij*BCCIJ)+(2*jj*BCCJJ)+BCS+jj*BCPTJJ+2*(ij*BCPTIJ)+BCPTII+BCk</f>
        <v>4038.99061229148</v>
      </c>
      <c r="Z43" s="5" t="n">
        <f aca="false">ij*BUTIJ+BUTII</f>
        <v>33085.3931533732</v>
      </c>
      <c r="AA43" s="5" t="n">
        <f aca="false">Revenue-Cost</f>
        <v>-3375.48882824574</v>
      </c>
      <c r="AB43" s="5" t="n">
        <f aca="false">Size</f>
        <v>100</v>
      </c>
      <c r="AC43" s="6" t="n">
        <f aca="false">Welfare/(Size)</f>
        <v>297.099043251274</v>
      </c>
      <c r="AD43" s="6" t="n">
        <f aca="false">Profit/(Size)</f>
        <v>-33.7548882824574</v>
      </c>
      <c r="AE43" s="6" t="n">
        <f aca="false">Utility/(Size)</f>
        <v>330.853931533732</v>
      </c>
      <c r="AF43" s="2" t="n">
        <v>308.660962030988</v>
      </c>
    </row>
    <row r="44" customFormat="false" ht="13" hidden="false" customHeight="false" outlineLevel="0" collapsed="false">
      <c r="A44" s="7" t="n">
        <f aca="false">C43</f>
        <v>0.332370684648056</v>
      </c>
      <c r="B44" s="2" t="n">
        <f aca="false">(I44+J44)*Beta*2</f>
        <v>696.171825518272</v>
      </c>
      <c r="C44" s="7" t="n">
        <f aca="false">(W44+B44*Theta-'W-Tax(All-Toll)-NONC'!$T$8)/B44</f>
        <v>0.331598706870171</v>
      </c>
      <c r="D44" s="2" t="n">
        <v>0.952373487440175</v>
      </c>
      <c r="E44" s="2" t="n">
        <v>0.952373487440175</v>
      </c>
      <c r="F44" s="2" t="n">
        <v>100</v>
      </c>
      <c r="G44" s="2" t="n">
        <v>0</v>
      </c>
      <c r="H44" s="2" t="n">
        <f aca="false">Size-a</f>
        <v>100</v>
      </c>
      <c r="I44" s="4" t="n">
        <f aca="false">(EXP(alpha*(Tau+OldTau+zeta-2*a*psi))*((EXP(alpha*a*psi)-EXP(alpha*b*psi))^2))/((EXP(alpha*a*psi)-EXP(alpha*(2*OldTau+b*psi)))*(alpha^2)*(psi^2))</f>
        <v>1.93381053838027</v>
      </c>
      <c r="J44" s="4" t="n">
        <f aca="false">(EXP(alpha*(zeta+(2*b-a)*psi))*(-1+EXP(alpha*(-1)*Size*psi))*(EXP(alpha*(2*(Tau+OldTau)+a*psi))-EXP(alpha*(2*(Tau+OldTau)+b*psi))))/(((EXP(alpha*a*psi)-EXP(alpha*(2*OldTau+b*psi)))^2)*(alpha^2)*(psi^2))</f>
        <v>8.80593779374242E-008</v>
      </c>
      <c r="K44" s="5" t="n">
        <f aca="false">-Beta/alpha</f>
        <v>180</v>
      </c>
      <c r="L44" s="5" t="n">
        <f aca="false">(-EXP(alpha*zeta)*Beta*(-1+EXP(alpha*Size*psi)-Size*alpha*psi))/((alpha^3)*(psi^2))</f>
        <v>32736.7694155601</v>
      </c>
      <c r="M44" s="5" t="n">
        <f aca="false">Beta*Theta</f>
        <v>59.82672323665</v>
      </c>
      <c r="N44" s="5" t="n">
        <f aca="false">Beta*Theta</f>
        <v>59.82672323665</v>
      </c>
      <c r="O44" s="5" t="n">
        <f aca="false">kappa</f>
        <v>90</v>
      </c>
      <c r="P44" s="5" t="n">
        <f aca="false">Gamma*Size</f>
        <v>0</v>
      </c>
      <c r="Q44" s="5" t="n">
        <f aca="false">Size*Beta*Phi</f>
        <v>324</v>
      </c>
      <c r="R44" s="5" t="n">
        <f aca="false">-(EXP(alpha*a*psi)+EXP(alpha*b*psi)*(-1+Size*psi*alpha))*(Beta*Phi)/((alpha*psi)*(EXP(alpha*a*psi)-EXP(alpha*b*psi)))</f>
        <v>21.5999008876178</v>
      </c>
      <c r="S44" s="5" t="n">
        <f aca="false">(EXP(alpha*(zeta-a*psi))*Beta*Phi*(-EXP(alpha*a*psi)*(-2+(-1)*Size*alpha*psi)+EXP(alpha*b*psi)*(-2+Size*alpha*psi)))/((alpha^3)*(psi^3))</f>
        <v>3647.81282867692</v>
      </c>
      <c r="T44" s="5" t="n">
        <f aca="false">Tau*Beta</f>
        <v>171.427227739231</v>
      </c>
      <c r="U44" s="5" t="n">
        <f aca="false">Tau*Beta</f>
        <v>171.427227739231</v>
      </c>
      <c r="V44" s="6" t="n">
        <f aca="false">Tau</f>
        <v>0.952373487440175</v>
      </c>
      <c r="W44" s="5" t="n">
        <f aca="false">Profit+Utility</f>
        <v>29695.1307063777</v>
      </c>
      <c r="X44" s="5" t="n">
        <f aca="false">(2*ij*BRIJ)+2*jj*BRJJ</f>
        <v>663.015589326429</v>
      </c>
      <c r="Y44" s="5" t="n">
        <f aca="false">2*(ij*BCCIJ)+(2*jj*BCCJJ)+BCS+jj*BCPTJJ+2*(ij*BCPTIJ)+BCPTII+BCk</f>
        <v>4052.74019541725</v>
      </c>
      <c r="Z44" s="5" t="n">
        <f aca="false">ij*BUTIJ+BUTII</f>
        <v>33084.8553124685</v>
      </c>
      <c r="AA44" s="5" t="n">
        <f aca="false">Revenue-Cost</f>
        <v>-3389.72460609082</v>
      </c>
      <c r="AB44" s="5" t="n">
        <f aca="false">Size</f>
        <v>100</v>
      </c>
      <c r="AC44" s="6" t="n">
        <f aca="false">Welfare/(Size)</f>
        <v>296.951307063777</v>
      </c>
      <c r="AD44" s="6" t="n">
        <f aca="false">Profit/(Size)</f>
        <v>-33.8972460609082</v>
      </c>
      <c r="AE44" s="6" t="n">
        <f aca="false">Utility/(Size)</f>
        <v>330.848553124685</v>
      </c>
      <c r="AF44" s="2" t="n">
        <v>308.660962030988</v>
      </c>
    </row>
    <row r="46" customFormat="false" ht="13" hidden="false" customHeight="false" outlineLevel="0" collapsed="false">
      <c r="A46" s="2" t="n">
        <v>0.08</v>
      </c>
      <c r="B46" s="2" t="n">
        <f aca="false">(I46+J46)*Beta*2</f>
        <v>1153.2532496872</v>
      </c>
      <c r="C46" s="7" t="n">
        <f aca="false">(W46+B46*Theta-'W-Tax(All-Toll)-NONC'!$T$11)/B46</f>
        <v>0.476272033649382</v>
      </c>
      <c r="D46" s="2" t="n">
        <v>0.700000930468249</v>
      </c>
      <c r="E46" s="2" t="n">
        <v>0.700000930468249</v>
      </c>
      <c r="F46" s="2" t="n">
        <v>1000</v>
      </c>
      <c r="G46" s="2" t="n">
        <v>0</v>
      </c>
      <c r="H46" s="2" t="n">
        <f aca="false">Size-a</f>
        <v>1000</v>
      </c>
      <c r="I46" s="4" t="n">
        <f aca="false">(EXP(alpha*(Tau+OldTau+zeta-2*a*psi))*((EXP(alpha*a*psi)-EXP(alpha*b*psi))^2))/((EXP(alpha*a*psi)-EXP(alpha*(2*OldTau+b*psi)))*(alpha^2)*(psi^2))</f>
        <v>3.2034812491311</v>
      </c>
      <c r="J46" s="4" t="n">
        <f aca="false">(EXP(alpha*(zeta+(2*b-a)*psi))*(-1+EXP(alpha*(-1)*Size*psi))*(EXP(alpha*(2*(Tau+OldTau)+a*psi))-EXP(alpha*(2*(Tau+OldTau)+b*psi))))/(((EXP(alpha*a*psi)-EXP(alpha*(2*OldTau+b*psi)))^2)*(alpha^2)*(psi^2))</f>
        <v>5.66809104965441E-066</v>
      </c>
      <c r="K46" s="5" t="n">
        <f aca="false">-Beta/alpha</f>
        <v>180</v>
      </c>
      <c r="L46" s="5" t="n">
        <f aca="false">(-EXP(alpha*zeta)*Beta*(-1+EXP(alpha*Size*psi)-Size*alpha*psi))/((alpha^3)*(psi^2))</f>
        <v>348412.752595584</v>
      </c>
      <c r="M46" s="5" t="n">
        <f aca="false">Beta*Theta</f>
        <v>14.4</v>
      </c>
      <c r="N46" s="5" t="n">
        <f aca="false">Beta*Theta</f>
        <v>14.4</v>
      </c>
      <c r="O46" s="5" t="n">
        <f aca="false">kappa</f>
        <v>90</v>
      </c>
      <c r="P46" s="5" t="n">
        <f aca="false">Gamma*Size</f>
        <v>0</v>
      </c>
      <c r="Q46" s="5" t="n">
        <f aca="false">Size*Beta*Phi</f>
        <v>3240</v>
      </c>
      <c r="R46" s="5" t="n">
        <f aca="false">-(EXP(alpha*a*psi)+EXP(alpha*b*psi)*(-1+Size*psi*alpha))*(Beta*Phi)/((alpha*psi)*(EXP(alpha*a*psi)-EXP(alpha*b*psi)))</f>
        <v>21.6</v>
      </c>
      <c r="S46" s="5" t="n">
        <f aca="false">(EXP(alpha*(zeta-a*psi))*Beta*Phi*(-EXP(alpha*a*psi)*(-2+(-1)*Size*alpha*psi)+EXP(alpha*b*psi)*(-2+Size*alpha*psi)))/((alpha^3)*(psi^3))</f>
        <v>41528.9294368965</v>
      </c>
      <c r="T46" s="5" t="n">
        <f aca="false">Tau*Beta</f>
        <v>126.000167484285</v>
      </c>
      <c r="U46" s="5" t="n">
        <f aca="false">Tau*Beta</f>
        <v>126.000167484285</v>
      </c>
      <c r="V46" s="6" t="n">
        <f aca="false">Tau</f>
        <v>0.700000930468249</v>
      </c>
      <c r="W46" s="5" t="n">
        <f aca="false">Profit+Utility</f>
        <v>307947.077481441</v>
      </c>
      <c r="X46" s="5" t="n">
        <f aca="false">(2*ij*BRIJ)+2*jj*BRJJ</f>
        <v>807.27834784657</v>
      </c>
      <c r="Y46" s="5" t="n">
        <f aca="false">2*(ij*BCCIJ)+(2*jj*BCCJJ)+BCS+jj*BCPTJJ+2*(ij*BCPTIJ)+BCPTII+BCk</f>
        <v>41849.5800868339</v>
      </c>
      <c r="Z46" s="5" t="n">
        <f aca="false">ij*BUTIJ+BUTII</f>
        <v>348989.379220428</v>
      </c>
      <c r="AA46" s="5" t="n">
        <f aca="false">Revenue-Cost</f>
        <v>-41042.3017389874</v>
      </c>
      <c r="AB46" s="5" t="n">
        <f aca="false">Size</f>
        <v>1000</v>
      </c>
      <c r="AC46" s="6" t="n">
        <f aca="false">Welfare/(Size)</f>
        <v>307.947077481441</v>
      </c>
      <c r="AD46" s="6" t="n">
        <f aca="false">Profit/(Size)</f>
        <v>-41.0423017389874</v>
      </c>
      <c r="AE46" s="6" t="n">
        <f aca="false">Utility/(Size)</f>
        <v>348.989379220428</v>
      </c>
      <c r="AF46" s="2" t="n">
        <v>308.660962030988</v>
      </c>
    </row>
    <row r="47" customFormat="false" ht="13" hidden="false" customHeight="false" outlineLevel="0" collapsed="false">
      <c r="A47" s="7" t="n">
        <f aca="false">C46</f>
        <v>0.476272033649382</v>
      </c>
      <c r="B47" s="2" t="n">
        <f aca="false">(I47+J47)*Beta*2</f>
        <v>522.002842405892</v>
      </c>
      <c r="C47" s="7" t="n">
        <f aca="false">(W47+B47*Theta-'W-Tax(All-Toll)-NONC'!$T$11)/B47</f>
        <v>0.142526056942278</v>
      </c>
      <c r="D47" s="2" t="n">
        <v>1.09633548406605</v>
      </c>
      <c r="E47" s="2" t="n">
        <v>1.09633548406605</v>
      </c>
      <c r="F47" s="2" t="n">
        <v>1000</v>
      </c>
      <c r="G47" s="2" t="n">
        <v>0</v>
      </c>
      <c r="H47" s="2" t="n">
        <f aca="false">Size-a</f>
        <v>1000</v>
      </c>
      <c r="I47" s="4" t="n">
        <f aca="false">(EXP(alpha*(Tau+OldTau+zeta-2*a*psi))*((EXP(alpha*a*psi)-EXP(alpha*b*psi))^2))/((EXP(alpha*a*psi)-EXP(alpha*(2*OldTau+b*psi)))*(alpha^2)*(psi^2))</f>
        <v>1.45000789557192</v>
      </c>
      <c r="J47" s="4" t="n">
        <f aca="false">(EXP(alpha*(zeta+(2*b-a)*psi))*(-1+EXP(alpha*(-1)*Size*psi))*(EXP(alpha*(2*(Tau+OldTau)+a*psi))-EXP(alpha*(2*(Tau+OldTau)+b*psi))))/(((EXP(alpha*a*psi)-EXP(alpha*(2*OldTau+b*psi)))^2)*(alpha^2)*(psi^2))</f>
        <v>1.16126992718459E-066</v>
      </c>
      <c r="K47" s="5" t="n">
        <f aca="false">-Beta/alpha</f>
        <v>180</v>
      </c>
      <c r="L47" s="5" t="n">
        <f aca="false">(-EXP(alpha*zeta)*Beta*(-1+EXP(alpha*Size*psi)-Size*alpha*psi))/((alpha^3)*(psi^2))</f>
        <v>348412.752595584</v>
      </c>
      <c r="M47" s="5" t="n">
        <f aca="false">Beta*Theta</f>
        <v>85.7289660568887</v>
      </c>
      <c r="N47" s="5" t="n">
        <f aca="false">Beta*Theta</f>
        <v>85.7289660568887</v>
      </c>
      <c r="O47" s="5" t="n">
        <f aca="false">kappa</f>
        <v>90</v>
      </c>
      <c r="P47" s="5" t="n">
        <f aca="false">Gamma*Size</f>
        <v>0</v>
      </c>
      <c r="Q47" s="5" t="n">
        <f aca="false">Size*Beta*Phi</f>
        <v>3240</v>
      </c>
      <c r="R47" s="5" t="n">
        <f aca="false">-(EXP(alpha*a*psi)+EXP(alpha*b*psi)*(-1+Size*psi*alpha))*(Beta*Phi)/((alpha*psi)*(EXP(alpha*a*psi)-EXP(alpha*b*psi)))</f>
        <v>21.6</v>
      </c>
      <c r="S47" s="5" t="n">
        <f aca="false">(EXP(alpha*(zeta-a*psi))*Beta*Phi*(-EXP(alpha*a*psi)*(-2+(-1)*Size*alpha*psi)+EXP(alpha*b*psi)*(-2+Size*alpha*psi)))/((alpha^3)*(psi^3))</f>
        <v>41528.9294368965</v>
      </c>
      <c r="T47" s="5" t="n">
        <f aca="false">Tau*Beta</f>
        <v>197.340387131888</v>
      </c>
      <c r="U47" s="5" t="n">
        <f aca="false">Tau*Beta</f>
        <v>197.340387131888</v>
      </c>
      <c r="V47" s="6" t="n">
        <f aca="false">Tau</f>
        <v>1.09633548406605</v>
      </c>
      <c r="W47" s="5" t="n">
        <f aca="false">Profit+Utility</f>
        <v>307315.859122392</v>
      </c>
      <c r="X47" s="5" t="n">
        <f aca="false">(2*ij*BRIJ)+2*jj*BRJJ</f>
        <v>572.290238912915</v>
      </c>
      <c r="Y47" s="5" t="n">
        <f aca="false">2*(ij*BCCIJ)+(2*jj*BCCJJ)+BCS+jj*BCPTJJ+2*(ij*BCPTIJ)+BCPTII+BCk</f>
        <v>41930.1851333086</v>
      </c>
      <c r="Z47" s="5" t="n">
        <f aca="false">ij*BUTIJ+BUTII</f>
        <v>348673.754016787</v>
      </c>
      <c r="AA47" s="5" t="n">
        <f aca="false">Revenue-Cost</f>
        <v>-41357.8948943957</v>
      </c>
      <c r="AB47" s="5" t="n">
        <f aca="false">Size</f>
        <v>1000</v>
      </c>
      <c r="AC47" s="6" t="n">
        <f aca="false">Welfare/(Size)</f>
        <v>307.315859122392</v>
      </c>
      <c r="AD47" s="6" t="n">
        <f aca="false">Profit/(Size)</f>
        <v>-41.3578948943957</v>
      </c>
      <c r="AE47" s="6" t="n">
        <f aca="false">Utility/(Size)</f>
        <v>348.673754016787</v>
      </c>
      <c r="AF47" s="2" t="n">
        <v>308.660962030988</v>
      </c>
    </row>
    <row r="48" customFormat="false" ht="13" hidden="false" customHeight="false" outlineLevel="0" collapsed="false">
      <c r="A48" s="7" t="n">
        <f aca="false">C47</f>
        <v>0.142526056942278</v>
      </c>
      <c r="B48" s="2" t="n">
        <f aca="false">(I48+J48)*Beta*2</f>
        <v>696.172188036831</v>
      </c>
      <c r="C48" s="7" t="n">
        <f aca="false">(W48+B48*Theta-'W-Tax(All-Toll)-NONC'!$T$11)/B48</f>
        <v>0.332258395009114</v>
      </c>
      <c r="D48" s="2" t="n">
        <v>0.952373487440175</v>
      </c>
      <c r="E48" s="2" t="n">
        <v>0.952373487440175</v>
      </c>
      <c r="F48" s="2" t="n">
        <v>1000</v>
      </c>
      <c r="G48" s="2" t="n">
        <v>0</v>
      </c>
      <c r="H48" s="2" t="n">
        <f aca="false">Size-a</f>
        <v>1000</v>
      </c>
      <c r="I48" s="4" t="n">
        <f aca="false">(EXP(alpha*(Tau+OldTau+zeta-2*a*psi))*((EXP(alpha*a*psi)-EXP(alpha*b*psi))^2))/((EXP(alpha*a*psi)-EXP(alpha*(2*OldTau+b*psi)))*(alpha^2)*(psi^2))</f>
        <v>1.93381163343564</v>
      </c>
      <c r="J48" s="4" t="n">
        <f aca="false">(EXP(alpha*(zeta+(2*b-a)*psi))*(-1+EXP(alpha*(-1)*Size*psi))*(EXP(alpha*(2*(Tau+OldTau)+a*psi))-EXP(alpha*(2*(Tau+OldTau)+b*psi))))/(((EXP(alpha*a*psi)-EXP(alpha*(2*OldTau+b*psi)))^2)*(alpha^2)*(psi^2))</f>
        <v>2.06547899348308E-066</v>
      </c>
      <c r="K48" s="5" t="n">
        <f aca="false">-Beta/alpha</f>
        <v>180</v>
      </c>
      <c r="L48" s="5" t="n">
        <f aca="false">(-EXP(alpha*zeta)*Beta*(-1+EXP(alpha*Size*psi)-Size*alpha*psi))/((alpha^3)*(psi^2))</f>
        <v>348412.752595584</v>
      </c>
      <c r="M48" s="5" t="n">
        <f aca="false">Beta*Theta</f>
        <v>25.65469024961</v>
      </c>
      <c r="N48" s="5" t="n">
        <f aca="false">Beta*Theta</f>
        <v>25.65469024961</v>
      </c>
      <c r="O48" s="5" t="n">
        <f aca="false">kappa</f>
        <v>90</v>
      </c>
      <c r="P48" s="5" t="n">
        <f aca="false">Gamma*Size</f>
        <v>0</v>
      </c>
      <c r="Q48" s="5" t="n">
        <f aca="false">Size*Beta*Phi</f>
        <v>3240</v>
      </c>
      <c r="R48" s="5" t="n">
        <f aca="false">-(EXP(alpha*a*psi)+EXP(alpha*b*psi)*(-1+Size*psi*alpha))*(Beta*Phi)/((alpha*psi)*(EXP(alpha*a*psi)-EXP(alpha*b*psi)))</f>
        <v>21.6</v>
      </c>
      <c r="S48" s="5" t="n">
        <f aca="false">(EXP(alpha*(zeta-a*psi))*Beta*Phi*(-EXP(alpha*a*psi)*(-2+(-1)*Size*alpha*psi)+EXP(alpha*b*psi)*(-2+Size*alpha*psi)))/((alpha^3)*(psi^3))</f>
        <v>41528.9294368965</v>
      </c>
      <c r="T48" s="5" t="n">
        <f aca="false">Tau*Beta</f>
        <v>171.427227739231</v>
      </c>
      <c r="U48" s="5" t="n">
        <f aca="false">Tau*Beta</f>
        <v>171.427227739231</v>
      </c>
      <c r="V48" s="6" t="n">
        <f aca="false">Tau</f>
        <v>0.952373487440175</v>
      </c>
      <c r="W48" s="5" t="n">
        <f aca="false">Profit+Utility</f>
        <v>307622.161847808</v>
      </c>
      <c r="X48" s="5" t="n">
        <f aca="false">(2*ij*BRIJ)+2*jj*BRJJ</f>
        <v>663.015934579494</v>
      </c>
      <c r="Y48" s="5" t="n">
        <f aca="false">2*(ij*BCCIJ)+(2*jj*BCCJJ)+BCS+jj*BCPTJJ+2*(ij*BCPTIJ)+BCPTII+BCk</f>
        <v>41801.6927763747</v>
      </c>
      <c r="Z48" s="5" t="n">
        <f aca="false">ij*BUTIJ+BUTII</f>
        <v>348760.838689603</v>
      </c>
      <c r="AA48" s="5" t="n">
        <f aca="false">Revenue-Cost</f>
        <v>-41138.6768417952</v>
      </c>
      <c r="AB48" s="5" t="n">
        <f aca="false">Size</f>
        <v>1000</v>
      </c>
      <c r="AC48" s="6" t="n">
        <f aca="false">Welfare/(Size)</f>
        <v>307.622161847808</v>
      </c>
      <c r="AD48" s="6" t="n">
        <f aca="false">Profit/(Size)</f>
        <v>-41.1386768417952</v>
      </c>
      <c r="AE48" s="6" t="n">
        <f aca="false">Utility/(Size)</f>
        <v>348.760838689603</v>
      </c>
      <c r="AF48" s="2" t="n">
        <v>308.660962030988</v>
      </c>
    </row>
    <row r="49" customFormat="false" ht="13" hidden="false" customHeight="false" outlineLevel="0" collapsed="false">
      <c r="A49" s="7" t="n">
        <f aca="false">C48</f>
        <v>0.332258395009114</v>
      </c>
      <c r="B49" s="2" t="n">
        <f aca="false">(I49+J49)*Beta*2</f>
        <v>696.259737788789</v>
      </c>
      <c r="C49" s="7" t="n">
        <f aca="false">(W49+B49*Theta-'W-Tax(All-Toll)-NONC'!$T$11)/B49</f>
        <v>0.332321277001953</v>
      </c>
      <c r="D49" s="2" t="n">
        <v>0.952310612013054</v>
      </c>
      <c r="E49" s="2" t="n">
        <v>0.952310612013054</v>
      </c>
      <c r="F49" s="2" t="n">
        <v>1000</v>
      </c>
      <c r="G49" s="2" t="n">
        <v>0</v>
      </c>
      <c r="H49" s="2" t="n">
        <f aca="false">Size-a</f>
        <v>1000</v>
      </c>
      <c r="I49" s="4" t="n">
        <f aca="false">(EXP(alpha*(Tau+OldTau+zeta-2*a*psi))*((EXP(alpha*a*psi)-EXP(alpha*b*psi))^2))/((EXP(alpha*a*psi)-EXP(alpha*(2*OldTau+b*psi)))*(alpha^2)*(psi^2))</f>
        <v>1.93405482719108</v>
      </c>
      <c r="J49" s="4" t="n">
        <f aca="false">(EXP(alpha*(zeta+(2*b-a)*psi))*(-1+EXP(alpha*(-1)*Size*psi))*(EXP(alpha*(2*(Tau+OldTau)+a*psi))-EXP(alpha*(2*(Tau+OldTau)+b*psi))))/(((EXP(alpha*a*psi)-EXP(alpha*(2*OldTau+b*psi)))^2)*(alpha^2)*(psi^2))</f>
        <v>2.06599853030823E-066</v>
      </c>
      <c r="K49" s="5" t="n">
        <f aca="false">-Beta/alpha</f>
        <v>180</v>
      </c>
      <c r="L49" s="5" t="n">
        <f aca="false">(-EXP(alpha*zeta)*Beta*(-1+EXP(alpha*Size*psi)-Size*alpha*psi))/((alpha^3)*(psi^2))</f>
        <v>348412.752595584</v>
      </c>
      <c r="M49" s="5" t="n">
        <f aca="false">Beta*Theta</f>
        <v>59.8065111016405</v>
      </c>
      <c r="N49" s="5" t="n">
        <f aca="false">Beta*Theta</f>
        <v>59.8065111016405</v>
      </c>
      <c r="O49" s="5" t="n">
        <f aca="false">kappa</f>
        <v>90</v>
      </c>
      <c r="P49" s="5" t="n">
        <f aca="false">Gamma*Size</f>
        <v>0</v>
      </c>
      <c r="Q49" s="5" t="n">
        <f aca="false">Size*Beta*Phi</f>
        <v>3240</v>
      </c>
      <c r="R49" s="5" t="n">
        <f aca="false">-(EXP(alpha*a*psi)+EXP(alpha*b*psi)*(-1+Size*psi*alpha))*(Beta*Phi)/((alpha*psi)*(EXP(alpha*a*psi)-EXP(alpha*b*psi)))</f>
        <v>21.6</v>
      </c>
      <c r="S49" s="5" t="n">
        <f aca="false">(EXP(alpha*(zeta-a*psi))*Beta*Phi*(-EXP(alpha*a*psi)*(-2+(-1)*Size*alpha*psi)+EXP(alpha*b*psi)*(-2+Size*alpha*psi)))/((alpha^3)*(psi^3))</f>
        <v>41528.9294368965</v>
      </c>
      <c r="T49" s="5" t="n">
        <f aca="false">Tau*Beta</f>
        <v>171.41591016235</v>
      </c>
      <c r="U49" s="5" t="n">
        <f aca="false">Tau*Beta</f>
        <v>171.41591016235</v>
      </c>
      <c r="V49" s="6" t="n">
        <f aca="false">Tau</f>
        <v>0.952310612013054</v>
      </c>
      <c r="W49" s="5" t="n">
        <f aca="false">Profit+Utility</f>
        <v>307490.119253074</v>
      </c>
      <c r="X49" s="5" t="n">
        <f aca="false">(2*ij*BRIJ)+2*jj*BRJJ</f>
        <v>663.05553701369</v>
      </c>
      <c r="Y49" s="5" t="n">
        <f aca="false">2*(ij*BCCIJ)+(2*jj*BCCJJ)+BCS+jj*BCPTJJ+2*(ij*BCPTIJ)+BCPTII+BCk</f>
        <v>41933.8187484183</v>
      </c>
      <c r="Z49" s="5" t="n">
        <f aca="false">ij*BUTIJ+BUTII</f>
        <v>348760.882464479</v>
      </c>
      <c r="AA49" s="5" t="n">
        <f aca="false">Revenue-Cost</f>
        <v>-41270.7632114046</v>
      </c>
      <c r="AB49" s="5" t="n">
        <f aca="false">Size</f>
        <v>1000</v>
      </c>
      <c r="AC49" s="6" t="n">
        <f aca="false">Welfare/(Size)</f>
        <v>307.490119253074</v>
      </c>
      <c r="AD49" s="6" t="n">
        <f aca="false">Profit/(Size)</f>
        <v>-41.2707632114046</v>
      </c>
      <c r="AE49" s="6" t="n">
        <f aca="false">Utility/(Size)</f>
        <v>348.760882464479</v>
      </c>
      <c r="AF49" s="2" t="n">
        <v>308.660962030988</v>
      </c>
    </row>
    <row r="50" customFormat="false" ht="13" hidden="false" customHeight="false" outlineLevel="0" collapsed="false">
      <c r="A50" s="7" t="n">
        <f aca="false">C49</f>
        <v>0.332321277001953</v>
      </c>
      <c r="B50" s="2" t="n">
        <f aca="false">(I50+J50)*Beta*2</f>
        <v>1153.2532496872</v>
      </c>
      <c r="C50" s="7" t="n">
        <f aca="false">(W50+B50*Theta-'W-Tax(All-Toll)-NONC'!$T$11)/B50</f>
        <v>0.476272033649382</v>
      </c>
      <c r="D50" s="2" t="n">
        <v>0.700000930468249</v>
      </c>
      <c r="E50" s="2" t="n">
        <v>0.700000930468249</v>
      </c>
      <c r="F50" s="2" t="n">
        <v>1000</v>
      </c>
      <c r="G50" s="2" t="n">
        <v>0</v>
      </c>
      <c r="H50" s="2" t="n">
        <f aca="false">Size-a</f>
        <v>1000</v>
      </c>
      <c r="I50" s="4" t="n">
        <f aca="false">(EXP(alpha*(Tau+OldTau+zeta-2*a*psi))*((EXP(alpha*a*psi)-EXP(alpha*b*psi))^2))/((EXP(alpha*a*psi)-EXP(alpha*(2*OldTau+b*psi)))*(alpha^2)*(psi^2))</f>
        <v>3.2034812491311</v>
      </c>
      <c r="J50" s="4" t="n">
        <f aca="false">(EXP(alpha*(zeta+(2*b-a)*psi))*(-1+EXP(alpha*(-1)*Size*psi))*(EXP(alpha*(2*(Tau+OldTau)+a*psi))-EXP(alpha*(2*(Tau+OldTau)+b*psi))))/(((EXP(alpha*a*psi)-EXP(alpha*(2*OldTau+b*psi)))^2)*(alpha^2)*(psi^2))</f>
        <v>5.66809104965441E-066</v>
      </c>
      <c r="K50" s="5" t="n">
        <f aca="false">-Beta/alpha</f>
        <v>180</v>
      </c>
      <c r="L50" s="5" t="n">
        <f aca="false">(-EXP(alpha*zeta)*Beta*(-1+EXP(alpha*Size*psi)-Size*alpha*psi))/((alpha^3)*(psi^2))</f>
        <v>348412.752595584</v>
      </c>
      <c r="M50" s="5" t="n">
        <f aca="false">Beta*Theta</f>
        <v>59.8178298603516</v>
      </c>
      <c r="N50" s="5" t="n">
        <f aca="false">Beta*Theta</f>
        <v>59.8178298603516</v>
      </c>
      <c r="O50" s="5" t="n">
        <f aca="false">kappa</f>
        <v>90</v>
      </c>
      <c r="P50" s="5" t="n">
        <f aca="false">Gamma*Size</f>
        <v>0</v>
      </c>
      <c r="Q50" s="5" t="n">
        <f aca="false">Size*Beta*Phi</f>
        <v>3240</v>
      </c>
      <c r="R50" s="5" t="n">
        <f aca="false">-(EXP(alpha*a*psi)+EXP(alpha*b*psi)*(-1+Size*psi*alpha))*(Beta*Phi)/((alpha*psi)*(EXP(alpha*a*psi)-EXP(alpha*b*psi)))</f>
        <v>21.6</v>
      </c>
      <c r="S50" s="5" t="n">
        <f aca="false">(EXP(alpha*(zeta-a*psi))*Beta*Phi*(-EXP(alpha*a*psi)*(-2+(-1)*Size*alpha*psi)+EXP(alpha*b*psi)*(-2+Size*alpha*psi)))/((alpha^3)*(psi^3))</f>
        <v>41528.9294368965</v>
      </c>
      <c r="T50" s="5" t="n">
        <f aca="false">Tau*Beta</f>
        <v>126.000167484285</v>
      </c>
      <c r="U50" s="5" t="n">
        <f aca="false">Tau*Beta</f>
        <v>126.000167484285</v>
      </c>
      <c r="V50" s="6" t="n">
        <f aca="false">Tau</f>
        <v>0.700000930468249</v>
      </c>
      <c r="W50" s="5" t="n">
        <f aca="false">Profit+Utility</f>
        <v>307656.087148773</v>
      </c>
      <c r="X50" s="5" t="n">
        <f aca="false">(2*ij*BRIJ)+2*jj*BRJJ</f>
        <v>807.27834784657</v>
      </c>
      <c r="Y50" s="5" t="n">
        <f aca="false">2*(ij*BCCIJ)+(2*jj*BCCJJ)+BCS+jj*BCPTJJ+2*(ij*BCPTIJ)+BCPTII+BCk</f>
        <v>42140.5704195017</v>
      </c>
      <c r="Z50" s="5" t="n">
        <f aca="false">ij*BUTIJ+BUTII</f>
        <v>348989.379220428</v>
      </c>
      <c r="AA50" s="5" t="n">
        <f aca="false">Revenue-Cost</f>
        <v>-41333.2920716551</v>
      </c>
      <c r="AB50" s="5" t="n">
        <f aca="false">Size</f>
        <v>1000</v>
      </c>
      <c r="AC50" s="6" t="n">
        <f aca="false">Welfare/(Size)</f>
        <v>307.656087148773</v>
      </c>
      <c r="AD50" s="6" t="n">
        <f aca="false">Profit/(Size)</f>
        <v>-41.3332920716551</v>
      </c>
      <c r="AE50" s="6" t="n">
        <f aca="false">Utility/(Size)</f>
        <v>348.989379220428</v>
      </c>
      <c r="AF50" s="2" t="n">
        <v>308.660962030988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900" ySplit="0" topLeftCell="AA1" activePane="topLeft" state="split"/>
      <selection pane="topLeft" activeCell="A2" activeCellId="0" sqref="A2"/>
      <selection pane="topRight" activeCell="AA1" activeCellId="0" sqref="AA1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6.28"/>
    <col collapsed="false" customWidth="true" hidden="false" outlineLevel="0" max="2" min="2" style="2" width="6.42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4.71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19" min="10" style="2" width="8.28"/>
    <col collapsed="false" customWidth="true" hidden="false" outlineLevel="0" max="20" min="20" style="2" width="9.99"/>
    <col collapsed="false" customWidth="false" hidden="false" outlineLevel="0" max="21" min="21" style="2" width="8.28"/>
    <col collapsed="false" customWidth="true" hidden="false" outlineLevel="0" max="22" min="22" style="2" width="8.99"/>
    <col collapsed="false" customWidth="true" hidden="false" outlineLevel="0" max="23" min="23" style="2" width="9.13"/>
    <col collapsed="false" customWidth="false" hidden="false" outlineLevel="0" max="257" min="24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</row>
    <row r="2" customFormat="false" ht="13" hidden="false" customHeight="false" outlineLevel="0" collapsed="false">
      <c r="A2" s="2" t="n">
        <v>0.0889634490185383</v>
      </c>
      <c r="B2" s="2" t="n">
        <f aca="false">Tau</f>
        <v>0.0889634490185383</v>
      </c>
      <c r="C2" s="2" t="n">
        <v>1</v>
      </c>
      <c r="D2" s="2" t="n">
        <v>0</v>
      </c>
      <c r="E2" s="2" t="n">
        <f aca="false">Size-a</f>
        <v>1</v>
      </c>
      <c r="F2" s="4" t="n">
        <f aca="false">(EXP(alpha*(Tau+OldTau+zeta-2*a*psi))*((EXP(alpha*a*psi)-EXP(alpha*b*psi))^2))/((EXP(alpha*a*psi)-EXP(alpha*(2*OldTau+b*psi)))*(alpha^2)*(psi^2))</f>
        <v>0.754574780136278</v>
      </c>
      <c r="G2" s="4" t="n">
        <f aca="false">(EXP(alpha*(zeta+(2*b-a)*psi))*(-1+EXP(alpha*(-1)*Size*psi))*(EXP(alpha*(2*(Tau+OldTau)+a*psi))-EXP(alpha*(2*(Tau+OldTau)+b*psi))))/(((EXP(alpha*a*psi)-EXP(alpha*(2*OldTau+b*psi)))^2)*(alpha^2)*(psi^2))</f>
        <v>1.9443418987495</v>
      </c>
      <c r="H2" s="5" t="n">
        <f aca="false">-Beta/alpha</f>
        <v>180</v>
      </c>
      <c r="I2" s="5" t="n">
        <f aca="false">(-EXP(alpha*zeta)*Beta*(-1+EXP(alpha*Size*psi)-Size*alpha*psi))/((alpha^3)*(psi^2))</f>
        <v>25.0388962482082</v>
      </c>
      <c r="J2" s="5" t="n">
        <f aca="false">Beta*Theta</f>
        <v>14.4</v>
      </c>
      <c r="K2" s="5" t="n">
        <f aca="false">Beta*Theta</f>
        <v>14.4</v>
      </c>
      <c r="L2" s="5" t="n">
        <f aca="false">kappa</f>
        <v>90</v>
      </c>
      <c r="M2" s="5" t="n">
        <f aca="false">Gamma*Size</f>
        <v>0</v>
      </c>
      <c r="N2" s="5" t="n">
        <f aca="false">Size*Beta*Phi</f>
        <v>3.24</v>
      </c>
      <c r="O2" s="5" t="n">
        <f aca="false">-(EXP(alpha*a*psi)+EXP(alpha*b*psi)*(-1+Size*psi*alpha))*(Beta*Phi)/((alpha*psi)*(EXP(alpha*a*psi)-EXP(alpha*b*psi)))</f>
        <v>1.57951517936842</v>
      </c>
      <c r="P2" s="5" t="n">
        <f aca="false">(EXP(alpha*(zeta-a*psi))*Beta*Phi*(-EXP(alpha*a*psi)*(-2+(-1)*Size*alpha*psi)+EXP(alpha*b*psi)*(-2+Size*alpha*psi)))/((alpha^3)*(psi^3))</f>
        <v>0.146515554131081</v>
      </c>
      <c r="Q2" s="5" t="n">
        <f aca="false">Tau*Beta</f>
        <v>16.0134208233369</v>
      </c>
      <c r="R2" s="5" t="n">
        <f aca="false">Tau*Beta</f>
        <v>16.0134208233369</v>
      </c>
      <c r="S2" s="6" t="n">
        <f aca="false">Tau</f>
        <v>0.0889634490185383</v>
      </c>
      <c r="T2" s="5" t="n">
        <f aca="false">Profit+Utility</f>
        <v>70.7414254686023</v>
      </c>
      <c r="U2" s="5" t="n">
        <f aca="false">(2*ij*BRIJ)+2*jj*BRJJ</f>
        <v>86.4377770922415</v>
      </c>
      <c r="V2" s="5" t="n">
        <f aca="false">2*(ij*BCCIJ)+(2*jj*BCCJJ)+BCS+jj*BCPTJJ+2*(ij*BCPTIJ)+BCPTII+BCk</f>
        <v>176.558708296378</v>
      </c>
      <c r="W2" s="5" t="n">
        <f aca="false">ij*BUTIJ+BUTII</f>
        <v>160.862356672738</v>
      </c>
      <c r="X2" s="5" t="n">
        <f aca="false">Revenue-Cost</f>
        <v>-90.120931204136</v>
      </c>
      <c r="Y2" s="5" t="n">
        <f aca="false">Size</f>
        <v>1</v>
      </c>
      <c r="Z2" s="6" t="n">
        <f aca="false">Welfare/(Size)</f>
        <v>70.7414254686023</v>
      </c>
      <c r="AA2" s="6" t="n">
        <f aca="false">Profit/(Size)</f>
        <v>-90.120931204136</v>
      </c>
      <c r="AB2" s="6" t="n">
        <f aca="false">Utility/(Size)</f>
        <v>160.862356672738</v>
      </c>
    </row>
    <row r="3" customFormat="false" ht="13" hidden="false" customHeight="false" outlineLevel="0" collapsed="false">
      <c r="A3" s="2" t="n">
        <v>0.0977818151727462</v>
      </c>
      <c r="B3" s="2" t="n">
        <f aca="false">Tau</f>
        <v>0.0977818151727462</v>
      </c>
      <c r="C3" s="2" t="n">
        <v>2</v>
      </c>
      <c r="D3" s="2" t="n">
        <v>0</v>
      </c>
      <c r="E3" s="2" t="n">
        <f aca="false">Size-a</f>
        <v>2</v>
      </c>
      <c r="F3" s="4" t="n">
        <f aca="false">(EXP(alpha*(Tau+OldTau+zeta-2*a*psi))*((EXP(alpha*a*psi)-EXP(alpha*b*psi))^2))/((EXP(alpha*a*psi)-EXP(alpha*(2*OldTau+b*psi)))*(alpha^2)*(psi^2))</f>
        <v>1.83648729484072</v>
      </c>
      <c r="G3" s="4" t="n">
        <f aca="false">(EXP(alpha*(zeta+(2*b-a)*psi))*(-1+EXP(alpha*(-1)*Size*psi))*(EXP(alpha*(2*(Tau+OldTau)+a*psi))-EXP(alpha*(2*(Tau+OldTau)+b*psi))))/(((EXP(alpha*a*psi)-EXP(alpha*(2*OldTau+b*psi)))^2)*(alpha^2)*(psi^2))</f>
        <v>2.86314477404533</v>
      </c>
      <c r="H3" s="5" t="n">
        <f aca="false">-Beta/alpha</f>
        <v>180</v>
      </c>
      <c r="I3" s="5" t="n">
        <f aca="false">(-EXP(alpha*zeta)*Beta*(-1+EXP(alpha*Size*psi)-Size*alpha*psi))/((alpha^3)*(psi^2))</f>
        <v>95.4469035152439</v>
      </c>
      <c r="J3" s="5" t="n">
        <f aca="false">Beta*Theta</f>
        <v>14.4</v>
      </c>
      <c r="K3" s="5" t="n">
        <f aca="false">Beta*Theta</f>
        <v>14.4</v>
      </c>
      <c r="L3" s="5" t="n">
        <f aca="false">kappa</f>
        <v>90</v>
      </c>
      <c r="M3" s="5" t="n">
        <f aca="false">Gamma*Size</f>
        <v>0</v>
      </c>
      <c r="N3" s="5" t="n">
        <f aca="false">Size*Beta*Phi</f>
        <v>6.48</v>
      </c>
      <c r="O3" s="5" t="n">
        <f aca="false">-(EXP(alpha*a*psi)+EXP(alpha*b*psi)*(-1+Size*psi*alpha))*(Beta*Phi)/((alpha*psi)*(EXP(alpha*a*psi)-EXP(alpha*b*psi)))</f>
        <v>3.07824248045466</v>
      </c>
      <c r="P3" s="5" t="n">
        <f aca="false">(EXP(alpha*(zeta-a*psi))*Beta*Phi*(-EXP(alpha*a*psi)*(-2+(-1)*Size*alpha*psi)+EXP(alpha*b*psi)*(-2+Size*alpha*psi)))/((alpha^3)*(psi^3))</f>
        <v>1.08926665858103</v>
      </c>
      <c r="Q3" s="5" t="n">
        <f aca="false">Tau*Beta</f>
        <v>17.6007267310943</v>
      </c>
      <c r="R3" s="5" t="n">
        <f aca="false">Tau*Beta</f>
        <v>17.6007267310943</v>
      </c>
      <c r="S3" s="6" t="n">
        <f aca="false">Tau</f>
        <v>0.0977818151727462</v>
      </c>
      <c r="T3" s="5" t="n">
        <f aca="false">Profit+Utility</f>
        <v>335.150341358973</v>
      </c>
      <c r="U3" s="5" t="n">
        <f aca="false">(2*ij*BRIJ)+2*jj*BRJJ</f>
        <v>165.433879562301</v>
      </c>
      <c r="V3" s="5" t="n">
        <f aca="false">2*(ij*BCCIJ)+(2*jj*BCCJJ)+BCS+jj*BCPTJJ+2*(ij*BCPTIJ)+BCPTII+BCk</f>
        <v>256.298154789901</v>
      </c>
      <c r="W3" s="5" t="n">
        <f aca="false">ij*BUTIJ+BUTII</f>
        <v>426.014616586573</v>
      </c>
      <c r="X3" s="5" t="n">
        <f aca="false">Revenue-Cost</f>
        <v>-90.8642752275994</v>
      </c>
      <c r="Y3" s="5" t="n">
        <f aca="false">Size</f>
        <v>2</v>
      </c>
      <c r="Z3" s="6" t="n">
        <f aca="false">Welfare/(Size)</f>
        <v>167.575170679487</v>
      </c>
      <c r="AA3" s="6" t="n">
        <f aca="false">Profit/(Size)</f>
        <v>-45.4321376137997</v>
      </c>
      <c r="AB3" s="6" t="n">
        <f aca="false">Utility/(Size)</f>
        <v>213.007308293286</v>
      </c>
    </row>
    <row r="4" customFormat="false" ht="13" hidden="false" customHeight="false" outlineLevel="0" collapsed="false">
      <c r="A4" s="2" t="n">
        <v>0.122450567347908</v>
      </c>
      <c r="B4" s="2" t="n">
        <f aca="false">Tau</f>
        <v>0.122450567347908</v>
      </c>
      <c r="C4" s="2" t="n">
        <v>5</v>
      </c>
      <c r="D4" s="2" t="n">
        <v>0</v>
      </c>
      <c r="E4" s="2" t="n">
        <f aca="false">Size-a</f>
        <v>5</v>
      </c>
      <c r="F4" s="4" t="n">
        <f aca="false">(EXP(alpha*(Tau+OldTau+zeta-2*a*psi))*((EXP(alpha*a*psi)-EXP(alpha*b*psi))^2))/((EXP(alpha*a*psi)-EXP(alpha*(2*OldTau+b*psi)))*(alpha^2)*(psi^2))</f>
        <v>4.49194810226767</v>
      </c>
      <c r="G4" s="4" t="n">
        <f aca="false">(EXP(alpha*(zeta+(2*b-a)*psi))*(-1+EXP(alpha*(-1)*Size*psi))*(EXP(alpha*(2*(Tau+OldTau)+a*psi))-EXP(alpha*(2*(Tau+OldTau)+b*psi))))/(((EXP(alpha*a*psi)-EXP(alpha*(2*OldTau+b*psi)))^2)*(alpha^2)*(psi^2))</f>
        <v>2.63541305596571</v>
      </c>
      <c r="H4" s="5" t="n">
        <f aca="false">-Beta/alpha</f>
        <v>180</v>
      </c>
      <c r="I4" s="5" t="n">
        <f aca="false">(-EXP(alpha*zeta)*Beta*(-1+EXP(alpha*Size*psi)-Size*alpha*psi))/((alpha^3)*(psi^2))</f>
        <v>519.968743125424</v>
      </c>
      <c r="J4" s="5" t="n">
        <f aca="false">Beta*Theta</f>
        <v>14.4</v>
      </c>
      <c r="K4" s="5" t="n">
        <f aca="false">Beta*Theta</f>
        <v>14.4</v>
      </c>
      <c r="L4" s="5" t="n">
        <f aca="false">kappa</f>
        <v>90</v>
      </c>
      <c r="M4" s="5" t="n">
        <f aca="false">Gamma*Size</f>
        <v>0</v>
      </c>
      <c r="N4" s="5" t="n">
        <f aca="false">Size*Beta*Phi</f>
        <v>16.2</v>
      </c>
      <c r="O4" s="5" t="n">
        <f aca="false">-(EXP(alpha*a*psi)+EXP(alpha*b*psi)*(-1+Size*psi*alpha))*(Beta*Phi)/((alpha*psi)*(EXP(alpha*a*psi)-EXP(alpha*b*psi)))</f>
        <v>7.09686682268204</v>
      </c>
      <c r="P4" s="5" t="n">
        <f aca="false">(EXP(alpha*(zeta-a*psi))*Beta*Phi*(-EXP(alpha*a*psi)*(-2+(-1)*Size*alpha*psi)+EXP(alpha*b*psi)*(-2+Size*alpha*psi)))/((alpha^3)*(psi^3))</f>
        <v>13.7516932837258</v>
      </c>
      <c r="Q4" s="5" t="n">
        <f aca="false">Tau*Beta</f>
        <v>22.0411021226234</v>
      </c>
      <c r="R4" s="5" t="n">
        <f aca="false">Tau*Beta</f>
        <v>22.0411021226234</v>
      </c>
      <c r="S4" s="6" t="n">
        <f aca="false">Tau</f>
        <v>0.122450567347908</v>
      </c>
      <c r="T4" s="5" t="n">
        <f aca="false">Profit+Utility</f>
        <v>1227.23829078061</v>
      </c>
      <c r="U4" s="5" t="n">
        <f aca="false">(2*ij*BRIJ)+2*jj*BRJJ</f>
        <v>314.189790306882</v>
      </c>
      <c r="V4" s="5" t="n">
        <f aca="false">2*(ij*BCCIJ)+(2*jj*BCCJJ)+BCS+jj*BCPTJJ+2*(ij*BCPTIJ)+BCPTII+BCk</f>
        <v>415.470901059878</v>
      </c>
      <c r="W4" s="5" t="n">
        <f aca="false">ij*BUTIJ+BUTII</f>
        <v>1328.5194015336</v>
      </c>
      <c r="X4" s="5" t="n">
        <f aca="false">Revenue-Cost</f>
        <v>-101.281110752995</v>
      </c>
      <c r="Y4" s="5" t="n">
        <f aca="false">Size</f>
        <v>5</v>
      </c>
      <c r="Z4" s="6" t="n">
        <f aca="false">Welfare/(Size)</f>
        <v>245.447658156122</v>
      </c>
      <c r="AA4" s="6" t="n">
        <f aca="false">Profit/(Size)</f>
        <v>-20.2562221505991</v>
      </c>
      <c r="AB4" s="6" t="n">
        <f aca="false">Utility/(Size)</f>
        <v>265.703880306721</v>
      </c>
    </row>
    <row r="5" customFormat="false" ht="13" hidden="false" customHeight="false" outlineLevel="0" collapsed="false">
      <c r="A5" s="2" t="n">
        <v>0.15441518101152</v>
      </c>
      <c r="B5" s="2" t="n">
        <f aca="false">Tau</f>
        <v>0.15441518101152</v>
      </c>
      <c r="C5" s="2" t="n">
        <v>10</v>
      </c>
      <c r="D5" s="2" t="n">
        <v>0</v>
      </c>
      <c r="E5" s="2" t="n">
        <f aca="false">Size-a</f>
        <v>10</v>
      </c>
      <c r="F5" s="4" t="n">
        <f aca="false">(EXP(alpha*(Tau+OldTau+zeta-2*a*psi))*((EXP(alpha*a*psi)-EXP(alpha*b*psi))^2))/((EXP(alpha*a*psi)-EXP(alpha*(2*OldTau+b*psi)))*(alpha^2)*(psi^2))</f>
        <v>6.88528662348977</v>
      </c>
      <c r="G5" s="4" t="n">
        <f aca="false">(EXP(alpha*(zeta+(2*b-a)*psi))*(-1+EXP(alpha*(-1)*Size*psi))*(EXP(alpha*(2*(Tau+OldTau)+a*psi))-EXP(alpha*(2*(Tau+OldTau)+b*psi))))/(((EXP(alpha*a*psi)-EXP(alpha*(2*OldTau+b*psi)))^2)*(alpha^2)*(psi^2))</f>
        <v>1.34918198394911</v>
      </c>
      <c r="H5" s="5" t="n">
        <f aca="false">-Beta/alpha</f>
        <v>180</v>
      </c>
      <c r="I5" s="5" t="n">
        <f aca="false">(-EXP(alpha*zeta)*Beta*(-1+EXP(alpha*Size*psi)-Size*alpha*psi))/((alpha^3)*(psi^2))</f>
        <v>1690.92462806846</v>
      </c>
      <c r="J5" s="5" t="n">
        <f aca="false">Beta*Theta</f>
        <v>14.4</v>
      </c>
      <c r="K5" s="5" t="n">
        <f aca="false">Beta*Theta</f>
        <v>14.4</v>
      </c>
      <c r="L5" s="5" t="n">
        <f aca="false">kappa</f>
        <v>90</v>
      </c>
      <c r="M5" s="5" t="n">
        <f aca="false">Gamma*Size</f>
        <v>0</v>
      </c>
      <c r="N5" s="5" t="n">
        <f aca="false">Size*Beta*Phi</f>
        <v>32.4</v>
      </c>
      <c r="O5" s="5" t="n">
        <f aca="false">-(EXP(alpha*a*psi)+EXP(alpha*b*psi)*(-1+Size*psi*alpha))*(Beta*Phi)/((alpha*psi)*(EXP(alpha*a*psi)-EXP(alpha*b*psi)))</f>
        <v>12.2941718960407</v>
      </c>
      <c r="P5" s="5" t="n">
        <f aca="false">(EXP(alpha*(zeta-a*psi))*Beta*Phi*(-EXP(alpha*a*psi)*(-2+(-1)*Size*alpha*psi)+EXP(alpha*b*psi)*(-2+Size*alpha*psi)))/((alpha^3)*(psi^3))</f>
        <v>78.836375998096</v>
      </c>
      <c r="Q5" s="5" t="n">
        <f aca="false">Tau*Beta</f>
        <v>27.7947325820736</v>
      </c>
      <c r="R5" s="5" t="n">
        <f aca="false">Tau*Beta</f>
        <v>27.7947325820736</v>
      </c>
      <c r="S5" s="6" t="n">
        <f aca="false">Tau</f>
        <v>0.15441518101152</v>
      </c>
      <c r="T5" s="5" t="n">
        <f aca="false">Profit+Utility</f>
        <v>2769.02556331743</v>
      </c>
      <c r="U5" s="5" t="n">
        <f aca="false">(2*ij*BRIJ)+2*jj*BRJJ</f>
        <v>457.749705798487</v>
      </c>
      <c r="V5" s="5" t="n">
        <f aca="false">2*(ij*BCCIJ)+(2*jj*BCCJJ)+BCS+jj*BCPTJJ+2*(ij*BCPTIJ)+BCPTII+BCk</f>
        <v>619.000362777672</v>
      </c>
      <c r="W5" s="5" t="n">
        <f aca="false">ij*BUTIJ+BUTII</f>
        <v>2930.27622029662</v>
      </c>
      <c r="X5" s="5" t="n">
        <f aca="false">Revenue-Cost</f>
        <v>-161.250656979185</v>
      </c>
      <c r="Y5" s="5" t="n">
        <f aca="false">Size</f>
        <v>10</v>
      </c>
      <c r="Z5" s="6" t="n">
        <f aca="false">Welfare/(Size)</f>
        <v>276.902556331743</v>
      </c>
      <c r="AA5" s="6" t="n">
        <f aca="false">Profit/(Size)</f>
        <v>-16.1250656979185</v>
      </c>
      <c r="AB5" s="6" t="n">
        <f aca="false">Utility/(Size)</f>
        <v>293.027622029662</v>
      </c>
    </row>
    <row r="6" customFormat="false" ht="13" hidden="false" customHeight="false" outlineLevel="0" collapsed="false">
      <c r="A6" s="2" t="n">
        <v>0.18637005171935</v>
      </c>
      <c r="B6" s="2" t="n">
        <f aca="false">Tau</f>
        <v>0.18637005171935</v>
      </c>
      <c r="C6" s="2" t="n">
        <v>20</v>
      </c>
      <c r="D6" s="2" t="n">
        <v>0</v>
      </c>
      <c r="E6" s="2" t="n">
        <f aca="false">Size-a</f>
        <v>20</v>
      </c>
      <c r="F6" s="4" t="n">
        <f aca="false">(EXP(alpha*(Tau+OldTau+zeta-2*a*psi))*((EXP(alpha*a*psi)-EXP(alpha*b*psi))^2))/((EXP(alpha*a*psi)-EXP(alpha*(2*OldTau+b*psi)))*(alpha^2)*(psi^2))</f>
        <v>8.36669490905323</v>
      </c>
      <c r="G6" s="4" t="n">
        <f aca="false">(EXP(alpha*(zeta+(2*b-a)*psi))*(-1+EXP(alpha*(-1)*Size*psi))*(EXP(alpha*(2*(Tau+OldTau)+a*psi))-EXP(alpha*(2*(Tau+OldTau)+b*psi))))/(((EXP(alpha*a*psi)-EXP(alpha*(2*OldTau+b*psi)))^2)*(alpha^2)*(psi^2))</f>
        <v>0.297130529996781</v>
      </c>
      <c r="H6" s="5" t="n">
        <f aca="false">-Beta/alpha</f>
        <v>180</v>
      </c>
      <c r="I6" s="5" t="n">
        <f aca="false">(-EXP(alpha*zeta)*Beta*(-1+EXP(alpha*Size*psi)-Size*alpha*psi))/((alpha^3)*(psi^2))</f>
        <v>4793.10036728108</v>
      </c>
      <c r="J6" s="5" t="n">
        <f aca="false">Beta*Theta</f>
        <v>14.4</v>
      </c>
      <c r="K6" s="5" t="n">
        <f aca="false">Beta*Theta</f>
        <v>14.4</v>
      </c>
      <c r="L6" s="5" t="n">
        <f aca="false">kappa</f>
        <v>90</v>
      </c>
      <c r="M6" s="5" t="n">
        <f aca="false">Gamma*Size</f>
        <v>0</v>
      </c>
      <c r="N6" s="5" t="n">
        <f aca="false">Size*Beta*Phi</f>
        <v>64.8</v>
      </c>
      <c r="O6" s="5" t="n">
        <f aca="false">-(EXP(alpha*a*psi)+EXP(alpha*b*psi)*(-1+Size*psi*alpha))*(Beta*Phi)/((alpha*psi)*(EXP(alpha*a*psi)-EXP(alpha*b*psi)))</f>
        <v>18.2047588673666</v>
      </c>
      <c r="P6" s="5" t="n">
        <f aca="false">(EXP(alpha*(zeta-a*psi))*Beta*Phi*(-EXP(alpha*a*psi)*(-2+(-1)*Size*alpha*psi)+EXP(alpha*b*psi)*(-2+Size*alpha*psi)))/((alpha^3)*(psi^3))</f>
        <v>350.452349206022</v>
      </c>
      <c r="Q6" s="5" t="n">
        <f aca="false">Tau*Beta</f>
        <v>33.546609309483</v>
      </c>
      <c r="R6" s="5" t="n">
        <f aca="false">Tau*Beta</f>
        <v>33.546609309483</v>
      </c>
      <c r="S6" s="6" t="n">
        <f aca="false">Tau</f>
        <v>0.18637005171935</v>
      </c>
      <c r="T6" s="5" t="n">
        <f aca="false">Profit+Utility</f>
        <v>5866.53747830267</v>
      </c>
      <c r="U6" s="5" t="n">
        <f aca="false">(2*ij*BRIJ)+2*jj*BRJJ</f>
        <v>581.283934258741</v>
      </c>
      <c r="V6" s="5" t="n">
        <f aca="false">2*(ij*BCCIJ)+(2*jj*BCCJJ)+BCS+jj*BCPTJJ+2*(ij*BCPTIJ)+BCPTII+BCk</f>
        <v>1013.85190686673</v>
      </c>
      <c r="W6" s="5" t="n">
        <f aca="false">ij*BUTIJ+BUTII</f>
        <v>6299.10545091066</v>
      </c>
      <c r="X6" s="5" t="n">
        <f aca="false">Revenue-Cost</f>
        <v>-432.567972607989</v>
      </c>
      <c r="Y6" s="5" t="n">
        <f aca="false">Size</f>
        <v>20</v>
      </c>
      <c r="Z6" s="6" t="n">
        <f aca="false">Welfare/(Size)</f>
        <v>293.326873915134</v>
      </c>
      <c r="AA6" s="6" t="n">
        <f aca="false">Profit/(Size)</f>
        <v>-21.6283986303994</v>
      </c>
      <c r="AB6" s="6" t="n">
        <f aca="false">Utility/(Size)</f>
        <v>314.955272545533</v>
      </c>
    </row>
    <row r="7" customFormat="false" ht="13" hidden="false" customHeight="false" outlineLevel="0" collapsed="false">
      <c r="A7" s="2" t="n">
        <v>0.199749850156795</v>
      </c>
      <c r="B7" s="2" t="n">
        <f aca="false">Tau</f>
        <v>0.199749850156795</v>
      </c>
      <c r="C7" s="2" t="n">
        <v>50</v>
      </c>
      <c r="D7" s="2" t="n">
        <v>0</v>
      </c>
      <c r="E7" s="2" t="n">
        <f aca="false">Size-a</f>
        <v>50</v>
      </c>
      <c r="F7" s="4" t="n">
        <f aca="false">(EXP(alpha*(Tau+OldTau+zeta-2*a*psi))*((EXP(alpha*a*psi)-EXP(alpha*b*psi))^2))/((EXP(alpha*a*psi)-EXP(alpha*(2*OldTau+b*psi)))*(alpha^2)*(psi^2))</f>
        <v>8.70593339459746</v>
      </c>
      <c r="G7" s="4" t="n">
        <f aca="false">(EXP(alpha*(zeta+(2*b-a)*psi))*(-1+EXP(alpha*(-1)*Size*psi))*(EXP(alpha*(2*(Tau+OldTau)+a*psi))-EXP(alpha*(2*(Tau+OldTau)+b*psi))))/(((EXP(alpha*a*psi)-EXP(alpha*(2*OldTau+b*psi)))^2)*(alpha^2)*(psi^2))</f>
        <v>0.00323048205500055</v>
      </c>
      <c r="H7" s="5" t="n">
        <f aca="false">-Beta/alpha</f>
        <v>180</v>
      </c>
      <c r="I7" s="5" t="n">
        <f aca="false">(-EXP(alpha*zeta)*Beta*(-1+EXP(alpha*Size*psi)-Size*alpha*psi))/((alpha^3)*(psi^2))</f>
        <v>15200.5073390545</v>
      </c>
      <c r="J7" s="5" t="n">
        <f aca="false">Beta*Theta</f>
        <v>14.4</v>
      </c>
      <c r="K7" s="5" t="n">
        <f aca="false">Beta*Theta</f>
        <v>14.4</v>
      </c>
      <c r="L7" s="5" t="n">
        <f aca="false">kappa</f>
        <v>90</v>
      </c>
      <c r="M7" s="5" t="n">
        <f aca="false">Gamma*Size</f>
        <v>0</v>
      </c>
      <c r="N7" s="5" t="n">
        <f aca="false">Size*Beta*Phi</f>
        <v>162</v>
      </c>
      <c r="O7" s="5" t="n">
        <f aca="false">-(EXP(alpha*a*psi)+EXP(alpha*b*psi)*(-1+Size*psi*alpha))*(Beta*Phi)/((alpha*psi)*(EXP(alpha*a*psi)-EXP(alpha*b*psi)))</f>
        <v>21.5103507484362</v>
      </c>
      <c r="P7" s="5" t="n">
        <f aca="false">(EXP(alpha*(zeta-a*psi))*Beta*Phi*(-EXP(alpha*a*psi)*(-2+(-1)*Size*alpha*psi)+EXP(alpha*b*psi)*(-2+Size*alpha*psi)))/((alpha^3)*(psi^3))</f>
        <v>1544.77917175571</v>
      </c>
      <c r="Q7" s="5" t="n">
        <f aca="false">Tau*Beta</f>
        <v>35.954973028223</v>
      </c>
      <c r="R7" s="5" t="n">
        <f aca="false">Tau*Beta</f>
        <v>35.954973028223</v>
      </c>
      <c r="S7" s="6" t="n">
        <f aca="false">Tau</f>
        <v>0.199749850156795</v>
      </c>
      <c r="T7" s="5" t="n">
        <f aca="false">Profit+Utility</f>
        <v>15133.189063332</v>
      </c>
      <c r="U7" s="5" t="n">
        <f aca="false">(2*ij*BRIJ)+2*jj*BRJJ</f>
        <v>626.275504566827</v>
      </c>
      <c r="V7" s="5" t="n">
        <f aca="false">2*(ij*BCCIJ)+(2*jj*BCCJJ)+BCS+jj*BCPTJJ+2*(ij*BCPTIJ)+BCPTII+BCk</f>
        <v>2260.66179131685</v>
      </c>
      <c r="W7" s="5" t="n">
        <f aca="false">ij*BUTIJ+BUTII</f>
        <v>16767.575350082</v>
      </c>
      <c r="X7" s="5" t="n">
        <f aca="false">Revenue-Cost</f>
        <v>-1634.38628675002</v>
      </c>
      <c r="Y7" s="5" t="n">
        <f aca="false">Size</f>
        <v>50</v>
      </c>
      <c r="Z7" s="6" t="n">
        <f aca="false">Welfare/(Size)</f>
        <v>302.66378126664</v>
      </c>
      <c r="AA7" s="6" t="n">
        <f aca="false">Profit/(Size)</f>
        <v>-32.6877257350004</v>
      </c>
      <c r="AB7" s="6" t="n">
        <f aca="false">Utility/(Size)</f>
        <v>335.351507001641</v>
      </c>
    </row>
    <row r="8" customFormat="false" ht="13" hidden="false" customHeight="false" outlineLevel="0" collapsed="false">
      <c r="A8" s="2" t="n">
        <v>0.200002580758362</v>
      </c>
      <c r="B8" s="2" t="n">
        <f aca="false">Tau</f>
        <v>0.200002580758362</v>
      </c>
      <c r="C8" s="2" t="n">
        <v>100</v>
      </c>
      <c r="D8" s="2" t="n">
        <v>0</v>
      </c>
      <c r="E8" s="2" t="n">
        <f aca="false">Size-a</f>
        <v>100</v>
      </c>
      <c r="F8" s="4" t="n">
        <f aca="false">(EXP(alpha*(Tau+OldTau+zeta-2*a*psi))*((EXP(alpha*a*psi)-EXP(alpha*b*psi))^2))/((EXP(alpha*a*psi)-EXP(alpha*(2*OldTau+b*psi)))*(alpha^2)*(psi^2))</f>
        <v>8.70793258405198</v>
      </c>
      <c r="G8" s="4" t="n">
        <f aca="false">(EXP(alpha*(zeta+(2*b-a)*psi))*(-1+EXP(alpha*(-1)*Size*psi))*(EXP(alpha*(2*(Tau+OldTau)+a*psi))-EXP(alpha*(2*(Tau+OldTau)+b*psi))))/(((EXP(alpha*a*psi)-EXP(alpha*(2*OldTau+b*psi)))^2)*(alpha^2)*(psi^2))</f>
        <v>1.78557412647891E-006</v>
      </c>
      <c r="H8" s="5" t="n">
        <f aca="false">-Beta/alpha</f>
        <v>180</v>
      </c>
      <c r="I8" s="5" t="n">
        <f aca="false">(-EXP(alpha*zeta)*Beta*(-1+EXP(alpha*Size*psi)-Size*alpha*psi))/((alpha^3)*(psi^2))</f>
        <v>32736.7694155601</v>
      </c>
      <c r="J8" s="5" t="n">
        <f aca="false">Beta*Theta</f>
        <v>14.4</v>
      </c>
      <c r="K8" s="5" t="n">
        <f aca="false">Beta*Theta</f>
        <v>14.4</v>
      </c>
      <c r="L8" s="5" t="n">
        <f aca="false">kappa</f>
        <v>90</v>
      </c>
      <c r="M8" s="5" t="n">
        <f aca="false">Gamma*Size</f>
        <v>0</v>
      </c>
      <c r="N8" s="5" t="n">
        <f aca="false">Size*Beta*Phi</f>
        <v>324</v>
      </c>
      <c r="O8" s="5" t="n">
        <f aca="false">-(EXP(alpha*a*psi)+EXP(alpha*b*psi)*(-1+Size*psi*alpha))*(Beta*Phi)/((alpha*psi)*(EXP(alpha*a*psi)-EXP(alpha*b*psi)))</f>
        <v>21.5999008876178</v>
      </c>
      <c r="P8" s="5" t="n">
        <f aca="false">(EXP(alpha*(zeta-a*psi))*Beta*Phi*(-EXP(alpha*a*psi)*(-2+(-1)*Size*alpha*psi)+EXP(alpha*b*psi)*(-2+Size*alpha*psi)))/((alpha^3)*(psi^3))</f>
        <v>3647.81282867692</v>
      </c>
      <c r="Q8" s="5" t="n">
        <f aca="false">Tau*Beta</f>
        <v>36.0004645365052</v>
      </c>
      <c r="R8" s="5" t="n">
        <f aca="false">Tau*Beta</f>
        <v>36.0004645365052</v>
      </c>
      <c r="S8" s="6" t="n">
        <f aca="false">Tau</f>
        <v>0.200002580758362</v>
      </c>
      <c r="T8" s="5" t="n">
        <f aca="false">Profit+Utility</f>
        <v>30566.393767058</v>
      </c>
      <c r="U8" s="5" t="n">
        <f aca="false">(2*ij*BRIJ)+2*jj*BRJJ</f>
        <v>626.979364919878</v>
      </c>
      <c r="V8" s="5" t="n">
        <f aca="false">2*(ij*BCCIJ)+(2*jj*BCCJJ)+BCS+jj*BCPTJJ+2*(ij*BCPTIJ)+BCPTII+BCk</f>
        <v>4364.78287855133</v>
      </c>
      <c r="W8" s="5" t="n">
        <f aca="false">ij*BUTIJ+BUTII</f>
        <v>34304.1972806894</v>
      </c>
      <c r="X8" s="5" t="n">
        <f aca="false">Revenue-Cost</f>
        <v>-3737.80351363145</v>
      </c>
      <c r="Y8" s="5" t="n">
        <f aca="false">Size</f>
        <v>100</v>
      </c>
      <c r="Z8" s="6" t="n">
        <f aca="false">Welfare/(Size)</f>
        <v>305.66393767058</v>
      </c>
      <c r="AA8" s="6" t="n">
        <f aca="false">Profit/(Size)</f>
        <v>-37.3780351363145</v>
      </c>
      <c r="AB8" s="6" t="n">
        <f aca="false">Utility/(Size)</f>
        <v>343.041972806894</v>
      </c>
    </row>
    <row r="9" customFormat="false" ht="13" hidden="false" customHeight="false" outlineLevel="0" collapsed="false">
      <c r="A9" s="2" t="n">
        <v>0.200002811538664</v>
      </c>
      <c r="B9" s="2" t="n">
        <f aca="false">Tau</f>
        <v>0.200002811538664</v>
      </c>
      <c r="C9" s="2" t="n">
        <v>200</v>
      </c>
      <c r="D9" s="2" t="n">
        <v>0</v>
      </c>
      <c r="E9" s="2" t="n">
        <f aca="false">Size-a</f>
        <v>200</v>
      </c>
      <c r="F9" s="4" t="n">
        <f aca="false">(EXP(alpha*(Tau+OldTau+zeta-2*a*psi))*((EXP(alpha*a*psi)-EXP(alpha*b*psi))^2))/((EXP(alpha*a*psi)-EXP(alpha*(2*OldTau+b*psi)))*(alpha^2)*(psi^2))</f>
        <v>8.70793210679273</v>
      </c>
      <c r="G9" s="4" t="n">
        <f aca="false">(EXP(alpha*(zeta+(2*b-a)*psi))*(-1+EXP(alpha*(-1)*Size*psi))*(EXP(alpha*(2*(Tau+OldTau)+a*psi))-EXP(alpha*(2*(Tau+OldTau)+b*psi))))/(((EXP(alpha*a*psi)-EXP(alpha*(2*OldTau+b*psi)))^2)*(alpha^2)*(psi^2))</f>
        <v>5.4621087467067E-013</v>
      </c>
      <c r="H9" s="5" t="n">
        <f aca="false">-Beta/alpha</f>
        <v>180</v>
      </c>
      <c r="I9" s="5" t="n">
        <f aca="false">(-EXP(alpha*zeta)*Beta*(-1+EXP(alpha*Size*psi)-Size*alpha*psi))/((alpha^3)*(psi^2))</f>
        <v>67811.8780219596</v>
      </c>
      <c r="J9" s="5" t="n">
        <f aca="false">Beta*Theta</f>
        <v>14.4</v>
      </c>
      <c r="K9" s="5" t="n">
        <f aca="false">Beta*Theta</f>
        <v>14.4</v>
      </c>
      <c r="L9" s="5" t="n">
        <f aca="false">kappa</f>
        <v>90</v>
      </c>
      <c r="M9" s="5" t="n">
        <f aca="false">Gamma*Size</f>
        <v>0</v>
      </c>
      <c r="N9" s="5" t="n">
        <f aca="false">Size*Beta*Phi</f>
        <v>648</v>
      </c>
      <c r="O9" s="5" t="n">
        <f aca="false">-(EXP(alpha*a*psi)+EXP(alpha*b*psi)*(-1+Size*psi*alpha))*(Beta*Phi)/((alpha*psi)*(EXP(alpha*a*psi)-EXP(alpha*b*psi)))</f>
        <v>21.5999999999394</v>
      </c>
      <c r="P9" s="5" t="n">
        <f aca="false">(EXP(alpha*(zeta-a*psi))*Beta*Phi*(-EXP(alpha*a*psi)*(-2+(-1)*Size*alpha*psi)+EXP(alpha*b*psi)*(-2+Size*alpha*psi)))/((alpha^3)*(psi^3))</f>
        <v>7856.82448806234</v>
      </c>
      <c r="Q9" s="5" t="n">
        <f aca="false">Tau*Beta</f>
        <v>36.0005060769596</v>
      </c>
      <c r="R9" s="5" t="n">
        <f aca="false">Tau*Beta</f>
        <v>36.0005060769596</v>
      </c>
      <c r="S9" s="6" t="n">
        <f aca="false">Tau</f>
        <v>0.200002811538664</v>
      </c>
      <c r="T9" s="5" t="n">
        <f aca="false">Profit+Utility</f>
        <v>61432.4901268883</v>
      </c>
      <c r="U9" s="5" t="n">
        <f aca="false">(2*ij*BRIJ)+2*jj*BRJJ</f>
        <v>626.979925456725</v>
      </c>
      <c r="V9" s="5" t="n">
        <f aca="false">2*(ij*BCCIJ)+(2*jj*BCCJJ)+BCS+jj*BCPTJJ+2*(ij*BCPTIJ)+BCPTII+BCk</f>
        <v>8573.79559975073</v>
      </c>
      <c r="W9" s="5" t="n">
        <f aca="false">ij*BUTIJ+BUTII</f>
        <v>69379.3058011823</v>
      </c>
      <c r="X9" s="5" t="n">
        <f aca="false">Revenue-Cost</f>
        <v>-7946.81567429401</v>
      </c>
      <c r="Y9" s="5" t="n">
        <f aca="false">Size</f>
        <v>200</v>
      </c>
      <c r="Z9" s="6" t="n">
        <f aca="false">Welfare/(Size)</f>
        <v>307.162450634441</v>
      </c>
      <c r="AA9" s="6" t="n">
        <f aca="false">Profit/(Size)</f>
        <v>-39.73407837147</v>
      </c>
      <c r="AB9" s="6" t="n">
        <f aca="false">Utility/(Size)</f>
        <v>346.896529005911</v>
      </c>
    </row>
    <row r="10" customFormat="false" ht="13" hidden="false" customHeight="false" outlineLevel="0" collapsed="false">
      <c r="A10" s="2" t="n">
        <v>0.201159993587472</v>
      </c>
      <c r="B10" s="2" t="n">
        <f aca="false">Tau</f>
        <v>0.201159993587472</v>
      </c>
      <c r="C10" s="2" t="n">
        <v>500</v>
      </c>
      <c r="D10" s="2" t="n">
        <v>0</v>
      </c>
      <c r="E10" s="2" t="n">
        <f aca="false">Size-a</f>
        <v>500</v>
      </c>
      <c r="F10" s="4" t="n">
        <f aca="false">(EXP(alpha*(Tau+OldTau+zeta-2*a*psi))*((EXP(alpha*a*psi)-EXP(alpha*b*psi))^2))/((EXP(alpha*a*psi)-EXP(alpha*(2*OldTau+b*psi)))*(alpha^2)*(psi^2))</f>
        <v>8.68780208444704</v>
      </c>
      <c r="G10" s="4" t="n">
        <f aca="false">(EXP(alpha*(zeta+(2*b-a)*psi))*(-1+EXP(alpha*(-1)*Size*psi))*(EXP(alpha*(2*(Tau+OldTau)+a*psi))-EXP(alpha*(2*(Tau+OldTau)+b*psi))))/(((EXP(alpha*a*psi)-EXP(alpha*(2*OldTau+b*psi)))^2)*(alpha^2)*(psi^2))</f>
        <v>1.55631830531217E-032</v>
      </c>
      <c r="H10" s="5" t="n">
        <f aca="false">-Beta/alpha</f>
        <v>180</v>
      </c>
      <c r="I10" s="5" t="n">
        <f aca="false">(-EXP(alpha*zeta)*Beta*(-1+EXP(alpha*Size*psi)-Size*alpha*psi))/((alpha^3)*(psi^2))</f>
        <v>173037.205987069</v>
      </c>
      <c r="J10" s="5" t="n">
        <f aca="false">Beta*Theta</f>
        <v>14.4</v>
      </c>
      <c r="K10" s="5" t="n">
        <f aca="false">Beta*Theta</f>
        <v>14.4</v>
      </c>
      <c r="L10" s="5" t="n">
        <f aca="false">kappa</f>
        <v>90</v>
      </c>
      <c r="M10" s="5" t="n">
        <f aca="false">Gamma*Size</f>
        <v>0</v>
      </c>
      <c r="N10" s="5" t="n">
        <f aca="false">Size*Beta*Phi</f>
        <v>1620</v>
      </c>
      <c r="O10" s="5" t="n">
        <f aca="false">-(EXP(alpha*a*psi)+EXP(alpha*b*psi)*(-1+Size*psi*alpha))*(Beta*Phi)/((alpha*psi)*(EXP(alpha*a*psi)-EXP(alpha*b*psi)))</f>
        <v>21.6</v>
      </c>
      <c r="P10" s="5" t="n">
        <f aca="false">(EXP(alpha*(zeta-a*psi))*Beta*Phi*(-EXP(alpha*a*psi)*(-2+(-1)*Size*alpha*psi)+EXP(alpha*b*psi)*(-2+Size*alpha*psi)))/((alpha^3)*(psi^3))</f>
        <v>20483.8638438746</v>
      </c>
      <c r="Q10" s="5" t="n">
        <f aca="false">Tau*Beta</f>
        <v>36.208798845745</v>
      </c>
      <c r="R10" s="5" t="n">
        <f aca="false">Tau*Beta</f>
        <v>36.208798845745</v>
      </c>
      <c r="S10" s="6" t="n">
        <f aca="false">Tau</f>
        <v>0.201159993587472</v>
      </c>
      <c r="T10" s="5" t="n">
        <f aca="false">Profit+Utility</f>
        <v>154030.774524489</v>
      </c>
      <c r="U10" s="5" t="n">
        <f aca="false">(2*ij*BRIJ)+2*jj*BRJJ</f>
        <v>629.149756174773</v>
      </c>
      <c r="V10" s="5" t="n">
        <f aca="false">2*(ij*BCCIJ)+(2*jj*BCCJJ)+BCS+jj*BCPTJJ+2*(ij*BCPTIJ)+BCPTII+BCk</f>
        <v>21199.3855939548</v>
      </c>
      <c r="W10" s="5" t="n">
        <f aca="false">ij*BUTIJ+BUTII</f>
        <v>174601.010362269</v>
      </c>
      <c r="X10" s="5" t="n">
        <f aca="false">Revenue-Cost</f>
        <v>-20570.23583778</v>
      </c>
      <c r="Y10" s="5" t="n">
        <f aca="false">Size</f>
        <v>500</v>
      </c>
      <c r="Z10" s="6" t="n">
        <f aca="false">Welfare/(Size)</f>
        <v>308.061549048978</v>
      </c>
      <c r="AA10" s="6" t="n">
        <f aca="false">Profit/(Size)</f>
        <v>-41.1404716755601</v>
      </c>
      <c r="AB10" s="6" t="n">
        <f aca="false">Utility/(Size)</f>
        <v>349.202020724539</v>
      </c>
    </row>
    <row r="11" customFormat="false" ht="13" hidden="false" customHeight="false" outlineLevel="0" collapsed="false">
      <c r="A11" s="2" t="n">
        <v>0.201159993587526</v>
      </c>
      <c r="B11" s="2" t="n">
        <f aca="false">Tau</f>
        <v>0.201159993587526</v>
      </c>
      <c r="C11" s="2" t="n">
        <v>1000</v>
      </c>
      <c r="D11" s="2" t="n">
        <v>0</v>
      </c>
      <c r="E11" s="2" t="n">
        <f aca="false">Size-a</f>
        <v>1000</v>
      </c>
      <c r="F11" s="4" t="n">
        <f aca="false">(EXP(alpha*(Tau+OldTau+zeta-2*a*psi))*((EXP(alpha*a*psi)-EXP(alpha*b*psi))^2))/((EXP(alpha*a*psi)-EXP(alpha*(2*OldTau+b*psi)))*(alpha^2)*(psi^2))</f>
        <v>8.68780208444611</v>
      </c>
      <c r="G11" s="4" t="n">
        <f aca="false">(EXP(alpha*(zeta+(2*b-a)*psi))*(-1+EXP(alpha*(-1)*Size*psi))*(EXP(alpha*(2*(Tau+OldTau)+a*psi))-EXP(alpha*(2*(Tau+OldTau)+b*psi))))/(((EXP(alpha*a*psi)-EXP(alpha*(2*OldTau+b*psi)))^2)*(alpha^2)*(psi^2))</f>
        <v>4.16881173694669E-065</v>
      </c>
      <c r="H11" s="5" t="n">
        <f aca="false">-Beta/alpha</f>
        <v>180</v>
      </c>
      <c r="I11" s="5" t="n">
        <f aca="false">(-EXP(alpha*zeta)*Beta*(-1+EXP(alpha*Size*psi)-Size*alpha*psi))/((alpha^3)*(psi^2))</f>
        <v>348412.752595584</v>
      </c>
      <c r="J11" s="5" t="n">
        <f aca="false">Beta*Theta</f>
        <v>14.4</v>
      </c>
      <c r="K11" s="5" t="n">
        <f aca="false">Beta*Theta</f>
        <v>14.4</v>
      </c>
      <c r="L11" s="5" t="n">
        <f aca="false">kappa</f>
        <v>90</v>
      </c>
      <c r="M11" s="5" t="n">
        <f aca="false">Gamma*Size</f>
        <v>0</v>
      </c>
      <c r="N11" s="5" t="n">
        <f aca="false">Size*Beta*Phi</f>
        <v>3240</v>
      </c>
      <c r="O11" s="5" t="n">
        <f aca="false">-(EXP(alpha*a*psi)+EXP(alpha*b*psi)*(-1+Size*psi*alpha))*(Beta*Phi)/((alpha*psi)*(EXP(alpha*a*psi)-EXP(alpha*b*psi)))</f>
        <v>21.6</v>
      </c>
      <c r="P11" s="5" t="n">
        <f aca="false">(EXP(alpha*(zeta-a*psi))*Beta*Phi*(-EXP(alpha*a*psi)*(-2+(-1)*Size*alpha*psi)+EXP(alpha*b*psi)*(-2+Size*alpha*psi)))/((alpha^3)*(psi^3))</f>
        <v>41528.9294368965</v>
      </c>
      <c r="Q11" s="5" t="n">
        <f aca="false">Tau*Beta</f>
        <v>36.2087988457546</v>
      </c>
      <c r="R11" s="5" t="n">
        <f aca="false">Tau*Beta</f>
        <v>36.2087988457546</v>
      </c>
      <c r="S11" s="6" t="n">
        <f aca="false">Tau</f>
        <v>0.201159993587526</v>
      </c>
      <c r="T11" s="5" t="n">
        <f aca="false">Profit+Utility</f>
        <v>308361.255539983</v>
      </c>
      <c r="U11" s="5" t="n">
        <f aca="false">(2*ij*BRIJ)+2*jj*BRJJ</f>
        <v>629.149756174874</v>
      </c>
      <c r="V11" s="5" t="n">
        <f aca="false">2*(ij*BCCIJ)+(2*jj*BCCJJ)+BCS+jj*BCPTJJ+2*(ij*BCPTIJ)+BCPTII+BCk</f>
        <v>42244.4511869766</v>
      </c>
      <c r="W11" s="5" t="n">
        <f aca="false">ij*BUTIJ+BUTII</f>
        <v>349976.556970785</v>
      </c>
      <c r="X11" s="5" t="n">
        <f aca="false">Revenue-Cost</f>
        <v>-41615.3014308018</v>
      </c>
      <c r="Y11" s="5" t="n">
        <f aca="false">Size</f>
        <v>1000</v>
      </c>
      <c r="Z11" s="6" t="n">
        <f aca="false">Welfare/(Size)</f>
        <v>308.361255539983</v>
      </c>
      <c r="AA11" s="6" t="n">
        <f aca="false">Profit/(Size)</f>
        <v>-41.6153014308018</v>
      </c>
      <c r="AB11" s="6" t="n">
        <f aca="false">Utility/(Size)</f>
        <v>349.976556970785</v>
      </c>
    </row>
    <row r="12" customFormat="false" ht="13" hidden="false" customHeight="false" outlineLevel="0" collapsed="false">
      <c r="F12" s="2"/>
    </row>
    <row r="13" customFormat="false" ht="13" hidden="false" customHeight="false" outlineLevel="0" collapsed="false">
      <c r="F13" s="2"/>
    </row>
    <row r="14" customFormat="false" ht="13" hidden="false" customHeight="false" outlineLevel="0" collapsed="false">
      <c r="F14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57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D11" activeCellId="0" sqref="D11"/>
    </sheetView>
  </sheetViews>
  <sheetFormatPr defaultColWidth="11.0546875" defaultRowHeight="13" customHeight="false" zeroHeight="false" outlineLevelRow="0" outlineLevelCol="0"/>
  <cols>
    <col collapsed="false" customWidth="true" hidden="false" outlineLevel="0" max="5" min="5" style="6" width="10.71"/>
    <col collapsed="false" customWidth="true" hidden="false" outlineLevel="0" max="11" min="10" style="6" width="10.71"/>
    <col collapsed="false" customWidth="true" hidden="false" outlineLevel="0" max="16" min="13" style="5" width="10.71"/>
    <col collapsed="false" customWidth="true" hidden="false" outlineLevel="0" max="40" min="40" style="2" width="17.28"/>
    <col collapsed="false" customWidth="true" hidden="false" outlineLevel="0" max="41" min="41" style="2" width="3.85"/>
    <col collapsed="false" customWidth="true" hidden="false" outlineLevel="0" max="42" min="42" style="2" width="4.85"/>
    <col collapsed="false" customWidth="true" hidden="false" outlineLevel="0" max="43" min="43" style="2" width="6.28"/>
    <col collapsed="false" customWidth="true" hidden="false" outlineLevel="0" max="44" min="44" style="2" width="8.99"/>
    <col collapsed="false" customWidth="true" hidden="false" outlineLevel="0" max="45" min="45" style="2" width="6.13"/>
    <col collapsed="false" customWidth="true" hidden="false" outlineLevel="0" max="46" min="46" style="2" width="8.14"/>
  </cols>
  <sheetData>
    <row r="1" customFormat="false" ht="13" hidden="false" customHeight="false" outlineLevel="0" collapsed="false">
      <c r="A1" s="2" t="s">
        <v>15</v>
      </c>
      <c r="B1" s="5" t="s">
        <v>51</v>
      </c>
      <c r="C1" s="5" t="s">
        <v>52</v>
      </c>
      <c r="D1" s="5" t="s">
        <v>53</v>
      </c>
      <c r="E1" s="6" t="s">
        <v>54</v>
      </c>
      <c r="F1" s="5"/>
      <c r="G1" s="5" t="s">
        <v>55</v>
      </c>
      <c r="H1" s="5" t="s">
        <v>56</v>
      </c>
      <c r="I1" s="5" t="s">
        <v>53</v>
      </c>
      <c r="J1" s="6" t="s">
        <v>54</v>
      </c>
      <c r="L1" s="2" t="s">
        <v>15</v>
      </c>
      <c r="M1" s="5" t="s">
        <v>57</v>
      </c>
      <c r="N1" s="5" t="s">
        <v>58</v>
      </c>
      <c r="O1" s="5" t="s">
        <v>59</v>
      </c>
      <c r="P1" s="2" t="s">
        <v>15</v>
      </c>
      <c r="Q1" s="2" t="s">
        <v>60</v>
      </c>
      <c r="R1" s="2" t="s">
        <v>61</v>
      </c>
      <c r="U1" s="2" t="str">
        <f aca="false">A1</f>
        <v>Size</v>
      </c>
      <c r="V1" s="5" t="str">
        <f aca="false">B1</f>
        <v>Welfare (TX)</v>
      </c>
      <c r="W1" s="5" t="str">
        <f aca="false">C1</f>
        <v>Welfare (XX)</v>
      </c>
      <c r="X1" s="5" t="str">
        <f aca="false">G1</f>
        <v>Welfare (TT)</v>
      </c>
      <c r="Y1" s="5" t="str">
        <f aca="false">H1</f>
        <v>Welfare (XT)</v>
      </c>
      <c r="AC1" s="2" t="str">
        <f aca="false">A1</f>
        <v>Size</v>
      </c>
      <c r="AD1" s="5" t="str">
        <f aca="false">B1</f>
        <v>Welfare (TX)</v>
      </c>
      <c r="AE1" s="5" t="str">
        <f aca="false">+C1</f>
        <v>Welfare (XX)</v>
      </c>
      <c r="AF1" s="5" t="str">
        <f aca="false">G1</f>
        <v>Welfare (TT)</v>
      </c>
      <c r="AG1" s="5" t="str">
        <f aca="false">H1</f>
        <v>Welfare (XT)</v>
      </c>
      <c r="AH1" s="5" t="s">
        <v>15</v>
      </c>
      <c r="AI1" s="5" t="s">
        <v>62</v>
      </c>
      <c r="AJ1" s="5" t="s">
        <v>63</v>
      </c>
      <c r="AK1" s="5" t="s">
        <v>64</v>
      </c>
      <c r="AL1" s="5" t="s">
        <v>65</v>
      </c>
      <c r="AM1" s="5"/>
      <c r="AN1" s="5"/>
      <c r="AO1" s="2" t="s">
        <v>66</v>
      </c>
      <c r="AR1" s="2" t="s">
        <v>67</v>
      </c>
      <c r="AS1" s="2" t="s">
        <v>68</v>
      </c>
      <c r="AT1" s="2" t="s">
        <v>67</v>
      </c>
      <c r="AU1" s="2" t="s">
        <v>68</v>
      </c>
      <c r="AW1" s="2" t="s">
        <v>67</v>
      </c>
      <c r="AX1" s="2" t="s">
        <v>68</v>
      </c>
      <c r="AY1" s="2" t="s">
        <v>67</v>
      </c>
      <c r="AZ1" s="2" t="s">
        <v>68</v>
      </c>
      <c r="BA1" s="2" t="s">
        <v>69</v>
      </c>
      <c r="BB1" s="2" t="s">
        <v>70</v>
      </c>
      <c r="BC1" s="2" t="s">
        <v>71</v>
      </c>
      <c r="BD1" s="2" t="s">
        <v>72</v>
      </c>
    </row>
    <row r="2" customFormat="false" ht="13" hidden="false" customHeight="false" outlineLevel="0" collapsed="false">
      <c r="A2" s="2" t="n">
        <v>1</v>
      </c>
      <c r="B2" s="5" t="n">
        <f aca="false">'W-Toll(All-Tax)'!Z2</f>
        <v>916.113316207213</v>
      </c>
      <c r="C2" s="5" t="n">
        <f aca="false">'W-Tax(All-Tax)'!Z2</f>
        <v>308.660962030988</v>
      </c>
      <c r="D2" s="5" t="n">
        <f aca="false">B2-C2+kappa</f>
        <v>697.452354176226</v>
      </c>
      <c r="E2" s="6" t="n">
        <f aca="false">D2/B2</f>
        <v>0.7613166863066</v>
      </c>
      <c r="F2" s="5"/>
      <c r="G2" s="5" t="n">
        <f aca="false">'W-Toll(All-Toll)-NONC'!Z2</f>
        <v>-20.2245714377075</v>
      </c>
      <c r="H2" s="5" t="n">
        <f aca="false">'W-Tax(All-Toll)-NONC'!Z2</f>
        <v>-40.8946620296133</v>
      </c>
      <c r="I2" s="5" t="n">
        <f aca="false">G2-H2+kappa</f>
        <v>110.670090591906</v>
      </c>
      <c r="J2" s="6" t="n">
        <f aca="false">I2/G2</f>
        <v>-5.47206109819307</v>
      </c>
      <c r="L2" s="2" t="n">
        <f aca="false">A2</f>
        <v>1</v>
      </c>
      <c r="M2" s="5" t="n">
        <f aca="false">D2</f>
        <v>697.452354176226</v>
      </c>
      <c r="N2" s="5" t="n">
        <f aca="false">I2</f>
        <v>110.670090591906</v>
      </c>
      <c r="O2" s="5" t="n">
        <f aca="false">kappa</f>
        <v>90</v>
      </c>
      <c r="P2" s="2" t="n">
        <f aca="false">A2</f>
        <v>1</v>
      </c>
      <c r="Q2" s="6" t="n">
        <f aca="false">E2</f>
        <v>0.7613166863066</v>
      </c>
      <c r="R2" s="6" t="n">
        <f aca="false">J2</f>
        <v>-5.47206109819307</v>
      </c>
      <c r="U2" s="2" t="n">
        <f aca="false">A2</f>
        <v>1</v>
      </c>
      <c r="V2" s="5" t="n">
        <f aca="false">B2/U2</f>
        <v>916.113316207213</v>
      </c>
      <c r="W2" s="5" t="n">
        <f aca="false">C2/U2</f>
        <v>308.660962030988</v>
      </c>
      <c r="X2" s="5" t="n">
        <f aca="false">G2/U2</f>
        <v>-20.2245714377075</v>
      </c>
      <c r="Y2" s="5" t="n">
        <f aca="false">H2/U2</f>
        <v>-40.8946620296133</v>
      </c>
      <c r="AC2" s="2" t="n">
        <f aca="false">A2</f>
        <v>1</v>
      </c>
      <c r="AD2" s="5" t="n">
        <f aca="false">B2</f>
        <v>916.113316207213</v>
      </c>
      <c r="AE2" s="5" t="n">
        <f aca="false">+C2</f>
        <v>308.660962030988</v>
      </c>
      <c r="AF2" s="5" t="n">
        <f aca="false">G2</f>
        <v>-20.2245714377075</v>
      </c>
      <c r="AG2" s="5" t="n">
        <f aca="false">H2</f>
        <v>-40.8946620296133</v>
      </c>
      <c r="AH2" s="5" t="n">
        <f aca="false">AC2</f>
        <v>1</v>
      </c>
      <c r="AI2" s="5" t="n">
        <f aca="false">AD2/$AC2</f>
        <v>916.113316207213</v>
      </c>
      <c r="AJ2" s="5" t="n">
        <f aca="false">AE2/$AC2</f>
        <v>308.660962030988</v>
      </c>
      <c r="AK2" s="5" t="n">
        <f aca="false">AF2/$AC2</f>
        <v>-20.2245714377075</v>
      </c>
      <c r="AL2" s="5" t="n">
        <f aca="false">AG2/$AC2</f>
        <v>-40.8946620296133</v>
      </c>
      <c r="AM2" s="5"/>
      <c r="AN2" s="5"/>
      <c r="AQ2" s="2" t="s">
        <v>73</v>
      </c>
      <c r="AR2" s="5" t="n">
        <f aca="false">AE2</f>
        <v>308.660962030988</v>
      </c>
      <c r="AS2" s="5" t="n">
        <f aca="false">AE2</f>
        <v>308.660962030988</v>
      </c>
      <c r="AT2" s="5" t="n">
        <f aca="false">AG2</f>
        <v>-40.8946620296133</v>
      </c>
      <c r="AU2" s="5" t="n">
        <f aca="false">AD2</f>
        <v>916.113316207213</v>
      </c>
      <c r="AV2" s="2" t="s">
        <v>74</v>
      </c>
      <c r="AW2" s="5" t="n">
        <f aca="false">AD2</f>
        <v>916.113316207213</v>
      </c>
      <c r="AX2" s="5" t="n">
        <f aca="false">AG2</f>
        <v>-40.8946620296133</v>
      </c>
      <c r="AY2" s="5" t="n">
        <f aca="false">AF2</f>
        <v>-20.2245714377075</v>
      </c>
      <c r="AZ2" s="5" t="n">
        <f aca="false">AF2</f>
        <v>-20.2245714377075</v>
      </c>
      <c r="BA2" s="5" t="n">
        <f aca="false">AR2+AS2</f>
        <v>617.321924061975</v>
      </c>
      <c r="BB2" s="5" t="n">
        <f aca="false">AT2+AU2</f>
        <v>875.2186541776</v>
      </c>
      <c r="BC2" s="5" t="n">
        <f aca="false">AW2+AX2</f>
        <v>875.2186541776</v>
      </c>
      <c r="BD2" s="5" t="n">
        <f aca="false">AY2+AZ2</f>
        <v>-40.449142875415</v>
      </c>
    </row>
    <row r="3" customFormat="false" ht="13" hidden="false" customHeight="false" outlineLevel="0" collapsed="false">
      <c r="A3" s="2" t="n">
        <v>2</v>
      </c>
      <c r="B3" s="5" t="n">
        <f aca="false">'W-Toll(All-Tax)'!Z3</f>
        <v>597.677184951796</v>
      </c>
      <c r="C3" s="5" t="n">
        <f aca="false">'W-Tax(All-Tax)'!Z3</f>
        <v>308.660962030988</v>
      </c>
      <c r="D3" s="5" t="n">
        <f aca="false">B3-C3+kappa</f>
        <v>379.016222920808</v>
      </c>
      <c r="E3" s="6" t="n">
        <f aca="false">D3/B3</f>
        <v>0.634148721857899</v>
      </c>
      <c r="F3" s="5"/>
      <c r="G3" s="5" t="n">
        <f aca="false">'W-Toll(All-Toll)-NONC'!Z3</f>
        <v>72.3526095937818</v>
      </c>
      <c r="H3" s="5" t="n">
        <f aca="false">'W-Tax(All-Toll)-NONC'!Z3</f>
        <v>41.3310071998244</v>
      </c>
      <c r="I3" s="5" t="n">
        <f aca="false">G3-H3+kappa</f>
        <v>121.021602393957</v>
      </c>
      <c r="J3" s="6" t="n">
        <f aca="false">I3/G3</f>
        <v>1.67266395881813</v>
      </c>
      <c r="L3" s="2" t="n">
        <f aca="false">A3</f>
        <v>2</v>
      </c>
      <c r="M3" s="5" t="n">
        <f aca="false">D3</f>
        <v>379.016222920808</v>
      </c>
      <c r="N3" s="5" t="n">
        <f aca="false">I3</f>
        <v>121.021602393957</v>
      </c>
      <c r="O3" s="5" t="n">
        <f aca="false">kappa</f>
        <v>90</v>
      </c>
      <c r="P3" s="2" t="n">
        <f aca="false">A3</f>
        <v>2</v>
      </c>
      <c r="Q3" s="6" t="n">
        <f aca="false">E3</f>
        <v>0.634148721857899</v>
      </c>
      <c r="R3" s="6" t="n">
        <f aca="false">J3</f>
        <v>1.67266395881813</v>
      </c>
      <c r="U3" s="2" t="n">
        <f aca="false">A3</f>
        <v>2</v>
      </c>
      <c r="V3" s="5" t="n">
        <f aca="false">B3/U3</f>
        <v>298.838592475898</v>
      </c>
      <c r="W3" s="5" t="n">
        <f aca="false">C3/U3</f>
        <v>154.330481015494</v>
      </c>
      <c r="X3" s="5" t="n">
        <f aca="false">G3/U3</f>
        <v>36.1763047968909</v>
      </c>
      <c r="Y3" s="5" t="n">
        <f aca="false">H3/U3</f>
        <v>20.6655035999122</v>
      </c>
      <c r="AC3" s="2" t="n">
        <f aca="false">A3</f>
        <v>2</v>
      </c>
      <c r="AD3" s="5" t="n">
        <f aca="false">B3</f>
        <v>597.677184951796</v>
      </c>
      <c r="AE3" s="5" t="n">
        <f aca="false">+C3</f>
        <v>308.660962030988</v>
      </c>
      <c r="AF3" s="5" t="n">
        <f aca="false">G3</f>
        <v>72.3526095937818</v>
      </c>
      <c r="AG3" s="5" t="n">
        <f aca="false">H3</f>
        <v>41.3310071998244</v>
      </c>
      <c r="AH3" s="5" t="n">
        <f aca="false">AC3</f>
        <v>2</v>
      </c>
      <c r="AI3" s="5" t="n">
        <f aca="false">AD3/$AC3</f>
        <v>298.838592475898</v>
      </c>
      <c r="AJ3" s="5" t="n">
        <f aca="false">AE3/$AC3</f>
        <v>154.330481015494</v>
      </c>
      <c r="AK3" s="5" t="n">
        <f aca="false">AF3/$AC3</f>
        <v>36.1763047968909</v>
      </c>
      <c r="AL3" s="5" t="n">
        <f aca="false">AG3/$AC3</f>
        <v>20.6655035999122</v>
      </c>
      <c r="AM3" s="5"/>
      <c r="AN3" s="5"/>
      <c r="AQ3" s="2" t="s">
        <v>73</v>
      </c>
      <c r="AR3" s="5" t="n">
        <f aca="false">AE3</f>
        <v>308.660962030988</v>
      </c>
      <c r="AS3" s="5" t="n">
        <f aca="false">AE3</f>
        <v>308.660962030988</v>
      </c>
      <c r="AT3" s="5" t="n">
        <f aca="false">AG3</f>
        <v>41.3310071998244</v>
      </c>
      <c r="AU3" s="5" t="n">
        <f aca="false">AD3</f>
        <v>597.677184951796</v>
      </c>
      <c r="AV3" s="2" t="s">
        <v>74</v>
      </c>
      <c r="AW3" s="5" t="n">
        <f aca="false">AD3</f>
        <v>597.677184951796</v>
      </c>
      <c r="AX3" s="5" t="n">
        <f aca="false">AG3</f>
        <v>41.3310071998244</v>
      </c>
      <c r="AY3" s="5" t="n">
        <f aca="false">AF3</f>
        <v>72.3526095937818</v>
      </c>
      <c r="AZ3" s="5" t="n">
        <f aca="false">AF3</f>
        <v>72.3526095937818</v>
      </c>
      <c r="BA3" s="5" t="n">
        <f aca="false">AR3+AS3</f>
        <v>617.321924061975</v>
      </c>
      <c r="BB3" s="5" t="n">
        <f aca="false">AT3+AU3</f>
        <v>639.00819215162</v>
      </c>
      <c r="BC3" s="5" t="n">
        <f aca="false">AW3+AX3</f>
        <v>639.00819215162</v>
      </c>
      <c r="BD3" s="5" t="n">
        <f aca="false">AY3+AZ3</f>
        <v>144.705219187564</v>
      </c>
    </row>
    <row r="4" customFormat="false" ht="13" hidden="false" customHeight="false" outlineLevel="0" collapsed="false">
      <c r="A4" s="2" t="n">
        <v>5</v>
      </c>
      <c r="B4" s="5" t="n">
        <f aca="false">'W-Toll(All-Tax)'!Z4</f>
        <v>412.169030434292</v>
      </c>
      <c r="C4" s="5" t="n">
        <f aca="false">'W-Tax(All-Tax)'!Z4</f>
        <v>308.660962030988</v>
      </c>
      <c r="D4" s="5" t="n">
        <f aca="false">B4-C4+kappa</f>
        <v>193.508068403304</v>
      </c>
      <c r="E4" s="6" t="n">
        <f aca="false">D4/B4</f>
        <v>0.469487162098059</v>
      </c>
      <c r="F4" s="5"/>
      <c r="G4" s="5" t="n">
        <f aca="false">'W-Toll(All-Toll)-NONC'!Z4</f>
        <v>177.307286639362</v>
      </c>
      <c r="H4" s="5" t="n">
        <f aca="false">'W-Tax(All-Toll)-NONC'!Z4</f>
        <v>138.974275891977</v>
      </c>
      <c r="I4" s="5" t="n">
        <f aca="false">G4-H4+kappa</f>
        <v>128.333010747385</v>
      </c>
      <c r="J4" s="6" t="n">
        <f aca="false">I4/G4</f>
        <v>0.723788701410851</v>
      </c>
      <c r="L4" s="2" t="n">
        <f aca="false">A4</f>
        <v>5</v>
      </c>
      <c r="M4" s="5" t="n">
        <f aca="false">D4</f>
        <v>193.508068403304</v>
      </c>
      <c r="N4" s="5" t="n">
        <f aca="false">I4</f>
        <v>128.333010747385</v>
      </c>
      <c r="O4" s="5" t="n">
        <f aca="false">kappa</f>
        <v>90</v>
      </c>
      <c r="P4" s="2" t="n">
        <f aca="false">A4</f>
        <v>5</v>
      </c>
      <c r="Q4" s="6" t="n">
        <f aca="false">E4</f>
        <v>0.469487162098059</v>
      </c>
      <c r="R4" s="6" t="n">
        <f aca="false">J4</f>
        <v>0.723788701410851</v>
      </c>
      <c r="U4" s="2" t="n">
        <f aca="false">A4</f>
        <v>5</v>
      </c>
      <c r="V4" s="5" t="n">
        <f aca="false">B4/U4</f>
        <v>82.4338060868584</v>
      </c>
      <c r="W4" s="5" t="n">
        <f aca="false">C4/U4</f>
        <v>61.7321924061975</v>
      </c>
      <c r="X4" s="5" t="n">
        <f aca="false">G4/U4</f>
        <v>35.4614573278723</v>
      </c>
      <c r="Y4" s="5" t="n">
        <f aca="false">H4/U4</f>
        <v>27.7948551783953</v>
      </c>
      <c r="AC4" s="2" t="n">
        <f aca="false">A4</f>
        <v>5</v>
      </c>
      <c r="AD4" s="5" t="n">
        <f aca="false">B4</f>
        <v>412.169030434292</v>
      </c>
      <c r="AE4" s="5" t="n">
        <f aca="false">+C4</f>
        <v>308.660962030988</v>
      </c>
      <c r="AF4" s="5" t="n">
        <f aca="false">G4</f>
        <v>177.307286639362</v>
      </c>
      <c r="AG4" s="5" t="n">
        <f aca="false">H4</f>
        <v>138.974275891977</v>
      </c>
      <c r="AH4" s="5" t="n">
        <f aca="false">AC4</f>
        <v>5</v>
      </c>
      <c r="AI4" s="5" t="n">
        <f aca="false">AD4/$AC4</f>
        <v>82.4338060868584</v>
      </c>
      <c r="AJ4" s="5" t="n">
        <f aca="false">AE4/$AC4</f>
        <v>61.7321924061975</v>
      </c>
      <c r="AK4" s="5" t="n">
        <f aca="false">AF4/$AC4</f>
        <v>35.4614573278723</v>
      </c>
      <c r="AL4" s="5" t="n">
        <f aca="false">AG4/$AC4</f>
        <v>27.7948551783953</v>
      </c>
      <c r="AM4" s="5"/>
      <c r="AN4" s="5"/>
      <c r="AQ4" s="2" t="s">
        <v>73</v>
      </c>
      <c r="AR4" s="5" t="n">
        <f aca="false">AE4</f>
        <v>308.660962030988</v>
      </c>
      <c r="AS4" s="5" t="n">
        <f aca="false">AE4</f>
        <v>308.660962030988</v>
      </c>
      <c r="AT4" s="5" t="n">
        <f aca="false">AG4</f>
        <v>138.974275891977</v>
      </c>
      <c r="AU4" s="5" t="n">
        <f aca="false">AD4</f>
        <v>412.169030434292</v>
      </c>
      <c r="AV4" s="2" t="s">
        <v>74</v>
      </c>
      <c r="AW4" s="5" t="n">
        <f aca="false">AD4</f>
        <v>412.169030434292</v>
      </c>
      <c r="AX4" s="5" t="n">
        <f aca="false">AG4</f>
        <v>138.974275891977</v>
      </c>
      <c r="AY4" s="5" t="n">
        <f aca="false">AF4</f>
        <v>177.307286639362</v>
      </c>
      <c r="AZ4" s="5" t="n">
        <f aca="false">AF4</f>
        <v>177.307286639362</v>
      </c>
      <c r="BA4" s="5" t="n">
        <f aca="false">AR4+AS4</f>
        <v>617.321924061975</v>
      </c>
      <c r="BB4" s="5" t="n">
        <f aca="false">AT4+AU4</f>
        <v>551.143306326268</v>
      </c>
      <c r="BC4" s="5" t="n">
        <f aca="false">AW4+AX4</f>
        <v>551.143306326268</v>
      </c>
      <c r="BD4" s="5" t="n">
        <f aca="false">AY4+AZ4</f>
        <v>354.614573278723</v>
      </c>
    </row>
    <row r="5" customFormat="false" ht="13" hidden="false" customHeight="false" outlineLevel="0" collapsed="false">
      <c r="A5" s="2" t="n">
        <v>10</v>
      </c>
      <c r="B5" s="5" t="n">
        <f aca="false">'W-Toll(All-Tax)'!Z5</f>
        <v>355.851348207362</v>
      </c>
      <c r="C5" s="5" t="n">
        <f aca="false">'W-Tax(All-Tax)'!Z5</f>
        <v>308.660962030988</v>
      </c>
      <c r="D5" s="5" t="n">
        <f aca="false">B5-C5+kappa</f>
        <v>137.190386176375</v>
      </c>
      <c r="E5" s="6" t="n">
        <f aca="false">D5/B5</f>
        <v>0.385527234524993</v>
      </c>
      <c r="F5" s="5"/>
      <c r="G5" s="5" t="n">
        <f aca="false">'W-Toll(All-Toll)-NONC'!Z5</f>
        <v>236.703551577693</v>
      </c>
      <c r="H5" s="5" t="n">
        <f aca="false">'W-Tax(All-Toll)-NONC'!Z5</f>
        <v>204.035234973293</v>
      </c>
      <c r="I5" s="5" t="n">
        <f aca="false">G5-H5+kappa</f>
        <v>122.668316604399</v>
      </c>
      <c r="J5" s="6" t="n">
        <f aca="false">I5/G5</f>
        <v>0.518236062732402</v>
      </c>
      <c r="L5" s="2" t="n">
        <f aca="false">A5</f>
        <v>10</v>
      </c>
      <c r="M5" s="5" t="n">
        <f aca="false">D5</f>
        <v>137.190386176375</v>
      </c>
      <c r="N5" s="5" t="n">
        <f aca="false">I5</f>
        <v>122.668316604399</v>
      </c>
      <c r="O5" s="5" t="n">
        <f aca="false">kappa</f>
        <v>90</v>
      </c>
      <c r="P5" s="2" t="n">
        <f aca="false">A5</f>
        <v>10</v>
      </c>
      <c r="Q5" s="6" t="n">
        <f aca="false">E5</f>
        <v>0.385527234524993</v>
      </c>
      <c r="R5" s="6" t="n">
        <f aca="false">J5</f>
        <v>0.518236062732402</v>
      </c>
      <c r="U5" s="2" t="n">
        <f aca="false">A5</f>
        <v>10</v>
      </c>
      <c r="V5" s="5" t="n">
        <f aca="false">B5/U5</f>
        <v>35.5851348207362</v>
      </c>
      <c r="W5" s="5" t="n">
        <f aca="false">C5/U5</f>
        <v>30.8660962030988</v>
      </c>
      <c r="X5" s="5" t="n">
        <f aca="false">G5/U5</f>
        <v>23.6703551577693</v>
      </c>
      <c r="Y5" s="5" t="n">
        <f aca="false">H5/U5</f>
        <v>20.4035234973293</v>
      </c>
      <c r="AC5" s="2" t="n">
        <f aca="false">A5</f>
        <v>10</v>
      </c>
      <c r="AD5" s="5" t="n">
        <f aca="false">B5</f>
        <v>355.851348207362</v>
      </c>
      <c r="AE5" s="5" t="n">
        <f aca="false">+C5</f>
        <v>308.660962030988</v>
      </c>
      <c r="AF5" s="5" t="n">
        <f aca="false">G5</f>
        <v>236.703551577693</v>
      </c>
      <c r="AG5" s="5" t="n">
        <f aca="false">H5</f>
        <v>204.035234973293</v>
      </c>
      <c r="AH5" s="5" t="n">
        <f aca="false">AC5</f>
        <v>10</v>
      </c>
      <c r="AI5" s="5" t="n">
        <f aca="false">AD5/$AC5</f>
        <v>35.5851348207362</v>
      </c>
      <c r="AJ5" s="5" t="n">
        <f aca="false">AE5/$AC5</f>
        <v>30.8660962030988</v>
      </c>
      <c r="AK5" s="5" t="n">
        <f aca="false">AF5/$AC5</f>
        <v>23.6703551577693</v>
      </c>
      <c r="AL5" s="5" t="n">
        <f aca="false">AG5/$AC5</f>
        <v>20.4035234973293</v>
      </c>
      <c r="AM5" s="5"/>
      <c r="AN5" s="5"/>
      <c r="AQ5" s="2" t="s">
        <v>73</v>
      </c>
      <c r="AR5" s="5" t="n">
        <f aca="false">AE5</f>
        <v>308.660962030988</v>
      </c>
      <c r="AS5" s="5" t="n">
        <f aca="false">AE5</f>
        <v>308.660962030988</v>
      </c>
      <c r="AT5" s="5" t="n">
        <f aca="false">AG5</f>
        <v>204.035234973293</v>
      </c>
      <c r="AU5" s="5" t="n">
        <f aca="false">AD5</f>
        <v>355.851348207362</v>
      </c>
      <c r="AV5" s="2" t="s">
        <v>74</v>
      </c>
      <c r="AW5" s="5" t="n">
        <f aca="false">AD5</f>
        <v>355.851348207362</v>
      </c>
      <c r="AX5" s="5" t="n">
        <f aca="false">AG5</f>
        <v>204.035234973293</v>
      </c>
      <c r="AY5" s="5" t="n">
        <f aca="false">AF5</f>
        <v>236.703551577693</v>
      </c>
      <c r="AZ5" s="5" t="n">
        <f aca="false">AF5</f>
        <v>236.703551577693</v>
      </c>
      <c r="BA5" s="5" t="n">
        <f aca="false">AR5+AS5</f>
        <v>617.321924061975</v>
      </c>
      <c r="BB5" s="5" t="n">
        <f aca="false">AT5+AU5</f>
        <v>559.886583180655</v>
      </c>
      <c r="BC5" s="5" t="n">
        <f aca="false">AW5+AX5</f>
        <v>559.886583180655</v>
      </c>
      <c r="BD5" s="5" t="n">
        <f aca="false">AY5+AZ5</f>
        <v>473.407103155386</v>
      </c>
    </row>
    <row r="6" customFormat="false" ht="13" hidden="false" customHeight="false" outlineLevel="0" collapsed="false">
      <c r="A6" s="2" t="n">
        <v>20</v>
      </c>
      <c r="B6" s="5" t="n">
        <f aca="false">'W-Toll(All-Tax)'!Z6</f>
        <v>331.327180222336</v>
      </c>
      <c r="C6" s="5" t="n">
        <f aca="false">'W-Tax(All-Tax)'!Z6</f>
        <v>308.660962030988</v>
      </c>
      <c r="D6" s="5" t="n">
        <f aca="false">B6-C6+kappa</f>
        <v>112.666218191348</v>
      </c>
      <c r="E6" s="6" t="n">
        <f aca="false">D6/B6</f>
        <v>0.340045202798467</v>
      </c>
      <c r="F6" s="5"/>
      <c r="G6" s="5" t="n">
        <f aca="false">'W-Toll(All-Toll)-NONC'!Z6</f>
        <v>272.574855406395</v>
      </c>
      <c r="H6" s="5" t="n">
        <f aca="false">'W-Tax(All-Toll)-NONC'!Z6</f>
        <v>251.354652613951</v>
      </c>
      <c r="I6" s="5" t="n">
        <f aca="false">G6-H6+kappa</f>
        <v>111.220202792445</v>
      </c>
      <c r="J6" s="6" t="n">
        <f aca="false">I6/G6</f>
        <v>0.408035446360674</v>
      </c>
      <c r="L6" s="2" t="n">
        <f aca="false">A6</f>
        <v>20</v>
      </c>
      <c r="M6" s="5" t="n">
        <f aca="false">D6</f>
        <v>112.666218191348</v>
      </c>
      <c r="N6" s="5" t="n">
        <f aca="false">I6</f>
        <v>111.220202792445</v>
      </c>
      <c r="O6" s="5" t="n">
        <f aca="false">kappa</f>
        <v>90</v>
      </c>
      <c r="P6" s="2" t="n">
        <f aca="false">A6</f>
        <v>20</v>
      </c>
      <c r="Q6" s="6" t="n">
        <f aca="false">E6</f>
        <v>0.340045202798467</v>
      </c>
      <c r="R6" s="6" t="n">
        <f aca="false">J6</f>
        <v>0.408035446360674</v>
      </c>
      <c r="U6" s="2" t="n">
        <f aca="false">A6</f>
        <v>20</v>
      </c>
      <c r="V6" s="5" t="n">
        <f aca="false">B6/U6</f>
        <v>16.5663590111168</v>
      </c>
      <c r="W6" s="5" t="n">
        <f aca="false">C6/U6</f>
        <v>15.4330481015494</v>
      </c>
      <c r="X6" s="5" t="n">
        <f aca="false">G6/U6</f>
        <v>13.6287427703198</v>
      </c>
      <c r="Y6" s="5" t="n">
        <f aca="false">H6/U6</f>
        <v>12.5677326306975</v>
      </c>
      <c r="AC6" s="2" t="n">
        <f aca="false">A6</f>
        <v>20</v>
      </c>
      <c r="AD6" s="5" t="n">
        <f aca="false">B6</f>
        <v>331.327180222336</v>
      </c>
      <c r="AE6" s="5" t="n">
        <f aca="false">+C6</f>
        <v>308.660962030988</v>
      </c>
      <c r="AF6" s="5" t="n">
        <f aca="false">G6</f>
        <v>272.574855406395</v>
      </c>
      <c r="AG6" s="5" t="n">
        <f aca="false">H6</f>
        <v>251.354652613951</v>
      </c>
      <c r="AH6" s="5" t="n">
        <f aca="false">AC6</f>
        <v>20</v>
      </c>
      <c r="AI6" s="5" t="n">
        <f aca="false">AD6/$AC6</f>
        <v>16.5663590111168</v>
      </c>
      <c r="AJ6" s="5" t="n">
        <f aca="false">AE6/$AC6</f>
        <v>15.4330481015494</v>
      </c>
      <c r="AK6" s="5" t="n">
        <f aca="false">AF6/$AC6</f>
        <v>13.6287427703198</v>
      </c>
      <c r="AL6" s="5" t="n">
        <f aca="false">AG6/$AC6</f>
        <v>12.5677326306975</v>
      </c>
      <c r="AM6" s="5"/>
      <c r="AN6" s="5"/>
      <c r="AQ6" s="2" t="s">
        <v>73</v>
      </c>
      <c r="AR6" s="5" t="n">
        <f aca="false">AE6</f>
        <v>308.660962030988</v>
      </c>
      <c r="AS6" s="5" t="n">
        <f aca="false">AE6</f>
        <v>308.660962030988</v>
      </c>
      <c r="AT6" s="5" t="n">
        <f aca="false">AG6</f>
        <v>251.354652613951</v>
      </c>
      <c r="AU6" s="5" t="n">
        <f aca="false">AD6</f>
        <v>331.327180222336</v>
      </c>
      <c r="AV6" s="2" t="s">
        <v>74</v>
      </c>
      <c r="AW6" s="5" t="n">
        <f aca="false">AD6</f>
        <v>331.327180222336</v>
      </c>
      <c r="AX6" s="5" t="n">
        <f aca="false">AG6</f>
        <v>251.354652613951</v>
      </c>
      <c r="AY6" s="5" t="n">
        <f aca="false">AF6</f>
        <v>272.574855406395</v>
      </c>
      <c r="AZ6" s="5" t="n">
        <f aca="false">AF6</f>
        <v>272.574855406395</v>
      </c>
      <c r="BA6" s="5" t="n">
        <f aca="false">AR6+AS6</f>
        <v>617.321924061975</v>
      </c>
      <c r="BB6" s="5" t="n">
        <f aca="false">AT6+AU6</f>
        <v>582.681832836287</v>
      </c>
      <c r="BC6" s="5" t="n">
        <f aca="false">AW6+AX6</f>
        <v>582.681832836287</v>
      </c>
      <c r="BD6" s="5" t="n">
        <f aca="false">AY6+AZ6</f>
        <v>545.149710812791</v>
      </c>
    </row>
    <row r="7" customFormat="false" ht="13" hidden="false" customHeight="false" outlineLevel="0" collapsed="false">
      <c r="A7" s="2" t="n">
        <v>50</v>
      </c>
      <c r="B7" s="5" t="n">
        <f aca="false">'W-Toll(All-Tax)'!Z7</f>
        <v>317.761588934224</v>
      </c>
      <c r="C7" s="5" t="n">
        <f aca="false">'W-Tax(All-Tax)'!Z7</f>
        <v>308.660962030988</v>
      </c>
      <c r="D7" s="5" t="n">
        <f aca="false">B7-C7+kappa</f>
        <v>99.1006269032362</v>
      </c>
      <c r="E7" s="6" t="n">
        <f aca="false">D7/B7</f>
        <v>0.311871007555132</v>
      </c>
      <c r="F7" s="5"/>
      <c r="G7" s="5" t="n">
        <f aca="false">'W-Toll(All-Toll)-NONC'!Z7</f>
        <v>294.37858234659</v>
      </c>
      <c r="H7" s="5" t="n">
        <f aca="false">'W-Tax(All-Toll)-NONC'!Z7</f>
        <v>285.257231391403</v>
      </c>
      <c r="I7" s="5" t="n">
        <f aca="false">G7-H7+kappa</f>
        <v>99.1213509551864</v>
      </c>
      <c r="J7" s="6" t="n">
        <f aca="false">I7/G7</f>
        <v>0.336713867445984</v>
      </c>
      <c r="L7" s="2" t="n">
        <f aca="false">A7</f>
        <v>50</v>
      </c>
      <c r="M7" s="5" t="n">
        <f aca="false">D7</f>
        <v>99.1006269032362</v>
      </c>
      <c r="N7" s="5" t="n">
        <f aca="false">I7</f>
        <v>99.1213509551864</v>
      </c>
      <c r="O7" s="5" t="n">
        <f aca="false">kappa</f>
        <v>90</v>
      </c>
      <c r="P7" s="2" t="n">
        <f aca="false">A7</f>
        <v>50</v>
      </c>
      <c r="Q7" s="6" t="n">
        <f aca="false">E7</f>
        <v>0.311871007555132</v>
      </c>
      <c r="R7" s="6" t="n">
        <f aca="false">J7</f>
        <v>0.336713867445984</v>
      </c>
      <c r="U7" s="2" t="n">
        <f aca="false">A7</f>
        <v>50</v>
      </c>
      <c r="V7" s="5" t="n">
        <f aca="false">B7/U7</f>
        <v>6.35523177868447</v>
      </c>
      <c r="W7" s="5" t="n">
        <f aca="false">C7/U7</f>
        <v>6.17321924061975</v>
      </c>
      <c r="X7" s="5" t="n">
        <f aca="false">G7/U7</f>
        <v>5.8875716469318</v>
      </c>
      <c r="Y7" s="5" t="n">
        <f aca="false">H7/U7</f>
        <v>5.70514462782807</v>
      </c>
      <c r="AC7" s="2" t="n">
        <f aca="false">A7</f>
        <v>50</v>
      </c>
      <c r="AD7" s="5" t="n">
        <f aca="false">B7</f>
        <v>317.761588934224</v>
      </c>
      <c r="AE7" s="5" t="n">
        <f aca="false">+C7</f>
        <v>308.660962030988</v>
      </c>
      <c r="AF7" s="5" t="n">
        <f aca="false">G7</f>
        <v>294.37858234659</v>
      </c>
      <c r="AG7" s="5" t="n">
        <f aca="false">H7</f>
        <v>285.257231391403</v>
      </c>
      <c r="AH7" s="5" t="n">
        <f aca="false">AC7</f>
        <v>50</v>
      </c>
      <c r="AI7" s="5" t="n">
        <f aca="false">AD7/$AC7</f>
        <v>6.35523177868447</v>
      </c>
      <c r="AJ7" s="5" t="n">
        <f aca="false">AE7/$AC7</f>
        <v>6.17321924061975</v>
      </c>
      <c r="AK7" s="5" t="n">
        <f aca="false">AF7/$AC7</f>
        <v>5.8875716469318</v>
      </c>
      <c r="AL7" s="5" t="n">
        <f aca="false">AG7/$AC7</f>
        <v>5.70514462782807</v>
      </c>
      <c r="AM7" s="5"/>
      <c r="AN7" s="5"/>
      <c r="AQ7" s="2" t="s">
        <v>73</v>
      </c>
      <c r="AR7" s="5" t="n">
        <f aca="false">AE7</f>
        <v>308.660962030988</v>
      </c>
      <c r="AS7" s="5" t="n">
        <f aca="false">AE7</f>
        <v>308.660962030988</v>
      </c>
      <c r="AT7" s="5" t="n">
        <f aca="false">AG7</f>
        <v>285.257231391403</v>
      </c>
      <c r="AU7" s="5" t="n">
        <f aca="false">AD7</f>
        <v>317.761588934224</v>
      </c>
      <c r="AV7" s="2" t="s">
        <v>74</v>
      </c>
      <c r="AW7" s="5" t="n">
        <f aca="false">AD7</f>
        <v>317.761588934224</v>
      </c>
      <c r="AX7" s="5" t="n">
        <f aca="false">AG7</f>
        <v>285.257231391403</v>
      </c>
      <c r="AY7" s="5" t="n">
        <f aca="false">AF7</f>
        <v>294.37858234659</v>
      </c>
      <c r="AZ7" s="5" t="n">
        <f aca="false">AF7</f>
        <v>294.37858234659</v>
      </c>
      <c r="BA7" s="5" t="n">
        <f aca="false">AR7+AS7</f>
        <v>617.321924061975</v>
      </c>
      <c r="BB7" s="5" t="n">
        <f aca="false">AT7+AU7</f>
        <v>603.018820325627</v>
      </c>
      <c r="BC7" s="5" t="n">
        <f aca="false">AW7+AX7</f>
        <v>603.018820325627</v>
      </c>
      <c r="BD7" s="5" t="n">
        <f aca="false">AY7+AZ7</f>
        <v>588.757164693179</v>
      </c>
    </row>
    <row r="8" customFormat="false" ht="13" hidden="false" customHeight="false" outlineLevel="0" collapsed="false">
      <c r="A8" s="2" t="n">
        <v>100</v>
      </c>
      <c r="B8" s="5" t="n">
        <f aca="false">'W-Toll(All-Tax)'!Z8</f>
        <v>313.213282321765</v>
      </c>
      <c r="C8" s="5" t="n">
        <f aca="false">'W-Tax(All-Tax)'!Z8</f>
        <v>308.660962030988</v>
      </c>
      <c r="D8" s="5" t="n">
        <f aca="false">B8-C8+kappa</f>
        <v>94.5523202907776</v>
      </c>
      <c r="E8" s="6" t="n">
        <f aca="false">D8/B8</f>
        <v>0.301878386478016</v>
      </c>
      <c r="F8" s="5"/>
      <c r="G8" s="5" t="n">
        <f aca="false">'W-Toll(All-Toll)-NONC'!Z8</f>
        <v>301.522113732881</v>
      </c>
      <c r="H8" s="5" t="n">
        <f aca="false">'W-Tax(All-Toll)-NONC'!Z8</f>
        <v>296.956681355566</v>
      </c>
      <c r="I8" s="5" t="n">
        <f aca="false">G8-H8+kappa</f>
        <v>94.5654323773151</v>
      </c>
      <c r="J8" s="6" t="n">
        <f aca="false">I8/G8</f>
        <v>0.313626855445471</v>
      </c>
      <c r="L8" s="2" t="n">
        <f aca="false">A8</f>
        <v>100</v>
      </c>
      <c r="M8" s="5" t="n">
        <f aca="false">D8</f>
        <v>94.5523202907776</v>
      </c>
      <c r="N8" s="5" t="n">
        <f aca="false">I8</f>
        <v>94.5654323773151</v>
      </c>
      <c r="O8" s="5" t="n">
        <f aca="false">kappa</f>
        <v>90</v>
      </c>
      <c r="P8" s="2" t="n">
        <f aca="false">A8</f>
        <v>100</v>
      </c>
      <c r="Q8" s="6" t="n">
        <f aca="false">E8</f>
        <v>0.301878386478016</v>
      </c>
      <c r="R8" s="6" t="n">
        <f aca="false">J8</f>
        <v>0.313626855445471</v>
      </c>
      <c r="U8" s="2" t="n">
        <f aca="false">A8</f>
        <v>100</v>
      </c>
      <c r="V8" s="5" t="n">
        <f aca="false">B8/U8</f>
        <v>3.13213282321765</v>
      </c>
      <c r="W8" s="5" t="n">
        <f aca="false">C8/U8</f>
        <v>3.08660962030988</v>
      </c>
      <c r="X8" s="5" t="n">
        <f aca="false">G8/U8</f>
        <v>3.01522113732881</v>
      </c>
      <c r="Y8" s="5" t="n">
        <f aca="false">H8/U8</f>
        <v>2.96956681355566</v>
      </c>
      <c r="AC8" s="2" t="n">
        <f aca="false">A8</f>
        <v>100</v>
      </c>
      <c r="AD8" s="5" t="n">
        <f aca="false">B8</f>
        <v>313.213282321765</v>
      </c>
      <c r="AE8" s="5" t="n">
        <f aca="false">+C8</f>
        <v>308.660962030988</v>
      </c>
      <c r="AF8" s="5" t="n">
        <f aca="false">G8</f>
        <v>301.522113732881</v>
      </c>
      <c r="AG8" s="5" t="n">
        <f aca="false">H8</f>
        <v>296.956681355566</v>
      </c>
      <c r="AH8" s="5" t="n">
        <f aca="false">AC8</f>
        <v>100</v>
      </c>
      <c r="AI8" s="5" t="n">
        <f aca="false">AD8/$AC8</f>
        <v>3.13213282321765</v>
      </c>
      <c r="AJ8" s="5" t="n">
        <f aca="false">AE8/$AC8</f>
        <v>3.08660962030988</v>
      </c>
      <c r="AK8" s="5" t="n">
        <f aca="false">AF8/$AC8</f>
        <v>3.01522113732881</v>
      </c>
      <c r="AL8" s="5" t="n">
        <f aca="false">AG8/$AC8</f>
        <v>2.96956681355566</v>
      </c>
      <c r="AM8" s="5"/>
      <c r="AN8" s="5"/>
      <c r="AQ8" s="2" t="s">
        <v>73</v>
      </c>
      <c r="AR8" s="5" t="n">
        <f aca="false">AE8</f>
        <v>308.660962030988</v>
      </c>
      <c r="AS8" s="5" t="n">
        <f aca="false">AE8</f>
        <v>308.660962030988</v>
      </c>
      <c r="AT8" s="5" t="n">
        <f aca="false">AG8</f>
        <v>296.956681355566</v>
      </c>
      <c r="AU8" s="5" t="n">
        <f aca="false">AD8</f>
        <v>313.213282321765</v>
      </c>
      <c r="AV8" s="2" t="s">
        <v>74</v>
      </c>
      <c r="AW8" s="5" t="n">
        <f aca="false">AD8</f>
        <v>313.213282321765</v>
      </c>
      <c r="AX8" s="5" t="n">
        <f aca="false">AG8</f>
        <v>296.956681355566</v>
      </c>
      <c r="AY8" s="5" t="n">
        <f aca="false">AF8</f>
        <v>301.522113732881</v>
      </c>
      <c r="AZ8" s="5" t="n">
        <f aca="false">AF8</f>
        <v>301.522113732881</v>
      </c>
      <c r="BA8" s="5" t="n">
        <f aca="false">AR8+AS8</f>
        <v>617.321924061975</v>
      </c>
      <c r="BB8" s="5" t="n">
        <f aca="false">AT8+AU8</f>
        <v>610.169963677331</v>
      </c>
      <c r="BC8" s="5" t="n">
        <f aca="false">AW8+AX8</f>
        <v>610.169963677331</v>
      </c>
      <c r="BD8" s="5" t="n">
        <f aca="false">AY8+AZ8</f>
        <v>603.044227465762</v>
      </c>
    </row>
    <row r="9" customFormat="false" ht="13" hidden="false" customHeight="false" outlineLevel="0" collapsed="false">
      <c r="A9" s="2" t="n">
        <v>200</v>
      </c>
      <c r="B9" s="5" t="n">
        <f aca="false">'W-Toll(All-Tax)'!Z9</f>
        <v>310.937123548173</v>
      </c>
      <c r="C9" s="5" t="n">
        <f aca="false">'W-Tax(All-Tax)'!Z9</f>
        <v>308.660962030988</v>
      </c>
      <c r="D9" s="5" t="n">
        <f aca="false">B9-C9+kappa</f>
        <v>92.2761615171858</v>
      </c>
      <c r="E9" s="6" t="n">
        <f aca="false">D9/B9</f>
        <v>0.296767913924853</v>
      </c>
      <c r="F9" s="5"/>
      <c r="G9" s="5" t="n">
        <f aca="false">'W-Toll(All-Toll)-NONC'!Z9</f>
        <v>305.087744184494</v>
      </c>
      <c r="H9" s="5" t="n">
        <f aca="false">'W-Tax(All-Toll)-NONC'!Z9</f>
        <v>302.806529230423</v>
      </c>
      <c r="I9" s="5" t="n">
        <f aca="false">G9-H9+kappa</f>
        <v>92.2812149540712</v>
      </c>
      <c r="J9" s="6" t="n">
        <f aca="false">I9/G9</f>
        <v>0.302474342916464</v>
      </c>
      <c r="L9" s="2" t="n">
        <f aca="false">A9</f>
        <v>200</v>
      </c>
      <c r="M9" s="5" t="n">
        <f aca="false">D9</f>
        <v>92.2761615171858</v>
      </c>
      <c r="N9" s="5" t="n">
        <f aca="false">I9</f>
        <v>92.2812149540712</v>
      </c>
      <c r="O9" s="5" t="n">
        <f aca="false">kappa</f>
        <v>90</v>
      </c>
      <c r="P9" s="2" t="n">
        <f aca="false">A9</f>
        <v>200</v>
      </c>
      <c r="Q9" s="6" t="n">
        <f aca="false">E9</f>
        <v>0.296767913924853</v>
      </c>
      <c r="R9" s="6" t="n">
        <f aca="false">J9</f>
        <v>0.302474342916464</v>
      </c>
      <c r="U9" s="2" t="n">
        <f aca="false">A9</f>
        <v>200</v>
      </c>
      <c r="V9" s="5" t="n">
        <f aca="false">B9/U9</f>
        <v>1.55468561774087</v>
      </c>
      <c r="W9" s="5" t="n">
        <f aca="false">C9/U9</f>
        <v>1.54330481015494</v>
      </c>
      <c r="X9" s="5" t="n">
        <f aca="false">G9/U9</f>
        <v>1.52543872092247</v>
      </c>
      <c r="Y9" s="5" t="n">
        <f aca="false">H9/U9</f>
        <v>1.51403264615211</v>
      </c>
      <c r="AC9" s="2" t="n">
        <f aca="false">A9</f>
        <v>200</v>
      </c>
      <c r="AD9" s="5" t="n">
        <f aca="false">B9</f>
        <v>310.937123548173</v>
      </c>
      <c r="AE9" s="5" t="n">
        <f aca="false">+C9</f>
        <v>308.660962030988</v>
      </c>
      <c r="AF9" s="5" t="n">
        <f aca="false">G9</f>
        <v>305.087744184494</v>
      </c>
      <c r="AG9" s="5" t="n">
        <f aca="false">H9</f>
        <v>302.806529230423</v>
      </c>
      <c r="AH9" s="5" t="n">
        <f aca="false">AC9</f>
        <v>200</v>
      </c>
      <c r="AI9" s="5" t="n">
        <f aca="false">AD9/$AC9</f>
        <v>1.55468561774087</v>
      </c>
      <c r="AJ9" s="5" t="n">
        <f aca="false">AE9/$AC9</f>
        <v>1.54330481015494</v>
      </c>
      <c r="AK9" s="5" t="n">
        <f aca="false">AF9/$AC9</f>
        <v>1.52543872092247</v>
      </c>
      <c r="AL9" s="5" t="n">
        <f aca="false">AG9/$AC9</f>
        <v>1.51403264615211</v>
      </c>
      <c r="AM9" s="5"/>
      <c r="AN9" s="5"/>
      <c r="AQ9" s="2" t="s">
        <v>73</v>
      </c>
      <c r="AR9" s="5" t="n">
        <f aca="false">AE9</f>
        <v>308.660962030988</v>
      </c>
      <c r="AS9" s="5" t="n">
        <f aca="false">AE9</f>
        <v>308.660962030988</v>
      </c>
      <c r="AT9" s="5" t="n">
        <f aca="false">AG9</f>
        <v>302.806529230423</v>
      </c>
      <c r="AU9" s="5" t="n">
        <f aca="false">AD9</f>
        <v>310.937123548173</v>
      </c>
      <c r="AV9" s="2" t="s">
        <v>74</v>
      </c>
      <c r="AW9" s="5" t="n">
        <f aca="false">AD9</f>
        <v>310.937123548173</v>
      </c>
      <c r="AX9" s="5" t="n">
        <f aca="false">AG9</f>
        <v>302.806529230423</v>
      </c>
      <c r="AY9" s="5" t="n">
        <f aca="false">AF9</f>
        <v>305.087744184494</v>
      </c>
      <c r="AZ9" s="5" t="n">
        <f aca="false">AF9</f>
        <v>305.087744184494</v>
      </c>
      <c r="BA9" s="5" t="n">
        <f aca="false">AR9+AS9</f>
        <v>617.321924061975</v>
      </c>
      <c r="BB9" s="5" t="n">
        <f aca="false">AT9+AU9</f>
        <v>613.743652778596</v>
      </c>
      <c r="BC9" s="5" t="n">
        <f aca="false">AW9+AX9</f>
        <v>613.743652778596</v>
      </c>
      <c r="BD9" s="5" t="n">
        <f aca="false">AY9+AZ9</f>
        <v>610.175488368988</v>
      </c>
    </row>
    <row r="10" customFormat="false" ht="13" hidden="false" customHeight="false" outlineLevel="0" collapsed="false">
      <c r="A10" s="2" t="n">
        <v>500</v>
      </c>
      <c r="B10" s="5" t="n">
        <f aca="false">'W-Toll(All-Tax)'!Z10</f>
        <v>309.571425629486</v>
      </c>
      <c r="C10" s="5" t="n">
        <f aca="false">'W-Tax(All-Tax)'!Z10</f>
        <v>308.660962030988</v>
      </c>
      <c r="D10" s="5" t="n">
        <f aca="false">B10-C10+kappa</f>
        <v>90.9104635984988</v>
      </c>
      <c r="E10" s="6" t="n">
        <f aca="false">D10/B10</f>
        <v>0.293665552024514</v>
      </c>
      <c r="F10" s="5"/>
      <c r="G10" s="5" t="n">
        <f aca="false">'W-Toll(All-Toll)-NONC'!Z10</f>
        <v>307.231674892392</v>
      </c>
      <c r="H10" s="5" t="n">
        <f aca="false">'W-Tax(All-Toll)-NONC'!Z10</f>
        <v>306.319188910762</v>
      </c>
      <c r="I10" s="5" t="n">
        <f aca="false">G10-H10+kappa</f>
        <v>90.9124859816294</v>
      </c>
      <c r="J10" s="6" t="n">
        <f aca="false">I10/G10</f>
        <v>0.295908571319906</v>
      </c>
      <c r="L10" s="2" t="n">
        <f aca="false">A10</f>
        <v>500</v>
      </c>
      <c r="M10" s="5" t="n">
        <f aca="false">D10</f>
        <v>90.9104635984988</v>
      </c>
      <c r="N10" s="5" t="n">
        <f aca="false">I10</f>
        <v>90.9124859816294</v>
      </c>
      <c r="O10" s="5" t="n">
        <f aca="false">kappa</f>
        <v>90</v>
      </c>
      <c r="P10" s="2" t="n">
        <f aca="false">A10</f>
        <v>500</v>
      </c>
      <c r="Q10" s="6" t="n">
        <f aca="false">E10</f>
        <v>0.293665552024514</v>
      </c>
      <c r="R10" s="6" t="n">
        <f aca="false">J10</f>
        <v>0.295908571319906</v>
      </c>
      <c r="U10" s="2" t="n">
        <f aca="false">A10</f>
        <v>500</v>
      </c>
      <c r="V10" s="5" t="n">
        <f aca="false">B10/U10</f>
        <v>0.619142851258973</v>
      </c>
      <c r="W10" s="5" t="n">
        <f aca="false">C10/U10</f>
        <v>0.617321924061975</v>
      </c>
      <c r="X10" s="5" t="n">
        <f aca="false">G10/U10</f>
        <v>0.614463349784784</v>
      </c>
      <c r="Y10" s="5" t="n">
        <f aca="false">H10/U10</f>
        <v>0.612638377821525</v>
      </c>
      <c r="AC10" s="2" t="n">
        <f aca="false">A10</f>
        <v>500</v>
      </c>
      <c r="AD10" s="5" t="n">
        <f aca="false">B10</f>
        <v>309.571425629486</v>
      </c>
      <c r="AE10" s="5" t="n">
        <f aca="false">+C10</f>
        <v>308.660962030988</v>
      </c>
      <c r="AF10" s="5" t="n">
        <f aca="false">G10</f>
        <v>307.231674892392</v>
      </c>
      <c r="AG10" s="5" t="n">
        <f aca="false">H10</f>
        <v>306.319188910762</v>
      </c>
      <c r="AH10" s="5" t="n">
        <f aca="false">AC10</f>
        <v>500</v>
      </c>
      <c r="AI10" s="5" t="n">
        <f aca="false">AD10/$AC10</f>
        <v>0.619142851258973</v>
      </c>
      <c r="AJ10" s="5" t="n">
        <f aca="false">AE10/$AC10</f>
        <v>0.617321924061975</v>
      </c>
      <c r="AK10" s="5" t="n">
        <f aca="false">AF10/$AC10</f>
        <v>0.614463349784784</v>
      </c>
      <c r="AL10" s="5" t="n">
        <f aca="false">AG10/$AC10</f>
        <v>0.612638377821525</v>
      </c>
      <c r="AM10" s="5"/>
      <c r="AN10" s="5"/>
      <c r="AQ10" s="2" t="s">
        <v>73</v>
      </c>
      <c r="AR10" s="5" t="n">
        <f aca="false">AE10</f>
        <v>308.660962030988</v>
      </c>
      <c r="AS10" s="5" t="n">
        <f aca="false">AE10</f>
        <v>308.660962030988</v>
      </c>
      <c r="AT10" s="5" t="n">
        <f aca="false">AG10</f>
        <v>306.319188910762</v>
      </c>
      <c r="AU10" s="5" t="n">
        <f aca="false">AD10</f>
        <v>309.571425629486</v>
      </c>
      <c r="AV10" s="2" t="s">
        <v>74</v>
      </c>
      <c r="AW10" s="5" t="n">
        <f aca="false">AD10</f>
        <v>309.571425629486</v>
      </c>
      <c r="AX10" s="5" t="n">
        <f aca="false">AG10</f>
        <v>306.319188910762</v>
      </c>
      <c r="AY10" s="5" t="n">
        <f aca="false">AF10</f>
        <v>307.231674892392</v>
      </c>
      <c r="AZ10" s="5" t="n">
        <f aca="false">AF10</f>
        <v>307.231674892392</v>
      </c>
      <c r="BA10" s="5" t="n">
        <f aca="false">AR10+AS10</f>
        <v>617.321924061975</v>
      </c>
      <c r="BB10" s="5" t="n">
        <f aca="false">AT10+AU10</f>
        <v>615.890614540249</v>
      </c>
      <c r="BC10" s="5" t="n">
        <f aca="false">AW10+AX10</f>
        <v>615.890614540249</v>
      </c>
      <c r="BD10" s="5" t="n">
        <f aca="false">AY10+AZ10</f>
        <v>614.463349784784</v>
      </c>
    </row>
    <row r="11" customFormat="false" ht="13" hidden="false" customHeight="false" outlineLevel="0" collapsed="false">
      <c r="A11" s="2" t="n">
        <v>1000</v>
      </c>
      <c r="B11" s="5" t="n">
        <f aca="false">'W-Toll(All-Tax)'!Z11</f>
        <v>309.116193830237</v>
      </c>
      <c r="C11" s="5" t="n">
        <f aca="false">'W-Tax(All-Tax)'!Z11</f>
        <v>308.660962030988</v>
      </c>
      <c r="D11" s="5" t="n">
        <f aca="false">B11-C11+kappa</f>
        <v>90.4552317992493</v>
      </c>
      <c r="E11" s="6" t="n">
        <f aca="false">D11/B11</f>
        <v>0.292625341553365</v>
      </c>
      <c r="F11" s="5"/>
      <c r="G11" s="5" t="n">
        <f aca="false">'W-Toll(All-Toll)-NONC'!Z11</f>
        <v>307.946318461689</v>
      </c>
      <c r="H11" s="5" t="n">
        <f aca="false">'W-Tax(All-Toll)-NONC'!Z11</f>
        <v>307.490075470874</v>
      </c>
      <c r="I11" s="5" t="n">
        <f aca="false">G11-H11+kappa</f>
        <v>90.4562429908143</v>
      </c>
      <c r="J11" s="6" t="n">
        <f aca="false">I11/G11</f>
        <v>0.293740296824064</v>
      </c>
      <c r="L11" s="2" t="n">
        <f aca="false">A11</f>
        <v>1000</v>
      </c>
      <c r="M11" s="5" t="n">
        <f aca="false">D11</f>
        <v>90.4552317992493</v>
      </c>
      <c r="N11" s="5" t="n">
        <f aca="false">I11</f>
        <v>90.4562429908143</v>
      </c>
      <c r="O11" s="5" t="n">
        <f aca="false">kappa</f>
        <v>90</v>
      </c>
      <c r="P11" s="2" t="n">
        <f aca="false">A11</f>
        <v>1000</v>
      </c>
      <c r="Q11" s="6" t="n">
        <f aca="false">E11</f>
        <v>0.292625341553365</v>
      </c>
      <c r="R11" s="6" t="n">
        <f aca="false">J11</f>
        <v>0.293740296824064</v>
      </c>
      <c r="U11" s="2" t="n">
        <f aca="false">A11</f>
        <v>1000</v>
      </c>
      <c r="V11" s="5" t="n">
        <f aca="false">B11/U11</f>
        <v>0.309116193830237</v>
      </c>
      <c r="W11" s="5" t="n">
        <f aca="false">C11/U11</f>
        <v>0.308660962030988</v>
      </c>
      <c r="X11" s="5" t="n">
        <f aca="false">G11/U11</f>
        <v>0.307946318461689</v>
      </c>
      <c r="Y11" s="5" t="n">
        <f aca="false">H11/U11</f>
        <v>0.307490075470874</v>
      </c>
      <c r="AC11" s="2" t="n">
        <f aca="false">A11</f>
        <v>1000</v>
      </c>
      <c r="AD11" s="5" t="n">
        <f aca="false">B11</f>
        <v>309.116193830237</v>
      </c>
      <c r="AE11" s="5" t="n">
        <f aca="false">+C11</f>
        <v>308.660962030988</v>
      </c>
      <c r="AF11" s="5" t="n">
        <f aca="false">G11</f>
        <v>307.946318461689</v>
      </c>
      <c r="AG11" s="5" t="n">
        <f aca="false">H11</f>
        <v>307.490075470874</v>
      </c>
      <c r="AH11" s="5" t="n">
        <f aca="false">AC11</f>
        <v>1000</v>
      </c>
      <c r="AI11" s="5" t="n">
        <f aca="false">AD11/$AC11</f>
        <v>0.309116193830237</v>
      </c>
      <c r="AJ11" s="5" t="n">
        <f aca="false">AE11/$AC11</f>
        <v>0.308660962030988</v>
      </c>
      <c r="AK11" s="5" t="n">
        <f aca="false">AF11/$AC11</f>
        <v>0.307946318461689</v>
      </c>
      <c r="AL11" s="5" t="n">
        <f aca="false">AG11/$AC11</f>
        <v>0.307490075470874</v>
      </c>
      <c r="AM11" s="5"/>
      <c r="AN11" s="5"/>
      <c r="AQ11" s="2" t="s">
        <v>73</v>
      </c>
      <c r="AR11" s="5" t="n">
        <f aca="false">AE11</f>
        <v>308.660962030988</v>
      </c>
      <c r="AS11" s="5" t="n">
        <f aca="false">AE11</f>
        <v>308.660962030988</v>
      </c>
      <c r="AT11" s="5" t="n">
        <f aca="false">AG11</f>
        <v>307.490075470874</v>
      </c>
      <c r="AU11" s="5" t="n">
        <f aca="false">AD11</f>
        <v>309.116193830237</v>
      </c>
      <c r="AV11" s="2" t="s">
        <v>74</v>
      </c>
      <c r="AW11" s="5" t="n">
        <f aca="false">AD11</f>
        <v>309.116193830237</v>
      </c>
      <c r="AX11" s="5" t="n">
        <f aca="false">AG11</f>
        <v>307.490075470874</v>
      </c>
      <c r="AY11" s="5" t="n">
        <f aca="false">AF11</f>
        <v>307.946318461689</v>
      </c>
      <c r="AZ11" s="5" t="n">
        <f aca="false">AF11</f>
        <v>307.946318461689</v>
      </c>
      <c r="BA11" s="5" t="n">
        <f aca="false">AR11+AS11</f>
        <v>617.321924061975</v>
      </c>
      <c r="BB11" s="5" t="n">
        <f aca="false">AT11+AU11</f>
        <v>616.606269301111</v>
      </c>
      <c r="BC11" s="5" t="n">
        <f aca="false">AW11+AX11</f>
        <v>616.606269301111</v>
      </c>
      <c r="BD11" s="5" t="n">
        <f aca="false">AY11+AZ11</f>
        <v>615.892636923377</v>
      </c>
    </row>
    <row r="12" customFormat="false" ht="13" hidden="false" customHeight="false" outlineLevel="0" collapsed="false">
      <c r="V12" s="5"/>
      <c r="W12" s="5"/>
      <c r="X12" s="5"/>
      <c r="Y12" s="5"/>
      <c r="AQ12" s="5"/>
      <c r="AR12" s="5"/>
      <c r="AS12" s="5"/>
      <c r="AT12" s="5"/>
    </row>
    <row r="13" customFormat="false" ht="13" hidden="false" customHeight="false" outlineLevel="0" collapsed="false">
      <c r="AQ13" s="5"/>
      <c r="AR13" s="5"/>
      <c r="AS13" s="5"/>
      <c r="AT13" s="5"/>
    </row>
    <row r="16" customFormat="false" ht="13" hidden="false" customHeight="false" outlineLevel="0" collapsed="false">
      <c r="AQ16" s="5"/>
      <c r="AR16" s="5"/>
      <c r="AS16" s="5"/>
      <c r="AT16" s="5"/>
    </row>
    <row r="17" customFormat="false" ht="13" hidden="false" customHeight="false" outlineLevel="0" collapsed="false">
      <c r="AQ17" s="5"/>
      <c r="AR17" s="5"/>
      <c r="AS17" s="5"/>
      <c r="AT17" s="5"/>
    </row>
    <row r="18" customFormat="false" ht="13" hidden="false" customHeight="false" outlineLevel="0" collapsed="false">
      <c r="AQ18" s="5"/>
      <c r="AR18" s="5"/>
      <c r="AS18" s="5"/>
      <c r="AT18" s="5"/>
    </row>
    <row r="36" customFormat="false" ht="13" hidden="false" customHeight="false" outlineLevel="0" collapsed="false">
      <c r="I36" s="5"/>
    </row>
    <row r="37" customFormat="false" ht="13" hidden="false" customHeight="false" outlineLevel="0" collapsed="false">
      <c r="I37" s="6"/>
    </row>
    <row r="52" customFormat="false" ht="13" hidden="false" customHeight="false" outlineLevel="0" collapsed="false">
      <c r="I52" s="5"/>
    </row>
    <row r="53" customFormat="false" ht="13" hidden="false" customHeight="false" outlineLevel="0" collapsed="false">
      <c r="I53" s="6"/>
    </row>
    <row r="68" customFormat="false" ht="13" hidden="false" customHeight="false" outlineLevel="0" collapsed="false">
      <c r="I68" s="5"/>
    </row>
    <row r="69" customFormat="false" ht="13" hidden="false" customHeight="false" outlineLevel="0" collapsed="false">
      <c r="I69" s="6"/>
    </row>
    <row r="84" customFormat="false" ht="13" hidden="false" customHeight="false" outlineLevel="0" collapsed="false">
      <c r="I84" s="5"/>
    </row>
    <row r="85" customFormat="false" ht="13" hidden="false" customHeight="false" outlineLevel="0" collapsed="false">
      <c r="I85" s="6"/>
    </row>
    <row r="100" customFormat="false" ht="13" hidden="false" customHeight="false" outlineLevel="0" collapsed="false">
      <c r="I100" s="5"/>
    </row>
    <row r="101" customFormat="false" ht="13" hidden="false" customHeight="false" outlineLevel="0" collapsed="false">
      <c r="I101" s="6"/>
    </row>
    <row r="116" customFormat="false" ht="13" hidden="false" customHeight="false" outlineLevel="0" collapsed="false">
      <c r="I116" s="5"/>
    </row>
    <row r="117" customFormat="false" ht="13" hidden="false" customHeight="false" outlineLevel="0" collapsed="false">
      <c r="I117" s="6"/>
    </row>
    <row r="132" customFormat="false" ht="13" hidden="false" customHeight="false" outlineLevel="0" collapsed="false">
      <c r="I132" s="5"/>
    </row>
    <row r="133" customFormat="false" ht="13" hidden="false" customHeight="false" outlineLevel="0" collapsed="false">
      <c r="I133" s="6"/>
    </row>
    <row r="148" customFormat="false" ht="13" hidden="false" customHeight="false" outlineLevel="0" collapsed="false">
      <c r="I148" s="5"/>
    </row>
    <row r="149" customFormat="false" ht="13" hidden="false" customHeight="false" outlineLevel="0" collapsed="false">
      <c r="I149" s="6"/>
    </row>
    <row r="156" customFormat="false" ht="13" hidden="false" customHeight="false" outlineLevel="0" collapsed="false">
      <c r="I156" s="5"/>
    </row>
    <row r="157" customFormat="false" ht="13" hidden="false" customHeight="false" outlineLevel="0" collapsed="false">
      <c r="I157" s="6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0546875" defaultRowHeight="13" customHeight="false" zeroHeight="false" outlineLevelRow="0" outlineLevelCol="0"/>
  <cols>
    <col collapsed="false" customWidth="true" hidden="false" outlineLevel="0" max="5" min="5" style="6" width="10.71"/>
    <col collapsed="false" customWidth="true" hidden="false" outlineLevel="0" max="11" min="10" style="6" width="10.71"/>
    <col collapsed="false" customWidth="true" hidden="false" outlineLevel="0" max="16" min="13" style="5" width="10.71"/>
    <col collapsed="false" customWidth="true" hidden="false" outlineLevel="0" max="40" min="40" style="2" width="17.28"/>
    <col collapsed="false" customWidth="true" hidden="false" outlineLevel="0" max="41" min="41" style="2" width="3.85"/>
    <col collapsed="false" customWidth="true" hidden="false" outlineLevel="0" max="42" min="42" style="2" width="4.85"/>
    <col collapsed="false" customWidth="true" hidden="false" outlineLevel="0" max="43" min="43" style="2" width="6.28"/>
    <col collapsed="false" customWidth="true" hidden="false" outlineLevel="0" max="44" min="44" style="2" width="8.99"/>
    <col collapsed="false" customWidth="true" hidden="false" outlineLevel="0" max="45" min="45" style="2" width="6.13"/>
    <col collapsed="false" customWidth="true" hidden="false" outlineLevel="0" max="46" min="46" style="2" width="8.14"/>
  </cols>
  <sheetData>
    <row r="1" customFormat="false" ht="13" hidden="false" customHeight="false" outlineLevel="0" collapsed="false">
      <c r="A1" s="2" t="s">
        <v>15</v>
      </c>
      <c r="B1" s="5" t="s">
        <v>51</v>
      </c>
      <c r="C1" s="5" t="s">
        <v>52</v>
      </c>
      <c r="D1" s="5" t="s">
        <v>53</v>
      </c>
      <c r="E1" s="6" t="s">
        <v>54</v>
      </c>
      <c r="F1" s="5"/>
      <c r="G1" s="5" t="s">
        <v>55</v>
      </c>
      <c r="H1" s="5" t="s">
        <v>56</v>
      </c>
      <c r="I1" s="5" t="s">
        <v>53</v>
      </c>
      <c r="J1" s="6" t="s">
        <v>54</v>
      </c>
      <c r="L1" s="2" t="s">
        <v>15</v>
      </c>
      <c r="M1" s="5" t="s">
        <v>57</v>
      </c>
      <c r="N1" s="5" t="s">
        <v>58</v>
      </c>
      <c r="O1" s="5" t="s">
        <v>59</v>
      </c>
      <c r="P1" s="2" t="s">
        <v>15</v>
      </c>
      <c r="Q1" s="2" t="s">
        <v>60</v>
      </c>
      <c r="R1" s="2" t="s">
        <v>61</v>
      </c>
      <c r="U1" s="2" t="str">
        <f aca="false">A1</f>
        <v>Size</v>
      </c>
      <c r="V1" s="5" t="str">
        <f aca="false">B1</f>
        <v>Welfare (TX)</v>
      </c>
      <c r="W1" s="5" t="str">
        <f aca="false">C1</f>
        <v>Welfare (XX)</v>
      </c>
      <c r="X1" s="5" t="str">
        <f aca="false">G1</f>
        <v>Welfare (TT)</v>
      </c>
      <c r="Y1" s="5" t="str">
        <f aca="false">H1</f>
        <v>Welfare (XT)</v>
      </c>
      <c r="AC1" s="2" t="str">
        <f aca="false">A1</f>
        <v>Size</v>
      </c>
      <c r="AD1" s="5" t="str">
        <f aca="false">B1</f>
        <v>Welfare (TX)</v>
      </c>
      <c r="AE1" s="5" t="str">
        <f aca="false">+C1</f>
        <v>Welfare (XX)</v>
      </c>
      <c r="AF1" s="5" t="str">
        <f aca="false">G1</f>
        <v>Welfare (TT)</v>
      </c>
      <c r="AG1" s="5" t="str">
        <f aca="false">H1</f>
        <v>Welfare (XT)</v>
      </c>
      <c r="AH1" s="5" t="s">
        <v>15</v>
      </c>
      <c r="AI1" s="5" t="s">
        <v>62</v>
      </c>
      <c r="AJ1" s="5" t="s">
        <v>63</v>
      </c>
      <c r="AK1" s="5" t="s">
        <v>64</v>
      </c>
      <c r="AL1" s="5" t="s">
        <v>65</v>
      </c>
      <c r="AM1" s="5"/>
      <c r="AN1" s="5"/>
      <c r="AO1" s="2" t="s">
        <v>66</v>
      </c>
      <c r="AR1" s="2" t="s">
        <v>67</v>
      </c>
      <c r="AS1" s="2" t="s">
        <v>68</v>
      </c>
      <c r="AT1" s="2" t="s">
        <v>67</v>
      </c>
      <c r="AU1" s="2" t="s">
        <v>68</v>
      </c>
      <c r="AW1" s="2" t="s">
        <v>67</v>
      </c>
      <c r="AX1" s="2" t="s">
        <v>68</v>
      </c>
      <c r="AY1" s="2" t="s">
        <v>67</v>
      </c>
      <c r="AZ1" s="2" t="s">
        <v>68</v>
      </c>
      <c r="BA1" s="2" t="s">
        <v>69</v>
      </c>
      <c r="BB1" s="2" t="s">
        <v>70</v>
      </c>
      <c r="BC1" s="2" t="s">
        <v>71</v>
      </c>
      <c r="BD1" s="2" t="s">
        <v>72</v>
      </c>
    </row>
    <row r="2" customFormat="false" ht="13" hidden="false" customHeight="false" outlineLevel="0" collapsed="false">
      <c r="A2" s="2" t="n">
        <v>1</v>
      </c>
      <c r="B2" s="5" t="n">
        <f aca="false">'W-Toll(All-Tax)'!Z2</f>
        <v>916.113316207213</v>
      </c>
      <c r="C2" s="5" t="n">
        <f aca="false">'W-Tax(All-Tax)'!Z2</f>
        <v>308.660962030988</v>
      </c>
      <c r="D2" s="5" t="n">
        <f aca="false">B2-C2+kappa</f>
        <v>697.452354176226</v>
      </c>
      <c r="E2" s="6" t="n">
        <f aca="false">D2/B2</f>
        <v>0.7613166863066</v>
      </c>
      <c r="F2" s="5"/>
      <c r="G2" s="5" t="n">
        <f aca="false">'W-Toll(All-Toll)-Coop'!Z2</f>
        <v>70.7414254686023</v>
      </c>
      <c r="H2" s="5" t="n">
        <f aca="false">'W-Tax(All-Toll)-Coop'!Z2</f>
        <v>-17.4344986894621</v>
      </c>
      <c r="I2" s="5" t="n">
        <f aca="false">G2-H2+kappa</f>
        <v>178.175924158064</v>
      </c>
      <c r="J2" s="6" t="n">
        <f aca="false">I2/G2</f>
        <v>2.5186928730627</v>
      </c>
      <c r="L2" s="2" t="n">
        <f aca="false">A2</f>
        <v>1</v>
      </c>
      <c r="M2" s="5" t="n">
        <f aca="false">D2</f>
        <v>697.452354176226</v>
      </c>
      <c r="N2" s="5" t="n">
        <f aca="false">I2</f>
        <v>178.175924158064</v>
      </c>
      <c r="O2" s="5" t="n">
        <f aca="false">kappa</f>
        <v>90</v>
      </c>
      <c r="P2" s="2" t="n">
        <f aca="false">A2</f>
        <v>1</v>
      </c>
      <c r="Q2" s="6" t="n">
        <f aca="false">E2</f>
        <v>0.7613166863066</v>
      </c>
      <c r="R2" s="6" t="n">
        <f aca="false">J2</f>
        <v>2.5186928730627</v>
      </c>
      <c r="U2" s="2" t="n">
        <f aca="false">A2</f>
        <v>1</v>
      </c>
      <c r="V2" s="5" t="n">
        <f aca="false">B2/U2</f>
        <v>916.113316207213</v>
      </c>
      <c r="W2" s="5" t="n">
        <f aca="false">C2/U2</f>
        <v>308.660962030988</v>
      </c>
      <c r="X2" s="5" t="n">
        <f aca="false">G2/U2</f>
        <v>70.7414254686023</v>
      </c>
      <c r="Y2" s="5" t="n">
        <f aca="false">H2/U2</f>
        <v>-17.4344986894621</v>
      </c>
      <c r="AC2" s="2" t="n">
        <f aca="false">A2</f>
        <v>1</v>
      </c>
      <c r="AD2" s="5" t="n">
        <f aca="false">B2</f>
        <v>916.113316207213</v>
      </c>
      <c r="AE2" s="5" t="n">
        <f aca="false">+C2</f>
        <v>308.660962030988</v>
      </c>
      <c r="AF2" s="5" t="n">
        <f aca="false">G2</f>
        <v>70.7414254686023</v>
      </c>
      <c r="AG2" s="5" t="n">
        <f aca="false">H2</f>
        <v>-17.4344986894621</v>
      </c>
      <c r="AH2" s="5" t="n">
        <f aca="false">AC2</f>
        <v>1</v>
      </c>
      <c r="AI2" s="5" t="n">
        <f aca="false">AD2/$AC2</f>
        <v>916.113316207213</v>
      </c>
      <c r="AJ2" s="5" t="n">
        <f aca="false">AE2/$AC2</f>
        <v>308.660962030988</v>
      </c>
      <c r="AK2" s="5" t="n">
        <f aca="false">AF2/$AC2</f>
        <v>70.7414254686023</v>
      </c>
      <c r="AL2" s="5" t="n">
        <f aca="false">AG2/$AC2</f>
        <v>-17.4344986894621</v>
      </c>
      <c r="AM2" s="5"/>
      <c r="AN2" s="5"/>
      <c r="AQ2" s="2" t="s">
        <v>73</v>
      </c>
      <c r="AR2" s="5" t="n">
        <f aca="false">AE2</f>
        <v>308.660962030988</v>
      </c>
      <c r="AS2" s="5" t="n">
        <f aca="false">AE2</f>
        <v>308.660962030988</v>
      </c>
      <c r="AT2" s="5" t="n">
        <f aca="false">AG2</f>
        <v>-17.4344986894621</v>
      </c>
      <c r="AU2" s="5" t="n">
        <f aca="false">AD2</f>
        <v>916.113316207213</v>
      </c>
      <c r="AV2" s="2" t="s">
        <v>74</v>
      </c>
      <c r="AW2" s="5" t="n">
        <f aca="false">AD2</f>
        <v>916.113316207213</v>
      </c>
      <c r="AX2" s="5" t="n">
        <f aca="false">AG2</f>
        <v>-17.4344986894621</v>
      </c>
      <c r="AY2" s="5" t="n">
        <f aca="false">AF2</f>
        <v>70.7414254686023</v>
      </c>
      <c r="AZ2" s="5" t="n">
        <f aca="false">AF2</f>
        <v>70.7414254686023</v>
      </c>
      <c r="BA2" s="5" t="n">
        <f aca="false">AR2+AS2</f>
        <v>617.321924061975</v>
      </c>
      <c r="BB2" s="5" t="n">
        <f aca="false">AT2+AU2</f>
        <v>898.678817517751</v>
      </c>
      <c r="BC2" s="5" t="n">
        <f aca="false">AW2+AX2</f>
        <v>898.678817517751</v>
      </c>
      <c r="BD2" s="5" t="n">
        <f aca="false">AY2+AZ2</f>
        <v>141.482850937205</v>
      </c>
    </row>
    <row r="3" customFormat="false" ht="13" hidden="false" customHeight="false" outlineLevel="0" collapsed="false">
      <c r="A3" s="2" t="n">
        <v>2</v>
      </c>
      <c r="B3" s="5" t="n">
        <f aca="false">'W-Toll(All-Tax)'!Z3</f>
        <v>597.677184951796</v>
      </c>
      <c r="C3" s="5" t="n">
        <f aca="false">'W-Tax(All-Tax)'!Z3</f>
        <v>308.660962030988</v>
      </c>
      <c r="D3" s="5" t="n">
        <f aca="false">B3-C3+kappa</f>
        <v>379.016222920808</v>
      </c>
      <c r="E3" s="6" t="n">
        <f aca="false">D3/B3</f>
        <v>0.634148721857899</v>
      </c>
      <c r="F3" s="5"/>
      <c r="G3" s="5" t="n">
        <f aca="false">'W-Toll(All-Toll)-Coop'!Z3</f>
        <v>167.575170679487</v>
      </c>
      <c r="H3" s="5" t="n">
        <f aca="false">'W-Tax(All-Toll)-Coop'!Z3</f>
        <v>87.6302363107182</v>
      </c>
      <c r="I3" s="5" t="n">
        <f aca="false">G3-H3+kappa</f>
        <v>169.944934368768</v>
      </c>
      <c r="J3" s="6" t="n">
        <f aca="false">I3/G3</f>
        <v>1.0141414964978</v>
      </c>
      <c r="L3" s="2" t="n">
        <f aca="false">A3</f>
        <v>2</v>
      </c>
      <c r="M3" s="5" t="n">
        <f aca="false">D3</f>
        <v>379.016222920808</v>
      </c>
      <c r="N3" s="5" t="n">
        <f aca="false">I3</f>
        <v>169.944934368768</v>
      </c>
      <c r="O3" s="5" t="n">
        <f aca="false">kappa</f>
        <v>90</v>
      </c>
      <c r="P3" s="2" t="n">
        <f aca="false">A3</f>
        <v>2</v>
      </c>
      <c r="Q3" s="6" t="n">
        <f aca="false">E3</f>
        <v>0.634148721857899</v>
      </c>
      <c r="R3" s="6" t="n">
        <f aca="false">J3</f>
        <v>1.0141414964978</v>
      </c>
      <c r="U3" s="2" t="n">
        <f aca="false">A3</f>
        <v>2</v>
      </c>
      <c r="V3" s="5" t="n">
        <f aca="false">B3/U3</f>
        <v>298.838592475898</v>
      </c>
      <c r="W3" s="5" t="n">
        <f aca="false">C3/U3</f>
        <v>154.330481015494</v>
      </c>
      <c r="X3" s="5" t="n">
        <f aca="false">G3/U3</f>
        <v>83.7875853397433</v>
      </c>
      <c r="Y3" s="5" t="n">
        <f aca="false">H3/U3</f>
        <v>43.8151181553591</v>
      </c>
      <c r="AC3" s="2" t="n">
        <f aca="false">A3</f>
        <v>2</v>
      </c>
      <c r="AD3" s="5" t="n">
        <f aca="false">B3</f>
        <v>597.677184951796</v>
      </c>
      <c r="AE3" s="5" t="n">
        <f aca="false">+C3</f>
        <v>308.660962030988</v>
      </c>
      <c r="AF3" s="5" t="n">
        <f aca="false">G3</f>
        <v>167.575170679487</v>
      </c>
      <c r="AG3" s="5" t="n">
        <f aca="false">H3</f>
        <v>87.6302363107182</v>
      </c>
      <c r="AH3" s="5" t="n">
        <f aca="false">AC3</f>
        <v>2</v>
      </c>
      <c r="AI3" s="5" t="n">
        <f aca="false">AD3/$AC3</f>
        <v>298.838592475898</v>
      </c>
      <c r="AJ3" s="5" t="n">
        <f aca="false">AE3/$AC3</f>
        <v>154.330481015494</v>
      </c>
      <c r="AK3" s="5" t="n">
        <f aca="false">AF3/$AC3</f>
        <v>83.7875853397433</v>
      </c>
      <c r="AL3" s="5" t="n">
        <f aca="false">AG3/$AC3</f>
        <v>43.8151181553591</v>
      </c>
      <c r="AM3" s="5"/>
      <c r="AN3" s="5"/>
      <c r="AQ3" s="2" t="s">
        <v>73</v>
      </c>
      <c r="AR3" s="5" t="n">
        <f aca="false">AE3</f>
        <v>308.660962030988</v>
      </c>
      <c r="AS3" s="5" t="n">
        <f aca="false">AE3</f>
        <v>308.660962030988</v>
      </c>
      <c r="AT3" s="5" t="n">
        <f aca="false">AG3</f>
        <v>87.6302363107182</v>
      </c>
      <c r="AU3" s="5" t="n">
        <f aca="false">AD3</f>
        <v>597.677184951796</v>
      </c>
      <c r="AV3" s="2" t="s">
        <v>74</v>
      </c>
      <c r="AW3" s="5" t="n">
        <f aca="false">AD3</f>
        <v>597.677184951796</v>
      </c>
      <c r="AX3" s="5" t="n">
        <f aca="false">AG3</f>
        <v>87.6302363107182</v>
      </c>
      <c r="AY3" s="5" t="n">
        <f aca="false">AF3</f>
        <v>167.575170679487</v>
      </c>
      <c r="AZ3" s="5" t="n">
        <f aca="false">AF3</f>
        <v>167.575170679487</v>
      </c>
      <c r="BA3" s="5" t="n">
        <f aca="false">AR3+AS3</f>
        <v>617.321924061975</v>
      </c>
      <c r="BB3" s="5" t="n">
        <f aca="false">AT3+AU3</f>
        <v>685.307421262514</v>
      </c>
      <c r="BC3" s="5" t="n">
        <f aca="false">AW3+AX3</f>
        <v>685.307421262514</v>
      </c>
      <c r="BD3" s="5" t="n">
        <f aca="false">AY3+AZ3</f>
        <v>335.150341358973</v>
      </c>
    </row>
    <row r="4" customFormat="false" ht="13" hidden="false" customHeight="false" outlineLevel="0" collapsed="false">
      <c r="A4" s="2" t="n">
        <v>5</v>
      </c>
      <c r="B4" s="5" t="n">
        <f aca="false">'W-Toll(All-Tax)'!Z4</f>
        <v>412.169030434292</v>
      </c>
      <c r="C4" s="5" t="n">
        <f aca="false">'W-Tax(All-Tax)'!Z4</f>
        <v>308.660962030988</v>
      </c>
      <c r="D4" s="5" t="n">
        <f aca="false">B4-C4+kappa</f>
        <v>193.508068403304</v>
      </c>
      <c r="E4" s="6" t="n">
        <f aca="false">D4/B4</f>
        <v>0.469487162098059</v>
      </c>
      <c r="F4" s="5"/>
      <c r="G4" s="5" t="n">
        <f aca="false">'W-Toll(All-Toll)-Coop'!Z4</f>
        <v>245.447658156122</v>
      </c>
      <c r="H4" s="5" t="n">
        <f aca="false">'W-Tax(All-Toll)-Coop'!Z4</f>
        <v>192.061327138573</v>
      </c>
      <c r="I4" s="5" t="n">
        <f aca="false">G4-H4+kappa</f>
        <v>143.386331017549</v>
      </c>
      <c r="J4" s="6" t="n">
        <f aca="false">I4/G4</f>
        <v>0.584182925576522</v>
      </c>
      <c r="L4" s="2" t="n">
        <f aca="false">A4</f>
        <v>5</v>
      </c>
      <c r="M4" s="5" t="n">
        <f aca="false">D4</f>
        <v>193.508068403304</v>
      </c>
      <c r="N4" s="5" t="n">
        <f aca="false">I4</f>
        <v>143.386331017549</v>
      </c>
      <c r="O4" s="5" t="n">
        <f aca="false">kappa</f>
        <v>90</v>
      </c>
      <c r="P4" s="2" t="n">
        <f aca="false">A4</f>
        <v>5</v>
      </c>
      <c r="Q4" s="6" t="n">
        <f aca="false">E4</f>
        <v>0.469487162098059</v>
      </c>
      <c r="R4" s="6" t="n">
        <f aca="false">J4</f>
        <v>0.584182925576522</v>
      </c>
      <c r="U4" s="2" t="n">
        <f aca="false">A4</f>
        <v>5</v>
      </c>
      <c r="V4" s="5" t="n">
        <f aca="false">B4/U4</f>
        <v>82.4338060868584</v>
      </c>
      <c r="W4" s="5" t="n">
        <f aca="false">C4/U4</f>
        <v>61.7321924061975</v>
      </c>
      <c r="X4" s="5" t="n">
        <f aca="false">G4/U4</f>
        <v>49.0895316312244</v>
      </c>
      <c r="Y4" s="5" t="n">
        <f aca="false">H4/U4</f>
        <v>38.4122654277145</v>
      </c>
      <c r="AC4" s="2" t="n">
        <f aca="false">A4</f>
        <v>5</v>
      </c>
      <c r="AD4" s="5" t="n">
        <f aca="false">B4</f>
        <v>412.169030434292</v>
      </c>
      <c r="AE4" s="5" t="n">
        <f aca="false">+C4</f>
        <v>308.660962030988</v>
      </c>
      <c r="AF4" s="5" t="n">
        <f aca="false">G4</f>
        <v>245.447658156122</v>
      </c>
      <c r="AG4" s="5" t="n">
        <f aca="false">H4</f>
        <v>192.061327138573</v>
      </c>
      <c r="AH4" s="5" t="n">
        <f aca="false">AC4</f>
        <v>5</v>
      </c>
      <c r="AI4" s="5" t="n">
        <f aca="false">AD4/$AC4</f>
        <v>82.4338060868584</v>
      </c>
      <c r="AJ4" s="5" t="n">
        <f aca="false">AE4/$AC4</f>
        <v>61.7321924061975</v>
      </c>
      <c r="AK4" s="5" t="n">
        <f aca="false">AF4/$AC4</f>
        <v>49.0895316312244</v>
      </c>
      <c r="AL4" s="5" t="n">
        <f aca="false">AG4/$AC4</f>
        <v>38.4122654277145</v>
      </c>
      <c r="AM4" s="5"/>
      <c r="AN4" s="5"/>
      <c r="AQ4" s="2" t="s">
        <v>73</v>
      </c>
      <c r="AR4" s="5" t="n">
        <f aca="false">AE4</f>
        <v>308.660962030988</v>
      </c>
      <c r="AS4" s="5" t="n">
        <f aca="false">AE4</f>
        <v>308.660962030988</v>
      </c>
      <c r="AT4" s="5" t="n">
        <f aca="false">AG4</f>
        <v>192.061327138573</v>
      </c>
      <c r="AU4" s="5" t="n">
        <f aca="false">AD4</f>
        <v>412.169030434292</v>
      </c>
      <c r="AV4" s="2" t="s">
        <v>74</v>
      </c>
      <c r="AW4" s="5" t="n">
        <f aca="false">AD4</f>
        <v>412.169030434292</v>
      </c>
      <c r="AX4" s="5" t="n">
        <f aca="false">AG4</f>
        <v>192.061327138573</v>
      </c>
      <c r="AY4" s="5" t="n">
        <f aca="false">AF4</f>
        <v>245.447658156122</v>
      </c>
      <c r="AZ4" s="5" t="n">
        <f aca="false">AF4</f>
        <v>245.447658156122</v>
      </c>
      <c r="BA4" s="5" t="n">
        <f aca="false">AR4+AS4</f>
        <v>617.321924061975</v>
      </c>
      <c r="BB4" s="5" t="n">
        <f aca="false">AT4+AU4</f>
        <v>604.230357572864</v>
      </c>
      <c r="BC4" s="5" t="n">
        <f aca="false">AW4+AX4</f>
        <v>604.230357572864</v>
      </c>
      <c r="BD4" s="5" t="n">
        <f aca="false">AY4+AZ4</f>
        <v>490.895316312243</v>
      </c>
    </row>
    <row r="5" customFormat="false" ht="13" hidden="false" customHeight="false" outlineLevel="0" collapsed="false">
      <c r="A5" s="2" t="n">
        <v>10</v>
      </c>
      <c r="B5" s="5" t="n">
        <f aca="false">'W-Toll(All-Tax)'!Z5</f>
        <v>355.851348207362</v>
      </c>
      <c r="C5" s="5" t="n">
        <f aca="false">'W-Tax(All-Tax)'!Z5</f>
        <v>308.660962030988</v>
      </c>
      <c r="D5" s="5" t="n">
        <f aca="false">B5-C5+kappa</f>
        <v>137.190386176375</v>
      </c>
      <c r="E5" s="6" t="n">
        <f aca="false">D5/B5</f>
        <v>0.385527234524993</v>
      </c>
      <c r="F5" s="5"/>
      <c r="G5" s="5" t="n">
        <f aca="false">'W-Toll(All-Toll)-Coop'!Z5</f>
        <v>276.902556331743</v>
      </c>
      <c r="H5" s="5" t="n">
        <f aca="false">'W-Tax(All-Toll)-Coop'!Z5</f>
        <v>242.696143747473</v>
      </c>
      <c r="I5" s="5" t="n">
        <f aca="false">G5-H5+kappa</f>
        <v>124.20641258427</v>
      </c>
      <c r="J5" s="6" t="n">
        <f aca="false">I5/G5</f>
        <v>0.448556395541053</v>
      </c>
      <c r="L5" s="2" t="n">
        <f aca="false">A5</f>
        <v>10</v>
      </c>
      <c r="M5" s="5" t="n">
        <f aca="false">D5</f>
        <v>137.190386176375</v>
      </c>
      <c r="N5" s="5" t="n">
        <f aca="false">I5</f>
        <v>124.20641258427</v>
      </c>
      <c r="O5" s="5" t="n">
        <f aca="false">kappa</f>
        <v>90</v>
      </c>
      <c r="P5" s="2" t="n">
        <f aca="false">A5</f>
        <v>10</v>
      </c>
      <c r="Q5" s="6" t="n">
        <f aca="false">E5</f>
        <v>0.385527234524993</v>
      </c>
      <c r="R5" s="6" t="n">
        <f aca="false">J5</f>
        <v>0.448556395541053</v>
      </c>
      <c r="U5" s="2" t="n">
        <f aca="false">A5</f>
        <v>10</v>
      </c>
      <c r="V5" s="5" t="n">
        <f aca="false">B5/U5</f>
        <v>35.5851348207362</v>
      </c>
      <c r="W5" s="5" t="n">
        <f aca="false">C5/U5</f>
        <v>30.8660962030988</v>
      </c>
      <c r="X5" s="5" t="n">
        <f aca="false">G5/U5</f>
        <v>27.6902556331743</v>
      </c>
      <c r="Y5" s="5" t="n">
        <f aca="false">H5/U5</f>
        <v>24.2696143747473</v>
      </c>
      <c r="AC5" s="2" t="n">
        <f aca="false">A5</f>
        <v>10</v>
      </c>
      <c r="AD5" s="5" t="n">
        <f aca="false">B5</f>
        <v>355.851348207362</v>
      </c>
      <c r="AE5" s="5" t="n">
        <f aca="false">+C5</f>
        <v>308.660962030988</v>
      </c>
      <c r="AF5" s="5" t="n">
        <f aca="false">G5</f>
        <v>276.902556331743</v>
      </c>
      <c r="AG5" s="5" t="n">
        <f aca="false">H5</f>
        <v>242.696143747473</v>
      </c>
      <c r="AH5" s="5" t="n">
        <f aca="false">AC5</f>
        <v>10</v>
      </c>
      <c r="AI5" s="5" t="n">
        <f aca="false">AD5/$AC5</f>
        <v>35.5851348207362</v>
      </c>
      <c r="AJ5" s="5" t="n">
        <f aca="false">AE5/$AC5</f>
        <v>30.8660962030988</v>
      </c>
      <c r="AK5" s="5" t="n">
        <f aca="false">AF5/$AC5</f>
        <v>27.6902556331743</v>
      </c>
      <c r="AL5" s="5" t="n">
        <f aca="false">AG5/$AC5</f>
        <v>24.2696143747473</v>
      </c>
      <c r="AM5" s="5"/>
      <c r="AN5" s="5"/>
      <c r="AQ5" s="2" t="s">
        <v>73</v>
      </c>
      <c r="AR5" s="5" t="n">
        <f aca="false">AE5</f>
        <v>308.660962030988</v>
      </c>
      <c r="AS5" s="5" t="n">
        <f aca="false">AE5</f>
        <v>308.660962030988</v>
      </c>
      <c r="AT5" s="5" t="n">
        <f aca="false">AG5</f>
        <v>242.696143747473</v>
      </c>
      <c r="AU5" s="5" t="n">
        <f aca="false">AD5</f>
        <v>355.851348207362</v>
      </c>
      <c r="AV5" s="2" t="s">
        <v>74</v>
      </c>
      <c r="AW5" s="5" t="n">
        <f aca="false">AD5</f>
        <v>355.851348207362</v>
      </c>
      <c r="AX5" s="5" t="n">
        <f aca="false">AG5</f>
        <v>242.696143747473</v>
      </c>
      <c r="AY5" s="5" t="n">
        <f aca="false">AF5</f>
        <v>276.902556331743</v>
      </c>
      <c r="AZ5" s="5" t="n">
        <f aca="false">AF5</f>
        <v>276.902556331743</v>
      </c>
      <c r="BA5" s="5" t="n">
        <f aca="false">AR5+AS5</f>
        <v>617.321924061975</v>
      </c>
      <c r="BB5" s="5" t="n">
        <f aca="false">AT5+AU5</f>
        <v>598.547491954835</v>
      </c>
      <c r="BC5" s="5" t="n">
        <f aca="false">AW5+AX5</f>
        <v>598.547491954835</v>
      </c>
      <c r="BD5" s="5" t="n">
        <f aca="false">AY5+AZ5</f>
        <v>553.805112663486</v>
      </c>
    </row>
    <row r="6" customFormat="false" ht="13" hidden="false" customHeight="false" outlineLevel="0" collapsed="false">
      <c r="A6" s="2" t="n">
        <v>20</v>
      </c>
      <c r="B6" s="5" t="n">
        <f aca="false">'W-Toll(All-Tax)'!Z6</f>
        <v>331.327180222336</v>
      </c>
      <c r="C6" s="5" t="n">
        <f aca="false">'W-Tax(All-Tax)'!Z6</f>
        <v>308.660962030988</v>
      </c>
      <c r="D6" s="5" t="n">
        <f aca="false">B6-C6+kappa</f>
        <v>112.666218191348</v>
      </c>
      <c r="E6" s="6" t="n">
        <f aca="false">D6/B6</f>
        <v>0.340045202798467</v>
      </c>
      <c r="F6" s="5"/>
      <c r="G6" s="5" t="n">
        <f aca="false">'W-Toll(All-Toll)-Coop'!Z6</f>
        <v>293.326873915134</v>
      </c>
      <c r="H6" s="5" t="n">
        <f aca="false">'W-Tax(All-Toll)-Coop'!Z6</f>
        <v>273.472483512526</v>
      </c>
      <c r="I6" s="5" t="n">
        <f aca="false">G6-H6+kappa</f>
        <v>109.854390402608</v>
      </c>
      <c r="J6" s="6" t="n">
        <f aca="false">I6/G6</f>
        <v>0.374511850674791</v>
      </c>
      <c r="L6" s="2" t="n">
        <f aca="false">A6</f>
        <v>20</v>
      </c>
      <c r="M6" s="5" t="n">
        <f aca="false">D6</f>
        <v>112.666218191348</v>
      </c>
      <c r="N6" s="5" t="n">
        <f aca="false">I6</f>
        <v>109.854390402608</v>
      </c>
      <c r="O6" s="5" t="n">
        <f aca="false">kappa</f>
        <v>90</v>
      </c>
      <c r="P6" s="2" t="n">
        <f aca="false">A6</f>
        <v>20</v>
      </c>
      <c r="Q6" s="6" t="n">
        <f aca="false">E6</f>
        <v>0.340045202798467</v>
      </c>
      <c r="R6" s="6" t="n">
        <f aca="false">J6</f>
        <v>0.374511850674791</v>
      </c>
      <c r="U6" s="2" t="n">
        <f aca="false">A6</f>
        <v>20</v>
      </c>
      <c r="V6" s="5" t="n">
        <f aca="false">B6/U6</f>
        <v>16.5663590111168</v>
      </c>
      <c r="W6" s="5" t="n">
        <f aca="false">C6/U6</f>
        <v>15.4330481015494</v>
      </c>
      <c r="X6" s="5" t="n">
        <f aca="false">G6/U6</f>
        <v>14.6663436957567</v>
      </c>
      <c r="Y6" s="5" t="n">
        <f aca="false">H6/U6</f>
        <v>13.6736241756263</v>
      </c>
      <c r="AC6" s="2" t="n">
        <f aca="false">A6</f>
        <v>20</v>
      </c>
      <c r="AD6" s="5" t="n">
        <f aca="false">B6</f>
        <v>331.327180222336</v>
      </c>
      <c r="AE6" s="5" t="n">
        <f aca="false">+C6</f>
        <v>308.660962030988</v>
      </c>
      <c r="AF6" s="5" t="n">
        <f aca="false">G6</f>
        <v>293.326873915134</v>
      </c>
      <c r="AG6" s="5" t="n">
        <f aca="false">H6</f>
        <v>273.472483512526</v>
      </c>
      <c r="AH6" s="5" t="n">
        <f aca="false">AC6</f>
        <v>20</v>
      </c>
      <c r="AI6" s="5" t="n">
        <f aca="false">AD6/$AC6</f>
        <v>16.5663590111168</v>
      </c>
      <c r="AJ6" s="5" t="n">
        <f aca="false">AE6/$AC6</f>
        <v>15.4330481015494</v>
      </c>
      <c r="AK6" s="5" t="n">
        <f aca="false">AF6/$AC6</f>
        <v>14.6663436957567</v>
      </c>
      <c r="AL6" s="5" t="n">
        <f aca="false">AG6/$AC6</f>
        <v>13.6736241756263</v>
      </c>
      <c r="AM6" s="5"/>
      <c r="AN6" s="5"/>
      <c r="AQ6" s="2" t="s">
        <v>73</v>
      </c>
      <c r="AR6" s="5" t="n">
        <f aca="false">AE6</f>
        <v>308.660962030988</v>
      </c>
      <c r="AS6" s="5" t="n">
        <f aca="false">AE6</f>
        <v>308.660962030988</v>
      </c>
      <c r="AT6" s="5" t="n">
        <f aca="false">AG6</f>
        <v>273.472483512526</v>
      </c>
      <c r="AU6" s="5" t="n">
        <f aca="false">AD6</f>
        <v>331.327180222336</v>
      </c>
      <c r="AV6" s="2" t="s">
        <v>74</v>
      </c>
      <c r="AW6" s="5" t="n">
        <f aca="false">AD6</f>
        <v>331.327180222336</v>
      </c>
      <c r="AX6" s="5" t="n">
        <f aca="false">AG6</f>
        <v>273.472483512526</v>
      </c>
      <c r="AY6" s="5" t="n">
        <f aca="false">AF6</f>
        <v>293.326873915134</v>
      </c>
      <c r="AZ6" s="5" t="n">
        <f aca="false">AF6</f>
        <v>293.326873915134</v>
      </c>
      <c r="BA6" s="5" t="n">
        <f aca="false">AR6+AS6</f>
        <v>617.321924061975</v>
      </c>
      <c r="BB6" s="5" t="n">
        <f aca="false">AT6+AU6</f>
        <v>604.799663734862</v>
      </c>
      <c r="BC6" s="5" t="n">
        <f aca="false">AW6+AX6</f>
        <v>604.799663734862</v>
      </c>
      <c r="BD6" s="5" t="n">
        <f aca="false">AY6+AZ6</f>
        <v>586.653747830267</v>
      </c>
    </row>
    <row r="7" customFormat="false" ht="13" hidden="false" customHeight="false" outlineLevel="0" collapsed="false">
      <c r="A7" s="2" t="n">
        <v>50</v>
      </c>
      <c r="B7" s="5" t="n">
        <f aca="false">'W-Toll(All-Tax)'!Z7</f>
        <v>317.761588934224</v>
      </c>
      <c r="C7" s="5" t="n">
        <f aca="false">'W-Tax(All-Tax)'!Z7</f>
        <v>308.660962030988</v>
      </c>
      <c r="D7" s="5" t="n">
        <f aca="false">B7-C7+kappa</f>
        <v>99.1006269032362</v>
      </c>
      <c r="E7" s="6" t="n">
        <f aca="false">D7/B7</f>
        <v>0.311871007555132</v>
      </c>
      <c r="F7" s="5"/>
      <c r="G7" s="5" t="n">
        <f aca="false">'W-Toll(All-Toll)-Coop'!Z7</f>
        <v>302.66378126664</v>
      </c>
      <c r="H7" s="5" t="n">
        <f aca="false">'W-Tax(All-Toll)-Coop'!Z7</f>
        <v>294.296813250259</v>
      </c>
      <c r="I7" s="5" t="n">
        <f aca="false">G7-H7+kappa</f>
        <v>98.3669680163819</v>
      </c>
      <c r="J7" s="6" t="n">
        <f aca="false">I7/G7</f>
        <v>0.325004093997368</v>
      </c>
      <c r="L7" s="2" t="n">
        <f aca="false">A7</f>
        <v>50</v>
      </c>
      <c r="M7" s="5" t="n">
        <f aca="false">D7</f>
        <v>99.1006269032362</v>
      </c>
      <c r="N7" s="5" t="n">
        <f aca="false">I7</f>
        <v>98.3669680163819</v>
      </c>
      <c r="O7" s="5" t="n">
        <f aca="false">kappa</f>
        <v>90</v>
      </c>
      <c r="P7" s="2" t="n">
        <f aca="false">A7</f>
        <v>50</v>
      </c>
      <c r="Q7" s="6" t="n">
        <f aca="false">E7</f>
        <v>0.311871007555132</v>
      </c>
      <c r="R7" s="6" t="n">
        <f aca="false">J7</f>
        <v>0.325004093997368</v>
      </c>
      <c r="U7" s="2" t="n">
        <f aca="false">A7</f>
        <v>50</v>
      </c>
      <c r="V7" s="5" t="n">
        <f aca="false">B7/U7</f>
        <v>6.35523177868447</v>
      </c>
      <c r="W7" s="5" t="n">
        <f aca="false">C7/U7</f>
        <v>6.17321924061975</v>
      </c>
      <c r="X7" s="5" t="n">
        <f aca="false">G7/U7</f>
        <v>6.05327562533281</v>
      </c>
      <c r="Y7" s="5" t="n">
        <f aca="false">H7/U7</f>
        <v>5.88593626500517</v>
      </c>
      <c r="AC7" s="2" t="n">
        <f aca="false">A7</f>
        <v>50</v>
      </c>
      <c r="AD7" s="5" t="n">
        <f aca="false">B7</f>
        <v>317.761588934224</v>
      </c>
      <c r="AE7" s="5" t="n">
        <f aca="false">+C7</f>
        <v>308.660962030988</v>
      </c>
      <c r="AF7" s="5" t="n">
        <f aca="false">G7</f>
        <v>302.66378126664</v>
      </c>
      <c r="AG7" s="5" t="n">
        <f aca="false">H7</f>
        <v>294.296813250259</v>
      </c>
      <c r="AH7" s="5" t="n">
        <f aca="false">AC7</f>
        <v>50</v>
      </c>
      <c r="AI7" s="5" t="n">
        <f aca="false">AD7/$AC7</f>
        <v>6.35523177868447</v>
      </c>
      <c r="AJ7" s="5" t="n">
        <f aca="false">AE7/$AC7</f>
        <v>6.17321924061975</v>
      </c>
      <c r="AK7" s="5" t="n">
        <f aca="false">AF7/$AC7</f>
        <v>6.05327562533281</v>
      </c>
      <c r="AL7" s="5" t="n">
        <f aca="false">AG7/$AC7</f>
        <v>5.88593626500517</v>
      </c>
      <c r="AM7" s="5"/>
      <c r="AN7" s="5"/>
      <c r="AQ7" s="2" t="s">
        <v>73</v>
      </c>
      <c r="AR7" s="5" t="n">
        <f aca="false">AE7</f>
        <v>308.660962030988</v>
      </c>
      <c r="AS7" s="5" t="n">
        <f aca="false">AE7</f>
        <v>308.660962030988</v>
      </c>
      <c r="AT7" s="5" t="n">
        <f aca="false">AG7</f>
        <v>294.296813250259</v>
      </c>
      <c r="AU7" s="5" t="n">
        <f aca="false">AD7</f>
        <v>317.761588934224</v>
      </c>
      <c r="AV7" s="2" t="s">
        <v>74</v>
      </c>
      <c r="AW7" s="5" t="n">
        <f aca="false">AD7</f>
        <v>317.761588934224</v>
      </c>
      <c r="AX7" s="5" t="n">
        <f aca="false">AG7</f>
        <v>294.296813250259</v>
      </c>
      <c r="AY7" s="5" t="n">
        <f aca="false">AF7</f>
        <v>302.66378126664</v>
      </c>
      <c r="AZ7" s="5" t="n">
        <f aca="false">AF7</f>
        <v>302.66378126664</v>
      </c>
      <c r="BA7" s="5" t="n">
        <f aca="false">AR7+AS7</f>
        <v>617.321924061975</v>
      </c>
      <c r="BB7" s="5" t="n">
        <f aca="false">AT7+AU7</f>
        <v>612.058402184482</v>
      </c>
      <c r="BC7" s="5" t="n">
        <f aca="false">AW7+AX7</f>
        <v>612.058402184482</v>
      </c>
      <c r="BD7" s="5" t="n">
        <f aca="false">AY7+AZ7</f>
        <v>605.327562533281</v>
      </c>
    </row>
    <row r="8" customFormat="false" ht="13" hidden="false" customHeight="false" outlineLevel="0" collapsed="false">
      <c r="A8" s="2" t="n">
        <v>100</v>
      </c>
      <c r="B8" s="5" t="n">
        <f aca="false">'W-Toll(All-Tax)'!Z8</f>
        <v>313.213282321765</v>
      </c>
      <c r="C8" s="5" t="n">
        <f aca="false">'W-Tax(All-Tax)'!Z8</f>
        <v>308.660962030988</v>
      </c>
      <c r="D8" s="5" t="n">
        <f aca="false">B8-C8+kappa</f>
        <v>94.5523202907776</v>
      </c>
      <c r="E8" s="6" t="n">
        <f aca="false">D8/B8</f>
        <v>0.301878386478016</v>
      </c>
      <c r="F8" s="5"/>
      <c r="G8" s="5" t="n">
        <f aca="false">'W-Toll(All-Toll)-Coop'!Z8</f>
        <v>305.66393767058</v>
      </c>
      <c r="H8" s="5" t="n">
        <f aca="false">'W-Tax(All-Toll)-Coop'!Z8</f>
        <v>301.476371504771</v>
      </c>
      <c r="I8" s="5" t="n">
        <f aca="false">G8-H8+kappa</f>
        <v>94.1875661658087</v>
      </c>
      <c r="J8" s="6" t="n">
        <f aca="false">I8/G8</f>
        <v>0.308140917386586</v>
      </c>
      <c r="L8" s="2" t="n">
        <f aca="false">A8</f>
        <v>100</v>
      </c>
      <c r="M8" s="5" t="n">
        <f aca="false">D8</f>
        <v>94.5523202907776</v>
      </c>
      <c r="N8" s="5" t="n">
        <f aca="false">I8</f>
        <v>94.1875661658087</v>
      </c>
      <c r="O8" s="5" t="n">
        <f aca="false">kappa</f>
        <v>90</v>
      </c>
      <c r="P8" s="2" t="n">
        <f aca="false">A8</f>
        <v>100</v>
      </c>
      <c r="Q8" s="6" t="n">
        <f aca="false">E8</f>
        <v>0.301878386478016</v>
      </c>
      <c r="R8" s="6" t="n">
        <f aca="false">J8</f>
        <v>0.308140917386586</v>
      </c>
      <c r="U8" s="2" t="n">
        <f aca="false">A8</f>
        <v>100</v>
      </c>
      <c r="V8" s="5" t="n">
        <f aca="false">B8/U8</f>
        <v>3.13213282321765</v>
      </c>
      <c r="W8" s="5" t="n">
        <f aca="false">C8/U8</f>
        <v>3.08660962030988</v>
      </c>
      <c r="X8" s="5" t="n">
        <f aca="false">G8/U8</f>
        <v>3.0566393767058</v>
      </c>
      <c r="Y8" s="5" t="n">
        <f aca="false">H8/U8</f>
        <v>3.01476371504771</v>
      </c>
      <c r="AC8" s="2" t="n">
        <f aca="false">A8</f>
        <v>100</v>
      </c>
      <c r="AD8" s="5" t="n">
        <f aca="false">B8</f>
        <v>313.213282321765</v>
      </c>
      <c r="AE8" s="5" t="n">
        <f aca="false">+C8</f>
        <v>308.660962030988</v>
      </c>
      <c r="AF8" s="5" t="n">
        <f aca="false">G8</f>
        <v>305.66393767058</v>
      </c>
      <c r="AG8" s="5" t="n">
        <f aca="false">H8</f>
        <v>301.476371504771</v>
      </c>
      <c r="AH8" s="5" t="n">
        <f aca="false">AC8</f>
        <v>100</v>
      </c>
      <c r="AI8" s="5" t="n">
        <f aca="false">AD8/$AC8</f>
        <v>3.13213282321765</v>
      </c>
      <c r="AJ8" s="5" t="n">
        <f aca="false">AE8/$AC8</f>
        <v>3.08660962030988</v>
      </c>
      <c r="AK8" s="5" t="n">
        <f aca="false">AF8/$AC8</f>
        <v>3.0566393767058</v>
      </c>
      <c r="AL8" s="5" t="n">
        <f aca="false">AG8/$AC8</f>
        <v>3.01476371504771</v>
      </c>
      <c r="AM8" s="5"/>
      <c r="AN8" s="5"/>
      <c r="AQ8" s="2" t="s">
        <v>73</v>
      </c>
      <c r="AR8" s="5" t="n">
        <f aca="false">AE8</f>
        <v>308.660962030988</v>
      </c>
      <c r="AS8" s="5" t="n">
        <f aca="false">AE8</f>
        <v>308.660962030988</v>
      </c>
      <c r="AT8" s="5" t="n">
        <f aca="false">AG8</f>
        <v>301.476371504771</v>
      </c>
      <c r="AU8" s="5" t="n">
        <f aca="false">AD8</f>
        <v>313.213282321765</v>
      </c>
      <c r="AV8" s="2" t="s">
        <v>74</v>
      </c>
      <c r="AW8" s="5" t="n">
        <f aca="false">AD8</f>
        <v>313.213282321765</v>
      </c>
      <c r="AX8" s="5" t="n">
        <f aca="false">AG8</f>
        <v>301.476371504771</v>
      </c>
      <c r="AY8" s="5" t="n">
        <f aca="false">AF8</f>
        <v>305.66393767058</v>
      </c>
      <c r="AZ8" s="5" t="n">
        <f aca="false">AF8</f>
        <v>305.66393767058</v>
      </c>
      <c r="BA8" s="5" t="n">
        <f aca="false">AR8+AS8</f>
        <v>617.321924061975</v>
      </c>
      <c r="BB8" s="5" t="n">
        <f aca="false">AT8+AU8</f>
        <v>614.689653826536</v>
      </c>
      <c r="BC8" s="5" t="n">
        <f aca="false">AW8+AX8</f>
        <v>614.689653826536</v>
      </c>
      <c r="BD8" s="5" t="n">
        <f aca="false">AY8+AZ8</f>
        <v>611.32787534116</v>
      </c>
    </row>
    <row r="9" customFormat="false" ht="13" hidden="false" customHeight="false" outlineLevel="0" collapsed="false">
      <c r="A9" s="2" t="n">
        <v>200</v>
      </c>
      <c r="B9" s="5" t="n">
        <f aca="false">'W-Toll(All-Tax)'!Z9</f>
        <v>310.937123548173</v>
      </c>
      <c r="C9" s="5" t="n">
        <f aca="false">'W-Tax(All-Tax)'!Z9</f>
        <v>308.660962030988</v>
      </c>
      <c r="D9" s="5" t="n">
        <f aca="false">B9-C9+kappa</f>
        <v>92.2761615171858</v>
      </c>
      <c r="E9" s="6" t="n">
        <f aca="false">D9/B9</f>
        <v>0.296767913924853</v>
      </c>
      <c r="F9" s="5"/>
      <c r="G9" s="5" t="n">
        <f aca="false">'W-Toll(All-Toll)-Coop'!Z9</f>
        <v>307.162450634441</v>
      </c>
      <c r="H9" s="5" t="n">
        <f aca="false">'W-Tax(All-Toll)-Coop'!Z9</f>
        <v>305.068665655531</v>
      </c>
      <c r="I9" s="5" t="n">
        <f aca="false">G9-H9+kappa</f>
        <v>92.0937849789103</v>
      </c>
      <c r="J9" s="6" t="n">
        <f aca="false">I9/G9</f>
        <v>0.299821103747191</v>
      </c>
      <c r="L9" s="2" t="n">
        <f aca="false">A9</f>
        <v>200</v>
      </c>
      <c r="M9" s="5" t="n">
        <f aca="false">D9</f>
        <v>92.2761615171858</v>
      </c>
      <c r="N9" s="5" t="n">
        <f aca="false">I9</f>
        <v>92.0937849789103</v>
      </c>
      <c r="O9" s="5" t="n">
        <f aca="false">kappa</f>
        <v>90</v>
      </c>
      <c r="P9" s="2" t="n">
        <f aca="false">A9</f>
        <v>200</v>
      </c>
      <c r="Q9" s="6" t="n">
        <f aca="false">E9</f>
        <v>0.296767913924853</v>
      </c>
      <c r="R9" s="6" t="n">
        <f aca="false">J9</f>
        <v>0.299821103747191</v>
      </c>
      <c r="U9" s="2" t="n">
        <f aca="false">A9</f>
        <v>200</v>
      </c>
      <c r="V9" s="5" t="n">
        <f aca="false">B9/U9</f>
        <v>1.55468561774087</v>
      </c>
      <c r="W9" s="5" t="n">
        <f aca="false">C9/U9</f>
        <v>1.54330481015494</v>
      </c>
      <c r="X9" s="5" t="n">
        <f aca="false">G9/U9</f>
        <v>1.53581225317221</v>
      </c>
      <c r="Y9" s="5" t="n">
        <f aca="false">H9/U9</f>
        <v>1.52534332827766</v>
      </c>
      <c r="AC9" s="2" t="n">
        <f aca="false">A9</f>
        <v>200</v>
      </c>
      <c r="AD9" s="5" t="n">
        <f aca="false">B9</f>
        <v>310.937123548173</v>
      </c>
      <c r="AE9" s="5" t="n">
        <f aca="false">+C9</f>
        <v>308.660962030988</v>
      </c>
      <c r="AF9" s="5" t="n">
        <f aca="false">G9</f>
        <v>307.162450634441</v>
      </c>
      <c r="AG9" s="5" t="n">
        <f aca="false">H9</f>
        <v>305.068665655531</v>
      </c>
      <c r="AH9" s="5" t="n">
        <f aca="false">AC9</f>
        <v>200</v>
      </c>
      <c r="AI9" s="5" t="n">
        <f aca="false">AD9/$AC9</f>
        <v>1.55468561774087</v>
      </c>
      <c r="AJ9" s="5" t="n">
        <f aca="false">AE9/$AC9</f>
        <v>1.54330481015494</v>
      </c>
      <c r="AK9" s="5" t="n">
        <f aca="false">AF9/$AC9</f>
        <v>1.53581225317221</v>
      </c>
      <c r="AL9" s="5" t="n">
        <f aca="false">AG9/$AC9</f>
        <v>1.52534332827766</v>
      </c>
      <c r="AM9" s="5"/>
      <c r="AN9" s="5"/>
      <c r="AQ9" s="2" t="s">
        <v>73</v>
      </c>
      <c r="AR9" s="5" t="n">
        <f aca="false">AE9</f>
        <v>308.660962030988</v>
      </c>
      <c r="AS9" s="5" t="n">
        <f aca="false">AE9</f>
        <v>308.660962030988</v>
      </c>
      <c r="AT9" s="5" t="n">
        <f aca="false">AG9</f>
        <v>305.068665655531</v>
      </c>
      <c r="AU9" s="5" t="n">
        <f aca="false">AD9</f>
        <v>310.937123548173</v>
      </c>
      <c r="AV9" s="2" t="s">
        <v>74</v>
      </c>
      <c r="AW9" s="5" t="n">
        <f aca="false">AD9</f>
        <v>310.937123548173</v>
      </c>
      <c r="AX9" s="5" t="n">
        <f aca="false">AG9</f>
        <v>305.068665655531</v>
      </c>
      <c r="AY9" s="5" t="n">
        <f aca="false">AF9</f>
        <v>307.162450634441</v>
      </c>
      <c r="AZ9" s="5" t="n">
        <f aca="false">AF9</f>
        <v>307.162450634441</v>
      </c>
      <c r="BA9" s="5" t="n">
        <f aca="false">AR9+AS9</f>
        <v>617.321924061975</v>
      </c>
      <c r="BB9" s="5" t="n">
        <f aca="false">AT9+AU9</f>
        <v>616.005789203705</v>
      </c>
      <c r="BC9" s="5" t="n">
        <f aca="false">AW9+AX9</f>
        <v>616.005789203705</v>
      </c>
      <c r="BD9" s="5" t="n">
        <f aca="false">AY9+AZ9</f>
        <v>614.324901268883</v>
      </c>
    </row>
    <row r="10" customFormat="false" ht="13" hidden="false" customHeight="false" outlineLevel="0" collapsed="false">
      <c r="A10" s="2" t="n">
        <v>500</v>
      </c>
      <c r="B10" s="5" t="n">
        <f aca="false">'W-Toll(All-Tax)'!Z10</f>
        <v>309.571425629486</v>
      </c>
      <c r="C10" s="5" t="n">
        <f aca="false">'W-Tax(All-Tax)'!Z10</f>
        <v>308.660962030988</v>
      </c>
      <c r="D10" s="5" t="n">
        <f aca="false">B10-C10+kappa</f>
        <v>90.9104635984988</v>
      </c>
      <c r="E10" s="6" t="n">
        <f aca="false">D10/B10</f>
        <v>0.293665552024514</v>
      </c>
      <c r="F10" s="5"/>
      <c r="G10" s="5" t="n">
        <f aca="false">'W-Toll(All-Toll)-Coop'!Z10</f>
        <v>308.061549048978</v>
      </c>
      <c r="H10" s="5" t="n">
        <f aca="false">'W-Tax(All-Toll)-Coop'!Z10</f>
        <v>307.221386555555</v>
      </c>
      <c r="I10" s="5" t="n">
        <f aca="false">G10-H10+kappa</f>
        <v>90.8401624934231</v>
      </c>
      <c r="J10" s="6" t="n">
        <f aca="false">I10/G10</f>
        <v>0.294876665958011</v>
      </c>
      <c r="L10" s="2" t="n">
        <f aca="false">A10</f>
        <v>500</v>
      </c>
      <c r="M10" s="5" t="n">
        <f aca="false">D10</f>
        <v>90.9104635984988</v>
      </c>
      <c r="N10" s="5" t="n">
        <f aca="false">I10</f>
        <v>90.8401624934231</v>
      </c>
      <c r="O10" s="5" t="n">
        <f aca="false">kappa</f>
        <v>90</v>
      </c>
      <c r="P10" s="2" t="n">
        <f aca="false">A10</f>
        <v>500</v>
      </c>
      <c r="Q10" s="6" t="n">
        <f aca="false">E10</f>
        <v>0.293665552024514</v>
      </c>
      <c r="R10" s="6" t="n">
        <f aca="false">J10</f>
        <v>0.294876665958011</v>
      </c>
      <c r="U10" s="2" t="n">
        <f aca="false">A10</f>
        <v>500</v>
      </c>
      <c r="V10" s="5" t="n">
        <f aca="false">B10/U10</f>
        <v>0.619142851258973</v>
      </c>
      <c r="W10" s="5" t="n">
        <f aca="false">C10/U10</f>
        <v>0.617321924061975</v>
      </c>
      <c r="X10" s="5" t="n">
        <f aca="false">G10/U10</f>
        <v>0.616123098097957</v>
      </c>
      <c r="Y10" s="5" t="n">
        <f aca="false">H10/U10</f>
        <v>0.614442773111111</v>
      </c>
      <c r="AC10" s="2" t="n">
        <f aca="false">A10</f>
        <v>500</v>
      </c>
      <c r="AD10" s="5" t="n">
        <f aca="false">B10</f>
        <v>309.571425629486</v>
      </c>
      <c r="AE10" s="5" t="n">
        <f aca="false">+C10</f>
        <v>308.660962030988</v>
      </c>
      <c r="AF10" s="5" t="n">
        <f aca="false">G10</f>
        <v>308.061549048978</v>
      </c>
      <c r="AG10" s="5" t="n">
        <f aca="false">H10</f>
        <v>307.221386555555</v>
      </c>
      <c r="AH10" s="5" t="n">
        <f aca="false">AC10</f>
        <v>500</v>
      </c>
      <c r="AI10" s="5" t="n">
        <f aca="false">AD10/$AC10</f>
        <v>0.619142851258973</v>
      </c>
      <c r="AJ10" s="5" t="n">
        <f aca="false">AE10/$AC10</f>
        <v>0.617321924061975</v>
      </c>
      <c r="AK10" s="5" t="n">
        <f aca="false">AF10/$AC10</f>
        <v>0.616123098097957</v>
      </c>
      <c r="AL10" s="5" t="n">
        <f aca="false">AG10/$AC10</f>
        <v>0.614442773111111</v>
      </c>
      <c r="AM10" s="5"/>
      <c r="AN10" s="5"/>
      <c r="AQ10" s="2" t="s">
        <v>73</v>
      </c>
      <c r="AR10" s="5" t="n">
        <f aca="false">AE10</f>
        <v>308.660962030988</v>
      </c>
      <c r="AS10" s="5" t="n">
        <f aca="false">AE10</f>
        <v>308.660962030988</v>
      </c>
      <c r="AT10" s="5" t="n">
        <f aca="false">AG10</f>
        <v>307.221386555555</v>
      </c>
      <c r="AU10" s="5" t="n">
        <f aca="false">AD10</f>
        <v>309.571425629486</v>
      </c>
      <c r="AV10" s="2" t="s">
        <v>74</v>
      </c>
      <c r="AW10" s="5" t="n">
        <f aca="false">AD10</f>
        <v>309.571425629486</v>
      </c>
      <c r="AX10" s="5" t="n">
        <f aca="false">AG10</f>
        <v>307.221386555555</v>
      </c>
      <c r="AY10" s="5" t="n">
        <f aca="false">AF10</f>
        <v>308.061549048978</v>
      </c>
      <c r="AZ10" s="5" t="n">
        <f aca="false">AF10</f>
        <v>308.061549048978</v>
      </c>
      <c r="BA10" s="5" t="n">
        <f aca="false">AR10+AS10</f>
        <v>617.321924061975</v>
      </c>
      <c r="BB10" s="5" t="n">
        <f aca="false">AT10+AU10</f>
        <v>616.792812185042</v>
      </c>
      <c r="BC10" s="5" t="n">
        <f aca="false">AW10+AX10</f>
        <v>616.792812185042</v>
      </c>
      <c r="BD10" s="5" t="n">
        <f aca="false">AY10+AZ10</f>
        <v>616.123098097957</v>
      </c>
    </row>
    <row r="11" customFormat="false" ht="13" hidden="false" customHeight="false" outlineLevel="0" collapsed="false">
      <c r="A11" s="2" t="n">
        <v>1000</v>
      </c>
      <c r="B11" s="5" t="n">
        <f aca="false">'W-Toll(All-Tax)'!Z11</f>
        <v>309.116193830237</v>
      </c>
      <c r="C11" s="5" t="n">
        <f aca="false">'W-Tax(All-Tax)'!Z11</f>
        <v>308.660962030988</v>
      </c>
      <c r="D11" s="5" t="n">
        <f aca="false">B11-C11+kappa</f>
        <v>90.4552317992493</v>
      </c>
      <c r="E11" s="6" t="n">
        <f aca="false">D11/B11</f>
        <v>0.292625341553365</v>
      </c>
      <c r="F11" s="5"/>
      <c r="G11" s="5" t="n">
        <f aca="false">'W-Toll(All-Toll)-Coop'!Z11</f>
        <v>308.361255539983</v>
      </c>
      <c r="H11" s="5" t="n">
        <f aca="false">'W-Tax(All-Toll)-Coop'!Z11</f>
        <v>307.941174293271</v>
      </c>
      <c r="I11" s="5" t="n">
        <f aca="false">G11-H11+kappa</f>
        <v>90.4200812467117</v>
      </c>
      <c r="J11" s="6" t="n">
        <f aca="false">I11/G11</f>
        <v>0.29322776328814</v>
      </c>
      <c r="L11" s="2" t="n">
        <f aca="false">A11</f>
        <v>1000</v>
      </c>
      <c r="M11" s="5" t="n">
        <f aca="false">D11</f>
        <v>90.4552317992493</v>
      </c>
      <c r="N11" s="5" t="n">
        <f aca="false">I11</f>
        <v>90.4200812467117</v>
      </c>
      <c r="O11" s="5" t="n">
        <f aca="false">kappa</f>
        <v>90</v>
      </c>
      <c r="P11" s="2" t="n">
        <f aca="false">A11</f>
        <v>1000</v>
      </c>
      <c r="Q11" s="6" t="n">
        <f aca="false">E11</f>
        <v>0.292625341553365</v>
      </c>
      <c r="R11" s="6" t="n">
        <f aca="false">J11</f>
        <v>0.29322776328814</v>
      </c>
      <c r="U11" s="2" t="n">
        <f aca="false">A11</f>
        <v>1000</v>
      </c>
      <c r="V11" s="5" t="n">
        <f aca="false">B11/U11</f>
        <v>0.309116193830237</v>
      </c>
      <c r="W11" s="5" t="n">
        <f aca="false">C11/U11</f>
        <v>0.308660962030988</v>
      </c>
      <c r="X11" s="5" t="n">
        <f aca="false">G11/U11</f>
        <v>0.308361255539983</v>
      </c>
      <c r="Y11" s="5" t="n">
        <f aca="false">H11/U11</f>
        <v>0.307941174293271</v>
      </c>
      <c r="AC11" s="2" t="n">
        <f aca="false">A11</f>
        <v>1000</v>
      </c>
      <c r="AD11" s="5" t="n">
        <f aca="false">B11</f>
        <v>309.116193830237</v>
      </c>
      <c r="AE11" s="5" t="n">
        <f aca="false">+C11</f>
        <v>308.660962030988</v>
      </c>
      <c r="AF11" s="5" t="n">
        <f aca="false">G11</f>
        <v>308.361255539983</v>
      </c>
      <c r="AG11" s="5" t="n">
        <f aca="false">H11</f>
        <v>307.941174293271</v>
      </c>
      <c r="AH11" s="5" t="n">
        <f aca="false">AC11</f>
        <v>1000</v>
      </c>
      <c r="AI11" s="5" t="n">
        <f aca="false">AD11/$AC11</f>
        <v>0.309116193830237</v>
      </c>
      <c r="AJ11" s="5" t="n">
        <f aca="false">AE11/$AC11</f>
        <v>0.308660962030988</v>
      </c>
      <c r="AK11" s="5" t="n">
        <f aca="false">AF11/$AC11</f>
        <v>0.308361255539983</v>
      </c>
      <c r="AL11" s="5" t="n">
        <f aca="false">AG11/$AC11</f>
        <v>0.307941174293271</v>
      </c>
      <c r="AM11" s="5"/>
      <c r="AN11" s="5"/>
      <c r="AQ11" s="2" t="s">
        <v>73</v>
      </c>
      <c r="AR11" s="5" t="n">
        <f aca="false">AE11</f>
        <v>308.660962030988</v>
      </c>
      <c r="AS11" s="5" t="n">
        <f aca="false">AE11</f>
        <v>308.660962030988</v>
      </c>
      <c r="AT11" s="5" t="n">
        <f aca="false">AG11</f>
        <v>307.941174293271</v>
      </c>
      <c r="AU11" s="5" t="n">
        <f aca="false">AD11</f>
        <v>309.116193830237</v>
      </c>
      <c r="AV11" s="2" t="s">
        <v>74</v>
      </c>
      <c r="AW11" s="5" t="n">
        <f aca="false">AD11</f>
        <v>309.116193830237</v>
      </c>
      <c r="AX11" s="5" t="n">
        <f aca="false">AG11</f>
        <v>307.941174293271</v>
      </c>
      <c r="AY11" s="5" t="n">
        <f aca="false">AF11</f>
        <v>308.361255539983</v>
      </c>
      <c r="AZ11" s="5" t="n">
        <f aca="false">AF11</f>
        <v>308.361255539983</v>
      </c>
      <c r="BA11" s="5" t="n">
        <f aca="false">AR11+AS11</f>
        <v>617.321924061975</v>
      </c>
      <c r="BB11" s="5" t="n">
        <f aca="false">AT11+AU11</f>
        <v>617.057368123508</v>
      </c>
      <c r="BC11" s="5" t="n">
        <f aca="false">AW11+AX11</f>
        <v>617.057368123508</v>
      </c>
      <c r="BD11" s="5" t="n">
        <f aca="false">AY11+AZ11</f>
        <v>616.722511079966</v>
      </c>
    </row>
    <row r="12" customFormat="false" ht="13" hidden="false" customHeight="false" outlineLevel="0" collapsed="false">
      <c r="V12" s="5"/>
      <c r="W12" s="5"/>
      <c r="X12" s="5"/>
      <c r="Y12" s="5"/>
      <c r="AR12" s="5"/>
      <c r="AS12" s="5"/>
      <c r="AT12" s="5"/>
      <c r="AU12" s="5"/>
      <c r="AW12" s="5"/>
      <c r="AX12" s="5"/>
      <c r="AY12" s="5"/>
      <c r="AZ12" s="5"/>
      <c r="BA12" s="5"/>
      <c r="BB12" s="5"/>
      <c r="BC12" s="5"/>
      <c r="BD12" s="5"/>
    </row>
    <row r="13" customFormat="false" ht="13" hidden="false" customHeight="false" outlineLevel="0" collapsed="false">
      <c r="AR13" s="5"/>
      <c r="AS13" s="5"/>
      <c r="AT13" s="5"/>
      <c r="AU13" s="5"/>
      <c r="AW13" s="5"/>
      <c r="AX13" s="5"/>
      <c r="AY13" s="5"/>
      <c r="AZ13" s="5"/>
      <c r="BA13" s="5"/>
      <c r="BB13" s="5"/>
      <c r="BC13" s="5"/>
      <c r="BD13" s="5"/>
    </row>
    <row r="16" customFormat="false" ht="13" hidden="false" customHeight="false" outlineLevel="0" collapsed="false">
      <c r="AQ16" s="5"/>
      <c r="AR16" s="5"/>
      <c r="AS16" s="5"/>
      <c r="AT16" s="5"/>
    </row>
    <row r="17" customFormat="false" ht="13" hidden="false" customHeight="false" outlineLevel="0" collapsed="false">
      <c r="AQ17" s="5"/>
      <c r="AR17" s="5"/>
      <c r="AS17" s="5"/>
      <c r="AT17" s="5"/>
    </row>
    <row r="18" customFormat="false" ht="13" hidden="false" customHeight="false" outlineLevel="0" collapsed="false">
      <c r="AQ18" s="5"/>
      <c r="AR18" s="5"/>
      <c r="AS18" s="5"/>
      <c r="AT18" s="5"/>
    </row>
    <row r="36" customFormat="false" ht="13" hidden="false" customHeight="false" outlineLevel="0" collapsed="false">
      <c r="I36" s="5"/>
    </row>
    <row r="37" customFormat="false" ht="13" hidden="false" customHeight="false" outlineLevel="0" collapsed="false">
      <c r="I37" s="6"/>
    </row>
    <row r="52" customFormat="false" ht="13" hidden="false" customHeight="false" outlineLevel="0" collapsed="false">
      <c r="I52" s="5"/>
    </row>
    <row r="53" customFormat="false" ht="13" hidden="false" customHeight="false" outlineLevel="0" collapsed="false">
      <c r="I53" s="6"/>
    </row>
    <row r="68" customFormat="false" ht="13" hidden="false" customHeight="false" outlineLevel="0" collapsed="false">
      <c r="I68" s="5"/>
    </row>
    <row r="69" customFormat="false" ht="13" hidden="false" customHeight="false" outlineLevel="0" collapsed="false">
      <c r="I69" s="6"/>
    </row>
    <row r="84" customFormat="false" ht="13" hidden="false" customHeight="false" outlineLevel="0" collapsed="false">
      <c r="I84" s="5"/>
    </row>
    <row r="85" customFormat="false" ht="13" hidden="false" customHeight="false" outlineLevel="0" collapsed="false">
      <c r="I85" s="6"/>
    </row>
    <row r="100" customFormat="false" ht="13" hidden="false" customHeight="false" outlineLevel="0" collapsed="false">
      <c r="I100" s="5"/>
    </row>
    <row r="101" customFormat="false" ht="13" hidden="false" customHeight="false" outlineLevel="0" collapsed="false">
      <c r="I101" s="6"/>
    </row>
    <row r="116" customFormat="false" ht="13" hidden="false" customHeight="false" outlineLevel="0" collapsed="false">
      <c r="I116" s="5"/>
    </row>
    <row r="117" customFormat="false" ht="13" hidden="false" customHeight="false" outlineLevel="0" collapsed="false">
      <c r="I117" s="6"/>
    </row>
    <row r="132" customFormat="false" ht="13" hidden="false" customHeight="false" outlineLevel="0" collapsed="false">
      <c r="I132" s="5"/>
    </row>
    <row r="133" customFormat="false" ht="13" hidden="false" customHeight="false" outlineLevel="0" collapsed="false">
      <c r="I133" s="6"/>
    </row>
    <row r="148" customFormat="false" ht="13" hidden="false" customHeight="false" outlineLevel="0" collapsed="false">
      <c r="I148" s="5"/>
    </row>
    <row r="149" customFormat="false" ht="13" hidden="false" customHeight="false" outlineLevel="0" collapsed="false">
      <c r="I149" s="6"/>
    </row>
    <row r="156" customFormat="false" ht="13" hidden="false" customHeight="false" outlineLevel="0" collapsed="false">
      <c r="I156" s="5"/>
    </row>
    <row r="157" customFormat="false" ht="13" hidden="false" customHeight="false" outlineLevel="0" collapsed="false">
      <c r="I157" s="6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0546875" defaultRowHeight="13" customHeight="false" zeroHeight="false" outlineLevelRow="0" outlineLevelCol="0"/>
  <cols>
    <col collapsed="false" customWidth="true" hidden="false" outlineLevel="0" max="11" min="11" style="9" width="10.71"/>
  </cols>
  <sheetData>
    <row r="1" customFormat="false" ht="13" hidden="false" customHeight="false" outlineLevel="0" collapsed="false">
      <c r="A1" s="2" t="s">
        <v>15</v>
      </c>
      <c r="B1" s="5" t="s">
        <v>51</v>
      </c>
      <c r="C1" s="5" t="s">
        <v>52</v>
      </c>
      <c r="D1" s="5" t="s">
        <v>43</v>
      </c>
      <c r="E1" s="5" t="s">
        <v>44</v>
      </c>
      <c r="F1" s="5"/>
      <c r="G1" s="5" t="s">
        <v>55</v>
      </c>
      <c r="H1" s="5" t="s">
        <v>56</v>
      </c>
      <c r="I1" s="5" t="s">
        <v>43</v>
      </c>
      <c r="J1" s="5" t="s">
        <v>44</v>
      </c>
      <c r="L1" s="2" t="s">
        <v>15</v>
      </c>
      <c r="M1" s="2" t="s">
        <v>75</v>
      </c>
      <c r="N1" s="2" t="s">
        <v>76</v>
      </c>
      <c r="O1" s="2" t="s">
        <v>77</v>
      </c>
      <c r="Q1" s="2" t="s">
        <v>78</v>
      </c>
      <c r="R1" s="2" t="s">
        <v>17</v>
      </c>
      <c r="S1" s="2" t="s">
        <v>15</v>
      </c>
      <c r="T1" s="2" t="s">
        <v>79</v>
      </c>
      <c r="U1" s="2" t="s">
        <v>80</v>
      </c>
      <c r="V1" s="2" t="s">
        <v>81</v>
      </c>
      <c r="W1" s="2" t="s">
        <v>82</v>
      </c>
    </row>
    <row r="2" customFormat="false" ht="13" hidden="false" customHeight="false" outlineLevel="0" collapsed="false">
      <c r="A2" s="2" t="n">
        <v>1</v>
      </c>
      <c r="B2" s="5" t="n">
        <f aca="false">'W-Toll(All-Tax)'!Z2</f>
        <v>916.113316207213</v>
      </c>
      <c r="C2" s="5" t="n">
        <f aca="false">'W-Tax(All-Tax)'!Z2</f>
        <v>308.660962030988</v>
      </c>
      <c r="D2" s="4" t="n">
        <f aca="false">Beta*2*('W-Toll(All-Tax)'!$F2+'W-Toll(All-Tax)'!$G2)</f>
        <v>1600.89549326334</v>
      </c>
      <c r="E2" s="7" t="n">
        <f aca="false">($B2+D2*Theta-$C2)/D2</f>
        <v>0.459445352137238</v>
      </c>
      <c r="F2" s="5"/>
      <c r="G2" s="5" t="n">
        <f aca="false">'W-Toll(All-Toll)-NONC'!Z2</f>
        <v>-20.2245714377075</v>
      </c>
      <c r="H2" s="5" t="n">
        <f aca="false">'W-Tax(All-Toll)-NONC'!Z2</f>
        <v>-40.8946620296133</v>
      </c>
      <c r="I2" s="4" t="n">
        <f aca="false">Beta*2*('W-Toll(All-Toll)-NONC'!$F2+'W-Toll(All-Toll)-NONC'!$G2)</f>
        <v>51.7385212268631</v>
      </c>
      <c r="J2" s="10" t="n">
        <f aca="false">($G2+I2*Theta-$H2)/I2</f>
        <v>0.47951065669758</v>
      </c>
      <c r="L2" s="2" t="n">
        <v>1</v>
      </c>
      <c r="M2" s="7" t="n">
        <f aca="false">E2</f>
        <v>0.459445352137238</v>
      </c>
      <c r="N2" s="7" t="n">
        <f aca="false">J2</f>
        <v>0.47951065669758</v>
      </c>
      <c r="O2" s="2" t="n">
        <f aca="false">Theta</f>
        <v>0.08</v>
      </c>
      <c r="Q2" s="2" t="s">
        <v>83</v>
      </c>
      <c r="R2" s="2" t="s">
        <v>84</v>
      </c>
      <c r="S2" s="2" t="n">
        <v>1</v>
      </c>
      <c r="T2" s="4" t="n">
        <f aca="false">($B2-$C2)/($B2-$G2)</f>
        <v>0.648753363707295</v>
      </c>
      <c r="U2" s="4" t="n">
        <f aca="false">($B2-$C2)/($C2-$H2)</f>
        <v>1.73778452516305</v>
      </c>
      <c r="V2" s="4" t="n">
        <f aca="false">($G2-$H2)/($B2-$G2)</f>
        <v>0.022075461075163</v>
      </c>
      <c r="W2" s="4" t="n">
        <f aca="false">($G2-$H2)/($C2-$H2)</f>
        <v>0.0591324789794322</v>
      </c>
    </row>
    <row r="3" customFormat="false" ht="13" hidden="false" customHeight="false" outlineLevel="0" collapsed="false">
      <c r="A3" s="2" t="n">
        <v>2</v>
      </c>
      <c r="B3" s="5" t="n">
        <f aca="false">'W-Toll(All-Tax)'!Z3</f>
        <v>597.677184951796</v>
      </c>
      <c r="C3" s="5" t="n">
        <f aca="false">'W-Tax(All-Tax)'!Z3</f>
        <v>308.660962030988</v>
      </c>
      <c r="D3" s="4" t="n">
        <f aca="false">Beta*2*('W-Toll(All-Tax)'!$F3+'W-Toll(All-Tax)'!$G3)</f>
        <v>1714.84014697468</v>
      </c>
      <c r="E3" s="7" t="n">
        <f aca="false">($B3+D3*Theta-$C3)/D3</f>
        <v>0.248538288207615</v>
      </c>
      <c r="F3" s="5"/>
      <c r="G3" s="5" t="n">
        <f aca="false">'W-Toll(All-Toll)-NONC'!Z3</f>
        <v>72.3526095937818</v>
      </c>
      <c r="H3" s="5" t="n">
        <f aca="false">'W-Tax(All-Toll)-NONC'!Z3</f>
        <v>41.3310071998244</v>
      </c>
      <c r="I3" s="4" t="n">
        <f aca="false">Beta*2*('W-Toll(All-Toll)-NONC'!$F3+'W-Toll(All-Toll)-NONC'!$G3)</f>
        <v>158.050709181712</v>
      </c>
      <c r="J3" s="10" t="n">
        <f aca="false">($G3+I3*Theta-$H3)/I3</f>
        <v>0.276276261932438</v>
      </c>
      <c r="L3" s="2" t="n">
        <v>2</v>
      </c>
      <c r="M3" s="7" t="n">
        <f aca="false">E3</f>
        <v>0.248538288207615</v>
      </c>
      <c r="N3" s="7" t="n">
        <f aca="false">J3</f>
        <v>0.276276261932438</v>
      </c>
      <c r="O3" s="2" t="n">
        <f aca="false">Theta</f>
        <v>0.08</v>
      </c>
      <c r="Q3" s="2" t="s">
        <v>85</v>
      </c>
      <c r="R3" s="2" t="s">
        <v>86</v>
      </c>
      <c r="S3" s="2" t="n">
        <v>2</v>
      </c>
      <c r="T3" s="4" t="n">
        <f aca="false">($B3-$C3)/($B3-$G3)</f>
        <v>0.550166956731161</v>
      </c>
      <c r="U3" s="4" t="n">
        <f aca="false">($B3-$C3)/($C3-$H3)</f>
        <v>1.08112172877649</v>
      </c>
      <c r="V3" s="4" t="n">
        <f aca="false">($G3-$H3)/($B3-$G3)</f>
        <v>0.0590522580688631</v>
      </c>
      <c r="W3" s="4" t="n">
        <f aca="false">($G3-$H3)/($C3-$H3)</f>
        <v>0.116042373229553</v>
      </c>
    </row>
    <row r="4" customFormat="false" ht="13" hidden="false" customHeight="false" outlineLevel="0" collapsed="false">
      <c r="A4" s="2" t="n">
        <v>5</v>
      </c>
      <c r="B4" s="5" t="n">
        <f aca="false">'W-Toll(All-Tax)'!Z4</f>
        <v>412.169030434292</v>
      </c>
      <c r="C4" s="5" t="n">
        <f aca="false">'W-Tax(All-Tax)'!Z4</f>
        <v>308.660962030988</v>
      </c>
      <c r="D4" s="4" t="n">
        <f aca="false">Beta*2*('W-Toll(All-Tax)'!$F4+'W-Toll(All-Tax)'!$G4)</f>
        <v>1961.0818065086</v>
      </c>
      <c r="E4" s="7" t="n">
        <f aca="false">($B4+D4*Theta-$C4)/D4</f>
        <v>0.132781106866513</v>
      </c>
      <c r="F4" s="5"/>
      <c r="G4" s="5" t="n">
        <f aca="false">'W-Toll(All-Toll)-NONC'!Z4</f>
        <v>177.307286639362</v>
      </c>
      <c r="H4" s="5" t="n">
        <f aca="false">'W-Tax(All-Toll)-NONC'!Z4</f>
        <v>138.974275891977</v>
      </c>
      <c r="I4" s="4" t="n">
        <f aca="false">Beta*2*('W-Toll(All-Toll)-NONC'!$F4+'W-Toll(All-Toll)-NONC'!$G4)</f>
        <v>504.449719721933</v>
      </c>
      <c r="J4" s="10" t="n">
        <f aca="false">($G4+I4*Theta-$H4)/I4</f>
        <v>0.155989755269396</v>
      </c>
      <c r="L4" s="2" t="n">
        <v>5</v>
      </c>
      <c r="M4" s="7" t="n">
        <f aca="false">E4</f>
        <v>0.132781106866513</v>
      </c>
      <c r="N4" s="7" t="n">
        <f aca="false">J4</f>
        <v>0.155989755269396</v>
      </c>
      <c r="O4" s="2" t="n">
        <f aca="false">Theta</f>
        <v>0.08</v>
      </c>
      <c r="Q4" s="2" t="s">
        <v>87</v>
      </c>
      <c r="R4" s="2" t="s">
        <v>88</v>
      </c>
      <c r="S4" s="2" t="n">
        <v>5</v>
      </c>
      <c r="T4" s="4" t="n">
        <f aca="false">($B4-$C4)/($B4-$G4)</f>
        <v>0.44071915132199</v>
      </c>
      <c r="U4" s="4" t="n">
        <f aca="false">($B4-$C4)/($C4-$H4)</f>
        <v>0.609995225662597</v>
      </c>
      <c r="V4" s="4" t="n">
        <f aca="false">($G4-$H4)/($B4-$G4)</f>
        <v>0.163215218144917</v>
      </c>
      <c r="W4" s="4" t="n">
        <f aca="false">($G4-$H4)/($C4-$H4)</f>
        <v>0.225904645907115</v>
      </c>
    </row>
    <row r="5" customFormat="false" ht="13" hidden="false" customHeight="false" outlineLevel="0" collapsed="false">
      <c r="A5" s="2" t="n">
        <v>10</v>
      </c>
      <c r="B5" s="5" t="n">
        <f aca="false">'W-Toll(All-Tax)'!Z5</f>
        <v>355.851348207362</v>
      </c>
      <c r="C5" s="5" t="n">
        <f aca="false">'W-Tax(All-Tax)'!Z5</f>
        <v>308.660962030988</v>
      </c>
      <c r="D5" s="4" t="n">
        <f aca="false">Beta*2*('W-Toll(All-Tax)'!$F5+'W-Toll(All-Tax)'!$G5)</f>
        <v>2172.96552521004</v>
      </c>
      <c r="E5" s="7" t="n">
        <f aca="false">($B5+D5*Theta-$C5)/D5</f>
        <v>0.101717043196906</v>
      </c>
      <c r="F5" s="5"/>
      <c r="G5" s="5" t="n">
        <f aca="false">'W-Toll(All-Toll)-NONC'!Z5</f>
        <v>236.703551577693</v>
      </c>
      <c r="H5" s="5" t="n">
        <f aca="false">'W-Tax(All-Toll)-NONC'!Z5</f>
        <v>204.035234973293</v>
      </c>
      <c r="I5" s="4" t="n">
        <f aca="false">Beta*2*('W-Toll(All-Toll)-NONC'!$F5+'W-Toll(All-Toll)-NONC'!$G5)</f>
        <v>870.34912189702</v>
      </c>
      <c r="J5" s="10" t="n">
        <f aca="false">($G5+I5*Theta-$H5)/I5</f>
        <v>0.117534726907285</v>
      </c>
      <c r="L5" s="2" t="n">
        <v>10</v>
      </c>
      <c r="M5" s="7" t="n">
        <f aca="false">E5</f>
        <v>0.101717043196906</v>
      </c>
      <c r="N5" s="7" t="n">
        <f aca="false">J5</f>
        <v>0.117534726907285</v>
      </c>
      <c r="O5" s="2" t="n">
        <f aca="false">Theta</f>
        <v>0.08</v>
      </c>
      <c r="S5" s="2" t="n">
        <v>10</v>
      </c>
      <c r="T5" s="4" t="n">
        <f aca="false">($B5-$C5)/($B5-$G5)</f>
        <v>0.396065957669783</v>
      </c>
      <c r="U5" s="4" t="n">
        <f aca="false">($B5-$C5)/($C5-$H5)</f>
        <v>0.451039983218966</v>
      </c>
      <c r="V5" s="4" t="n">
        <f aca="false">($G5-$H5)/($B5-$G5)</f>
        <v>0.274183136646143</v>
      </c>
      <c r="W5" s="4" t="n">
        <f aca="false">($G5-$H5)/($C5-$H5)</f>
        <v>0.312239804903674</v>
      </c>
    </row>
    <row r="6" customFormat="false" ht="13" hidden="false" customHeight="false" outlineLevel="0" collapsed="false">
      <c r="A6" s="2" t="n">
        <v>20</v>
      </c>
      <c r="B6" s="5" t="n">
        <f aca="false">'W-Toll(All-Tax)'!Z6</f>
        <v>331.327180222336</v>
      </c>
      <c r="C6" s="5" t="n">
        <f aca="false">'W-Tax(All-Tax)'!Z6</f>
        <v>308.660962030988</v>
      </c>
      <c r="D6" s="4" t="n">
        <f aca="false">Beta*2*('W-Toll(All-Tax)'!$F6+'W-Toll(All-Tax)'!$G6)</f>
        <v>2299.04135702834</v>
      </c>
      <c r="E6" s="7" t="n">
        <f aca="false">($B6+D6*Theta-$C6)/D6</f>
        <v>0.0898589867128993</v>
      </c>
      <c r="F6" s="5"/>
      <c r="G6" s="5" t="n">
        <f aca="false">'W-Toll(All-Toll)-NONC'!Z6</f>
        <v>272.574855406395</v>
      </c>
      <c r="H6" s="5" t="n">
        <f aca="false">'W-Tax(All-Toll)-NONC'!Z6</f>
        <v>251.354652613951</v>
      </c>
      <c r="I6" s="4" t="n">
        <f aca="false">Beta*2*('W-Toll(All-Toll)-NONC'!$F6+'W-Toll(All-Toll)-NONC'!$G6)</f>
        <v>1104.78447671087</v>
      </c>
      <c r="J6" s="10" t="n">
        <f aca="false">($G6+I6*Theta-$H6)/I6</f>
        <v>0.0992075497436576</v>
      </c>
      <c r="L6" s="2" t="n">
        <v>20</v>
      </c>
      <c r="M6" s="7" t="n">
        <f aca="false">E6</f>
        <v>0.0898589867128993</v>
      </c>
      <c r="N6" s="7" t="n">
        <f aca="false">J6</f>
        <v>0.0992075497436576</v>
      </c>
      <c r="O6" s="2" t="n">
        <f aca="false">Theta</f>
        <v>0.08</v>
      </c>
      <c r="S6" s="2" t="n">
        <v>20</v>
      </c>
      <c r="T6" s="4" t="n">
        <f aca="false">($B6-$C6)/($B6-$G6)</f>
        <v>0.385792702882093</v>
      </c>
      <c r="U6" s="4" t="n">
        <f aca="false">($B6-$C6)/($C6-$H6)</f>
        <v>0.395527445789586</v>
      </c>
      <c r="V6" s="4" t="n">
        <f aca="false">($G6-$H6)/($B6-$G6)</f>
        <v>0.361180648747491</v>
      </c>
      <c r="W6" s="4" t="n">
        <f aca="false">($G6-$H6)/($C6-$H6)</f>
        <v>0.370294353419592</v>
      </c>
    </row>
    <row r="7" customFormat="false" ht="13" hidden="false" customHeight="false" outlineLevel="0" collapsed="false">
      <c r="A7" s="2" t="n">
        <v>50</v>
      </c>
      <c r="B7" s="5" t="n">
        <f aca="false">'W-Toll(All-Tax)'!Z7</f>
        <v>317.761588934224</v>
      </c>
      <c r="C7" s="5" t="n">
        <f aca="false">'W-Tax(All-Tax)'!Z7</f>
        <v>308.660962030988</v>
      </c>
      <c r="D7" s="4" t="n">
        <f aca="false">Beta*2*('W-Toll(All-Tax)'!$F7+'W-Toll(All-Tax)'!$G7)</f>
        <v>2322.45914081279</v>
      </c>
      <c r="E7" s="7" t="n">
        <f aca="false">($B7+D7*Theta-$C7)/D7</f>
        <v>0.0839185304676883</v>
      </c>
      <c r="F7" s="5"/>
      <c r="G7" s="5" t="n">
        <f aca="false">'W-Toll(All-Toll)-NONC'!Z7</f>
        <v>294.37858234659</v>
      </c>
      <c r="H7" s="5" t="n">
        <f aca="false">'W-Tax(All-Toll)-NONC'!Z7</f>
        <v>285.257231391403</v>
      </c>
      <c r="I7" s="4" t="n">
        <f aca="false">Beta*2*('W-Toll(All-Toll)-NONC'!$F7+'W-Toll(All-Toll)-NONC'!$G7)</f>
        <v>1153.22040290605</v>
      </c>
      <c r="J7" s="10" t="n">
        <f aca="false">($G7+I7*Theta-$H7)/I7</f>
        <v>0.0879094602663993</v>
      </c>
      <c r="L7" s="2" t="n">
        <v>50</v>
      </c>
      <c r="M7" s="7" t="n">
        <f aca="false">E7</f>
        <v>0.0839185304676883</v>
      </c>
      <c r="N7" s="7" t="n">
        <f aca="false">J7</f>
        <v>0.0879094602663993</v>
      </c>
      <c r="O7" s="2" t="n">
        <f aca="false">Theta</f>
        <v>0.08</v>
      </c>
      <c r="S7" s="2" t="n">
        <v>50</v>
      </c>
      <c r="T7" s="4" t="n">
        <f aca="false">($B7-$C7)/($B7-$G7)</f>
        <v>0.389198320974215</v>
      </c>
      <c r="U7" s="4" t="n">
        <f aca="false">($B7-$C7)/($C7-$H7)</f>
        <v>0.388853685054967</v>
      </c>
      <c r="V7" s="4" t="n">
        <f aca="false">($G7-$H7)/($B7-$G7)</f>
        <v>0.390084607854073</v>
      </c>
      <c r="W7" s="4" t="n">
        <f aca="false">($G7-$H7)/($C7-$H7)</f>
        <v>0.389739187125957</v>
      </c>
    </row>
    <row r="8" customFormat="false" ht="13" hidden="false" customHeight="false" outlineLevel="0" collapsed="false">
      <c r="A8" s="2" t="n">
        <v>100</v>
      </c>
      <c r="B8" s="5" t="n">
        <f aca="false">'W-Toll(All-Tax)'!Z8</f>
        <v>313.213282321765</v>
      </c>
      <c r="C8" s="5" t="n">
        <f aca="false">'W-Tax(All-Tax)'!Z8</f>
        <v>308.660962030988</v>
      </c>
      <c r="D8" s="4" t="n">
        <f aca="false">Beta*2*('W-Toll(All-Tax)'!$F8+'W-Toll(All-Tax)'!$G8)</f>
        <v>2322.37029893391</v>
      </c>
      <c r="E8" s="7" t="n">
        <f aca="false">($B8+D8*Theta-$C8)/D8</f>
        <v>0.081960204319211</v>
      </c>
      <c r="F8" s="5"/>
      <c r="G8" s="5" t="n">
        <f aca="false">'W-Toll(All-Toll)-NONC'!Z8</f>
        <v>301.522113732881</v>
      </c>
      <c r="H8" s="5" t="n">
        <f aca="false">'W-Tax(All-Toll)-NONC'!Z8</f>
        <v>296.956681355566</v>
      </c>
      <c r="I8" s="4" t="n">
        <f aca="false">Beta*2*('W-Toll(All-Toll)-NONC'!$F8+'W-Toll(All-Toll)-NONC'!$G8)</f>
        <v>1153.25366125529</v>
      </c>
      <c r="J8" s="10" t="n">
        <f aca="false">($G8+I8*Theta-$H8)/I8</f>
        <v>0.0839587408483454</v>
      </c>
      <c r="L8" s="2" t="n">
        <v>100</v>
      </c>
      <c r="M8" s="7" t="n">
        <f aca="false">E8</f>
        <v>0.081960204319211</v>
      </c>
      <c r="N8" s="7" t="n">
        <f aca="false">J8</f>
        <v>0.0839587408483454</v>
      </c>
      <c r="O8" s="2" t="n">
        <f aca="false">Theta</f>
        <v>0.08</v>
      </c>
      <c r="S8" s="2" t="n">
        <v>100</v>
      </c>
      <c r="T8" s="4" t="n">
        <f aca="false">($B8-$C8)/($B8-$G8)</f>
        <v>0.389381117564756</v>
      </c>
      <c r="U8" s="4" t="n">
        <f aca="false">($B8-$C8)/($C8-$H8)</f>
        <v>0.388944901187931</v>
      </c>
      <c r="V8" s="4" t="n">
        <f aca="false">($G8-$H8)/($B8-$G8)</f>
        <v>0.390502655282547</v>
      </c>
      <c r="W8" s="4" t="n">
        <f aca="false">($G8-$H8)/($C8-$H8)</f>
        <v>0.390065182468012</v>
      </c>
    </row>
    <row r="9" customFormat="false" ht="13" hidden="false" customHeight="false" outlineLevel="0" collapsed="false">
      <c r="A9" s="2" t="n">
        <v>200</v>
      </c>
      <c r="B9" s="5" t="n">
        <f aca="false">'W-Toll(All-Tax)'!Z9</f>
        <v>310.937123548173</v>
      </c>
      <c r="C9" s="5" t="n">
        <f aca="false">'W-Tax(All-Tax)'!Z9</f>
        <v>308.660962030988</v>
      </c>
      <c r="D9" s="4" t="n">
        <f aca="false">Beta*2*('W-Toll(All-Tax)'!$F9+'W-Toll(All-Tax)'!$G9)</f>
        <v>2322.36901482108</v>
      </c>
      <c r="E9" s="7" t="n">
        <f aca="false">($B9+D9*Theta-$C9)/D9</f>
        <v>0.0809801032922243</v>
      </c>
      <c r="F9" s="5"/>
      <c r="G9" s="5" t="n">
        <f aca="false">'W-Toll(All-Toll)-NONC'!Z9</f>
        <v>305.087744184494</v>
      </c>
      <c r="H9" s="5" t="n">
        <f aca="false">'W-Tax(All-Toll)-NONC'!Z9</f>
        <v>302.806529230423</v>
      </c>
      <c r="I9" s="4" t="n">
        <f aca="false">Beta*2*('W-Toll(All-Toll)-NONC'!$F9+'W-Toll(All-Toll)-NONC'!$G9)</f>
        <v>1151.73621123369</v>
      </c>
      <c r="J9" s="10" t="n">
        <f aca="false">($G9+I9*Theta-$H9)/I9</f>
        <v>0.0819806748557707</v>
      </c>
      <c r="L9" s="2" t="n">
        <v>200</v>
      </c>
      <c r="M9" s="7" t="n">
        <f aca="false">E9</f>
        <v>0.0809801032922243</v>
      </c>
      <c r="N9" s="7" t="n">
        <f aca="false">J9</f>
        <v>0.0819806748557707</v>
      </c>
      <c r="O9" s="2" t="n">
        <f aca="false">Theta</f>
        <v>0.08</v>
      </c>
      <c r="S9" s="2" t="n">
        <v>200</v>
      </c>
      <c r="T9" s="4" t="n">
        <f aca="false">($B9-$C9)/($B9-$G9)</f>
        <v>0.389128722154554</v>
      </c>
      <c r="U9" s="4" t="n">
        <f aca="false">($B9-$C9)/($C9-$H9)</f>
        <v>0.388792833520304</v>
      </c>
      <c r="V9" s="4" t="n">
        <f aca="false">($G9-$H9)/($B9-$G9)</f>
        <v>0.389992649175041</v>
      </c>
      <c r="W9" s="4" t="n">
        <f aca="false">($G9-$H9)/($C9-$H9)</f>
        <v>0.389656014815147</v>
      </c>
    </row>
    <row r="10" customFormat="false" ht="13" hidden="false" customHeight="false" outlineLevel="0" collapsed="false">
      <c r="A10" s="2" t="n">
        <v>500</v>
      </c>
      <c r="B10" s="5" t="n">
        <f aca="false">'W-Toll(All-Tax)'!Z10</f>
        <v>309.571425629486</v>
      </c>
      <c r="C10" s="5" t="n">
        <f aca="false">'W-Tax(All-Tax)'!Z10</f>
        <v>308.660962030988</v>
      </c>
      <c r="D10" s="4" t="n">
        <f aca="false">Beta*2*('W-Toll(All-Tax)'!$F10+'W-Toll(All-Tax)'!$G10)</f>
        <v>2320.84104062225</v>
      </c>
      <c r="E10" s="7" t="n">
        <f aca="false">($B10+D10*Theta-$C10)/D10</f>
        <v>0.0803922989909963</v>
      </c>
      <c r="F10" s="5"/>
      <c r="G10" s="5" t="n">
        <f aca="false">'W-Toll(All-Toll)-NONC'!Z10</f>
        <v>307.231674892392</v>
      </c>
      <c r="H10" s="5" t="n">
        <f aca="false">'W-Tax(All-Toll)-NONC'!Z10</f>
        <v>306.319188910762</v>
      </c>
      <c r="I10" s="4" t="n">
        <f aca="false">Beta*2*('W-Toll(All-Toll)-NONC'!$F10+'W-Toll(All-Toll)-NONC'!$G10)</f>
        <v>1151.73621123465</v>
      </c>
      <c r="J10" s="10" t="n">
        <f aca="false">($G10+I10*Theta-$H10)/I10</f>
        <v>0.0807922699423084</v>
      </c>
      <c r="L10" s="2" t="n">
        <v>500</v>
      </c>
      <c r="M10" s="7" t="n">
        <f aca="false">E10</f>
        <v>0.0803922989909963</v>
      </c>
      <c r="N10" s="7" t="n">
        <f aca="false">J10</f>
        <v>0.0807922699423084</v>
      </c>
      <c r="O10" s="2" t="n">
        <f aca="false">Theta</f>
        <v>0.08</v>
      </c>
      <c r="S10" s="2" t="n">
        <v>500</v>
      </c>
      <c r="T10" s="4" t="n">
        <f aca="false">($B10-$C10)/($B10-$G10)</f>
        <v>0.389128458884225</v>
      </c>
      <c r="U10" s="4" t="n">
        <f aca="false">($B10-$C10)/($C10-$H10)</f>
        <v>0.388792402917039</v>
      </c>
      <c r="V10" s="4" t="n">
        <f aca="false">($G10-$H10)/($B10-$G10)</f>
        <v>0.389992817253023</v>
      </c>
      <c r="W10" s="4" t="n">
        <f aca="false">($G10-$H10)/($C10-$H10)</f>
        <v>0.389656014815665</v>
      </c>
    </row>
    <row r="11" customFormat="false" ht="13" hidden="false" customHeight="false" outlineLevel="0" collapsed="false">
      <c r="A11" s="2" t="n">
        <v>1000</v>
      </c>
      <c r="B11" s="5" t="n">
        <f aca="false">'W-Toll(All-Tax)'!Z11</f>
        <v>309.116193830237</v>
      </c>
      <c r="C11" s="5" t="n">
        <f aca="false">'W-Tax(All-Tax)'!Z11</f>
        <v>308.660962030988</v>
      </c>
      <c r="D11" s="4" t="n">
        <f aca="false">Beta*2*('W-Toll(All-Tax)'!$F11+'W-Toll(All-Tax)'!$G11)</f>
        <v>2320.84104062222</v>
      </c>
      <c r="E11" s="7" t="n">
        <f aca="false">($B11+D11*Theta-$C11)/D11</f>
        <v>0.0801961494954981</v>
      </c>
      <c r="F11" s="5"/>
      <c r="G11" s="5" t="n">
        <f aca="false">'W-Toll(All-Toll)-NONC'!Z11</f>
        <v>307.946318461689</v>
      </c>
      <c r="H11" s="5" t="n">
        <f aca="false">'W-Tax(All-Toll)-NONC'!Z11</f>
        <v>307.490075470874</v>
      </c>
      <c r="I11" s="4" t="n">
        <f aca="false">Beta*2*('W-Toll(All-Toll)-NONC'!$F11+'W-Toll(All-Toll)-NONC'!$G11)</f>
        <v>1151.73621123245</v>
      </c>
      <c r="J11" s="10" t="n">
        <f aca="false">($G11+I11*Theta-$H11)/I11</f>
        <v>0.0803961349711546</v>
      </c>
      <c r="L11" s="2" t="n">
        <v>1000</v>
      </c>
      <c r="M11" s="7" t="n">
        <f aca="false">E11</f>
        <v>0.0801961494954981</v>
      </c>
      <c r="N11" s="7" t="n">
        <f aca="false">J11</f>
        <v>0.0803961349711546</v>
      </c>
      <c r="O11" s="2" t="n">
        <f aca="false">Theta</f>
        <v>0.08</v>
      </c>
      <c r="S11" s="2" t="n">
        <v>1000</v>
      </c>
      <c r="T11" s="4" t="n">
        <f aca="false">($B11-$C11)/($B11-$G11)</f>
        <v>0.389128458883778</v>
      </c>
      <c r="U11" s="4" t="n">
        <f aca="false">($B11-$C11)/($C11-$H11)</f>
        <v>0.388792402916696</v>
      </c>
      <c r="V11" s="4" t="n">
        <f aca="false">($G11-$H11)/($B11-$G11)</f>
        <v>0.389992817252308</v>
      </c>
      <c r="W11" s="4" t="n">
        <f aca="false">($G11-$H11)/($C11-$H11)</f>
        <v>0.389656014815055</v>
      </c>
    </row>
    <row r="12" customFormat="false" ht="13" hidden="false" customHeight="false" outlineLevel="0" collapsed="false">
      <c r="J12" s="9"/>
    </row>
    <row r="13" customFormat="false" ht="13" hidden="false" customHeight="false" outlineLevel="0" collapsed="false">
      <c r="J13" s="9"/>
    </row>
    <row r="14" customFormat="false" ht="13" hidden="false" customHeight="false" outlineLevel="0" collapsed="false">
      <c r="J14" s="9"/>
    </row>
    <row r="15" customFormat="false" ht="13" hidden="false" customHeight="false" outlineLevel="0" collapsed="false">
      <c r="J15" s="9"/>
    </row>
    <row r="16" customFormat="false" ht="13" hidden="false" customHeight="false" outlineLevel="0" collapsed="false">
      <c r="J16" s="9"/>
    </row>
    <row r="17" customFormat="false" ht="13" hidden="false" customHeight="false" outlineLevel="0" collapsed="false">
      <c r="J17" s="9"/>
    </row>
    <row r="36" customFormat="false" ht="13" hidden="false" customHeight="false" outlineLevel="0" collapsed="false">
      <c r="J36" s="5"/>
    </row>
    <row r="37" customFormat="false" ht="13" hidden="false" customHeight="false" outlineLevel="0" collapsed="false">
      <c r="J37" s="6"/>
    </row>
    <row r="52" customFormat="false" ht="13" hidden="false" customHeight="false" outlineLevel="0" collapsed="false">
      <c r="J52" s="5"/>
    </row>
    <row r="53" customFormat="false" ht="13" hidden="false" customHeight="false" outlineLevel="0" collapsed="false">
      <c r="J53" s="6"/>
    </row>
    <row r="68" customFormat="false" ht="13" hidden="false" customHeight="false" outlineLevel="0" collapsed="false">
      <c r="J68" s="5"/>
    </row>
    <row r="69" customFormat="false" ht="13" hidden="false" customHeight="false" outlineLevel="0" collapsed="false">
      <c r="J69" s="6"/>
    </row>
    <row r="84" customFormat="false" ht="13" hidden="false" customHeight="false" outlineLevel="0" collapsed="false">
      <c r="J84" s="5"/>
    </row>
    <row r="85" customFormat="false" ht="13" hidden="false" customHeight="false" outlineLevel="0" collapsed="false">
      <c r="J85" s="6"/>
    </row>
    <row r="100" customFormat="false" ht="13" hidden="false" customHeight="false" outlineLevel="0" collapsed="false">
      <c r="J100" s="5"/>
    </row>
    <row r="101" customFormat="false" ht="13" hidden="false" customHeight="false" outlineLevel="0" collapsed="false">
      <c r="J101" s="6"/>
    </row>
    <row r="116" customFormat="false" ht="13" hidden="false" customHeight="false" outlineLevel="0" collapsed="false">
      <c r="J116" s="5"/>
    </row>
    <row r="117" customFormat="false" ht="13" hidden="false" customHeight="false" outlineLevel="0" collapsed="false">
      <c r="J117" s="6"/>
    </row>
    <row r="132" customFormat="false" ht="13" hidden="false" customHeight="false" outlineLevel="0" collapsed="false">
      <c r="J132" s="5"/>
    </row>
    <row r="133" customFormat="false" ht="13" hidden="false" customHeight="false" outlineLevel="0" collapsed="false">
      <c r="J133" s="6"/>
    </row>
    <row r="148" customFormat="false" ht="13" hidden="false" customHeight="false" outlineLevel="0" collapsed="false">
      <c r="J148" s="5"/>
    </row>
    <row r="149" customFormat="false" ht="13" hidden="false" customHeight="false" outlineLevel="0" collapsed="false">
      <c r="J149" s="6"/>
    </row>
    <row r="156" customFormat="false" ht="13" hidden="false" customHeight="false" outlineLevel="0" collapsed="false">
      <c r="J156" s="5"/>
    </row>
    <row r="157" customFormat="false" ht="13" hidden="false" customHeight="false" outlineLevel="0" collapsed="false">
      <c r="J157" s="6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0546875" defaultRowHeight="13" customHeight="false" zeroHeight="false" outlineLevelRow="0" outlineLevelCol="0"/>
  <cols>
    <col collapsed="false" customWidth="true" hidden="false" outlineLevel="0" max="11" min="11" style="9" width="10.71"/>
  </cols>
  <sheetData>
    <row r="1" customFormat="false" ht="13" hidden="false" customHeight="false" outlineLevel="0" collapsed="false">
      <c r="A1" s="2" t="s">
        <v>15</v>
      </c>
      <c r="B1" s="5" t="s">
        <v>51</v>
      </c>
      <c r="C1" s="5" t="s">
        <v>52</v>
      </c>
      <c r="D1" s="5" t="s">
        <v>43</v>
      </c>
      <c r="E1" s="5" t="s">
        <v>89</v>
      </c>
      <c r="F1" s="5"/>
      <c r="G1" s="5" t="s">
        <v>55</v>
      </c>
      <c r="H1" s="5" t="s">
        <v>56</v>
      </c>
      <c r="I1" s="5" t="s">
        <v>43</v>
      </c>
      <c r="J1" s="5" t="s">
        <v>89</v>
      </c>
      <c r="L1" s="2" t="s">
        <v>15</v>
      </c>
      <c r="M1" s="2" t="s">
        <v>90</v>
      </c>
      <c r="N1" s="2" t="s">
        <v>91</v>
      </c>
      <c r="O1" s="2" t="s">
        <v>92</v>
      </c>
      <c r="P1" s="2" t="s">
        <v>93</v>
      </c>
      <c r="Q1" s="2" t="s">
        <v>78</v>
      </c>
      <c r="R1" s="2" t="s">
        <v>17</v>
      </c>
      <c r="S1" s="2" t="s">
        <v>15</v>
      </c>
      <c r="T1" s="2" t="s">
        <v>79</v>
      </c>
      <c r="U1" s="2" t="s">
        <v>80</v>
      </c>
      <c r="V1" s="2" t="s">
        <v>81</v>
      </c>
      <c r="W1" s="2" t="s">
        <v>82</v>
      </c>
    </row>
    <row r="2" customFormat="false" ht="13" hidden="false" customHeight="false" outlineLevel="0" collapsed="false">
      <c r="A2" s="2" t="n">
        <v>1</v>
      </c>
      <c r="B2" s="5" t="n">
        <f aca="false">'W-Toll(All-Tax)'!Z2</f>
        <v>916.113316207213</v>
      </c>
      <c r="C2" s="5" t="n">
        <f aca="false">'W-Tax(All-Tax)'!Z2</f>
        <v>308.660962030988</v>
      </c>
      <c r="D2" s="4" t="n">
        <f aca="false">Beta*2*('W-Toll(All-Tax)'!$F2+'W-Toll(All-Tax)'!$G2)</f>
        <v>1600.89549326334</v>
      </c>
      <c r="E2" s="7" t="n">
        <f aca="false">($B2+D2*Theta-$C2)</f>
        <v>735.523993637293</v>
      </c>
      <c r="F2" s="5"/>
      <c r="G2" s="5" t="n">
        <f aca="false">'W-Toll(All-Toll)-NONC'!Z2</f>
        <v>-20.2245714377075</v>
      </c>
      <c r="H2" s="5" t="n">
        <f aca="false">'W-Tax(All-Toll)-NONC'!Z2</f>
        <v>-40.8946620296133</v>
      </c>
      <c r="I2" s="4" t="n">
        <f aca="false">Beta*2*('W-Toll(All-Toll)-NONC'!$F2+'W-Toll(All-Toll)-NONC'!$G2)</f>
        <v>51.7385212268631</v>
      </c>
      <c r="J2" s="10" t="n">
        <f aca="false">($G2+I2*Theta-$H2)</f>
        <v>24.8091722900548</v>
      </c>
      <c r="L2" s="2" t="n">
        <v>1</v>
      </c>
      <c r="M2" s="5" t="n">
        <f aca="false">E2</f>
        <v>735.523993637293</v>
      </c>
      <c r="N2" s="5" t="n">
        <f aca="false">J2</f>
        <v>24.8091722900548</v>
      </c>
      <c r="O2" s="5" t="n">
        <f aca="false">D2*Theta</f>
        <v>128.071639461067</v>
      </c>
      <c r="P2" s="5" t="n">
        <f aca="false">M2*Theta</f>
        <v>58.8419194909834</v>
      </c>
      <c r="Q2" s="2" t="s">
        <v>83</v>
      </c>
      <c r="R2" s="2" t="s">
        <v>84</v>
      </c>
      <c r="S2" s="2" t="n">
        <v>1</v>
      </c>
      <c r="T2" s="4" t="n">
        <f aca="false">($B2-$C2)/($B2-$G2)</f>
        <v>0.648753363707295</v>
      </c>
      <c r="U2" s="4" t="n">
        <f aca="false">($B2-$C2)/($C2-$H2)</f>
        <v>1.73778452516305</v>
      </c>
      <c r="V2" s="4" t="n">
        <f aca="false">($G2-$H2)/($B2-$G2)</f>
        <v>0.022075461075163</v>
      </c>
      <c r="W2" s="4" t="n">
        <f aca="false">($G2-$H2)/($C2-$H2)</f>
        <v>0.0591324789794322</v>
      </c>
    </row>
    <row r="3" customFormat="false" ht="13" hidden="false" customHeight="false" outlineLevel="0" collapsed="false">
      <c r="A3" s="2" t="n">
        <v>2</v>
      </c>
      <c r="B3" s="5" t="n">
        <f aca="false">'W-Toll(All-Tax)'!Z3</f>
        <v>597.677184951796</v>
      </c>
      <c r="C3" s="5" t="n">
        <f aca="false">'W-Tax(All-Tax)'!Z3</f>
        <v>308.660962030988</v>
      </c>
      <c r="D3" s="4" t="n">
        <f aca="false">Beta*2*('W-Toll(All-Tax)'!$F3+'W-Toll(All-Tax)'!$G3)</f>
        <v>1714.84014697468</v>
      </c>
      <c r="E3" s="7" t="n">
        <f aca="false">($B3+D3*Theta-$C3)</f>
        <v>426.203434678783</v>
      </c>
      <c r="F3" s="5"/>
      <c r="G3" s="5" t="n">
        <f aca="false">'W-Toll(All-Toll)-NONC'!Z3</f>
        <v>72.3526095937818</v>
      </c>
      <c r="H3" s="5" t="n">
        <f aca="false">'W-Tax(All-Toll)-NONC'!Z3</f>
        <v>41.3310071998244</v>
      </c>
      <c r="I3" s="4" t="n">
        <f aca="false">Beta*2*('W-Toll(All-Toll)-NONC'!$F3+'W-Toll(All-Toll)-NONC'!$G3)</f>
        <v>158.050709181712</v>
      </c>
      <c r="J3" s="10" t="n">
        <f aca="false">($G3+I3*Theta-$H3)</f>
        <v>43.6656591284943</v>
      </c>
      <c r="L3" s="2" t="n">
        <v>2</v>
      </c>
      <c r="M3" s="5" t="n">
        <f aca="false">E3</f>
        <v>426.203434678783</v>
      </c>
      <c r="N3" s="5" t="n">
        <f aca="false">J3</f>
        <v>43.6656591284943</v>
      </c>
      <c r="O3" s="5" t="n">
        <f aca="false">D3*Theta</f>
        <v>137.187211757975</v>
      </c>
      <c r="P3" s="5" t="n">
        <f aca="false">M3*Theta</f>
        <v>34.0962747743026</v>
      </c>
      <c r="Q3" s="2" t="s">
        <v>85</v>
      </c>
      <c r="R3" s="2" t="s">
        <v>86</v>
      </c>
      <c r="S3" s="2" t="n">
        <v>2</v>
      </c>
      <c r="T3" s="4" t="n">
        <f aca="false">($B3-$C3)/($B3-$G3)</f>
        <v>0.550166956731161</v>
      </c>
      <c r="U3" s="4" t="n">
        <f aca="false">($B3-$C3)/($C3-$H3)</f>
        <v>1.08112172877649</v>
      </c>
      <c r="V3" s="4" t="n">
        <f aca="false">($G3-$H3)/($B3-$G3)</f>
        <v>0.0590522580688631</v>
      </c>
      <c r="W3" s="4" t="n">
        <f aca="false">($G3-$H3)/($C3-$H3)</f>
        <v>0.116042373229553</v>
      </c>
    </row>
    <row r="4" customFormat="false" ht="13" hidden="false" customHeight="false" outlineLevel="0" collapsed="false">
      <c r="A4" s="2" t="n">
        <v>5</v>
      </c>
      <c r="B4" s="5" t="n">
        <f aca="false">'W-Toll(All-Tax)'!Z4</f>
        <v>412.169030434292</v>
      </c>
      <c r="C4" s="5" t="n">
        <f aca="false">'W-Tax(All-Tax)'!Z4</f>
        <v>308.660962030988</v>
      </c>
      <c r="D4" s="4" t="n">
        <f aca="false">Beta*2*('W-Toll(All-Tax)'!$F4+'W-Toll(All-Tax)'!$G4)</f>
        <v>1961.0818065086</v>
      </c>
      <c r="E4" s="7" t="n">
        <f aca="false">($B4+D4*Theta-$C4)</f>
        <v>260.394612923992</v>
      </c>
      <c r="F4" s="5"/>
      <c r="G4" s="5" t="n">
        <f aca="false">'W-Toll(All-Toll)-NONC'!Z4</f>
        <v>177.307286639362</v>
      </c>
      <c r="H4" s="5" t="n">
        <f aca="false">'W-Tax(All-Toll)-NONC'!Z4</f>
        <v>138.974275891977</v>
      </c>
      <c r="I4" s="4" t="n">
        <f aca="false">Beta*2*('W-Toll(All-Toll)-NONC'!$F4+'W-Toll(All-Toll)-NONC'!$G4)</f>
        <v>504.449719721933</v>
      </c>
      <c r="J4" s="10" t="n">
        <f aca="false">($G4+I4*Theta-$H4)</f>
        <v>78.6889883251397</v>
      </c>
      <c r="L4" s="2" t="n">
        <v>5</v>
      </c>
      <c r="M4" s="5" t="n">
        <f aca="false">E4</f>
        <v>260.394612923992</v>
      </c>
      <c r="N4" s="5" t="n">
        <f aca="false">J4</f>
        <v>78.6889883251397</v>
      </c>
      <c r="O4" s="5" t="n">
        <f aca="false">D4*Theta</f>
        <v>156.886544520688</v>
      </c>
      <c r="P4" s="5" t="n">
        <f aca="false">M4*Theta</f>
        <v>20.8315690339194</v>
      </c>
      <c r="Q4" s="2" t="s">
        <v>87</v>
      </c>
      <c r="R4" s="2" t="s">
        <v>88</v>
      </c>
      <c r="S4" s="2" t="n">
        <v>5</v>
      </c>
      <c r="T4" s="4" t="n">
        <f aca="false">($B4-$C4)/($B4-$G4)</f>
        <v>0.44071915132199</v>
      </c>
      <c r="U4" s="4" t="n">
        <f aca="false">($B4-$C4)/($C4-$H4)</f>
        <v>0.609995225662597</v>
      </c>
      <c r="V4" s="4" t="n">
        <f aca="false">($G4-$H4)/($B4-$G4)</f>
        <v>0.163215218144917</v>
      </c>
      <c r="W4" s="4" t="n">
        <f aca="false">($G4-$H4)/($C4-$H4)</f>
        <v>0.225904645907115</v>
      </c>
    </row>
    <row r="5" customFormat="false" ht="13" hidden="false" customHeight="false" outlineLevel="0" collapsed="false">
      <c r="A5" s="2" t="n">
        <v>10</v>
      </c>
      <c r="B5" s="5" t="n">
        <f aca="false">'W-Toll(All-Tax)'!Z5</f>
        <v>355.851348207362</v>
      </c>
      <c r="C5" s="5" t="n">
        <f aca="false">'W-Tax(All-Tax)'!Z5</f>
        <v>308.660962030988</v>
      </c>
      <c r="D5" s="4" t="n">
        <f aca="false">Beta*2*('W-Toll(All-Tax)'!$F5+'W-Toll(All-Tax)'!$G5)</f>
        <v>2172.96552521004</v>
      </c>
      <c r="E5" s="7" t="n">
        <f aca="false">($B5+D5*Theta-$C5)</f>
        <v>221.027628193178</v>
      </c>
      <c r="F5" s="5"/>
      <c r="G5" s="5" t="n">
        <f aca="false">'W-Toll(All-Toll)-NONC'!Z5</f>
        <v>236.703551577693</v>
      </c>
      <c r="H5" s="5" t="n">
        <f aca="false">'W-Tax(All-Toll)-NONC'!Z5</f>
        <v>204.035234973293</v>
      </c>
      <c r="I5" s="4" t="n">
        <f aca="false">Beta*2*('W-Toll(All-Toll)-NONC'!$F5+'W-Toll(All-Toll)-NONC'!$G5)</f>
        <v>870.34912189702</v>
      </c>
      <c r="J5" s="10" t="n">
        <f aca="false">($G5+I5*Theta-$H5)</f>
        <v>102.296246356161</v>
      </c>
      <c r="L5" s="2" t="n">
        <v>10</v>
      </c>
      <c r="M5" s="5" t="n">
        <f aca="false">E5</f>
        <v>221.027628193178</v>
      </c>
      <c r="N5" s="5" t="n">
        <f aca="false">J5</f>
        <v>102.296246356161</v>
      </c>
      <c r="O5" s="5" t="n">
        <f aca="false">D5*Theta</f>
        <v>173.837242016803</v>
      </c>
      <c r="P5" s="5" t="n">
        <f aca="false">M5*Theta</f>
        <v>17.6822102554542</v>
      </c>
      <c r="S5" s="2" t="n">
        <v>10</v>
      </c>
      <c r="T5" s="4" t="n">
        <f aca="false">($B5-$C5)/($B5-$G5)</f>
        <v>0.396065957669783</v>
      </c>
      <c r="U5" s="4" t="n">
        <f aca="false">($B5-$C5)/($C5-$H5)</f>
        <v>0.451039983218966</v>
      </c>
      <c r="V5" s="4" t="n">
        <f aca="false">($G5-$H5)/($B5-$G5)</f>
        <v>0.274183136646143</v>
      </c>
      <c r="W5" s="4" t="n">
        <f aca="false">($G5-$H5)/($C5-$H5)</f>
        <v>0.312239804903674</v>
      </c>
    </row>
    <row r="6" customFormat="false" ht="13" hidden="false" customHeight="false" outlineLevel="0" collapsed="false">
      <c r="A6" s="2" t="n">
        <v>20</v>
      </c>
      <c r="B6" s="5" t="n">
        <f aca="false">'W-Toll(All-Tax)'!Z6</f>
        <v>331.327180222336</v>
      </c>
      <c r="C6" s="5" t="n">
        <f aca="false">'W-Tax(All-Tax)'!Z6</f>
        <v>308.660962030988</v>
      </c>
      <c r="D6" s="4" t="n">
        <f aca="false">Beta*2*('W-Toll(All-Tax)'!$F6+'W-Toll(All-Tax)'!$G6)</f>
        <v>2299.04135702834</v>
      </c>
      <c r="E6" s="7" t="n">
        <f aca="false">($B6+D6*Theta-$C6)</f>
        <v>206.589526753615</v>
      </c>
      <c r="F6" s="5"/>
      <c r="G6" s="5" t="n">
        <f aca="false">'W-Toll(All-Toll)-NONC'!Z6</f>
        <v>272.574855406395</v>
      </c>
      <c r="H6" s="5" t="n">
        <f aca="false">'W-Tax(All-Toll)-NONC'!Z6</f>
        <v>251.354652613951</v>
      </c>
      <c r="I6" s="4" t="n">
        <f aca="false">Beta*2*('W-Toll(All-Toll)-NONC'!$F6+'W-Toll(All-Toll)-NONC'!$G6)</f>
        <v>1104.78447671087</v>
      </c>
      <c r="J6" s="10" t="n">
        <f aca="false">($G6+I6*Theta-$H6)</f>
        <v>109.602960929314</v>
      </c>
      <c r="L6" s="2" t="n">
        <v>20</v>
      </c>
      <c r="M6" s="5" t="n">
        <f aca="false">E6</f>
        <v>206.589526753615</v>
      </c>
      <c r="N6" s="5" t="n">
        <f aca="false">J6</f>
        <v>109.602960929314</v>
      </c>
      <c r="O6" s="5" t="n">
        <f aca="false">D6*Theta</f>
        <v>183.923308562267</v>
      </c>
      <c r="P6" s="5" t="n">
        <f aca="false">M6*Theta</f>
        <v>16.5271621402892</v>
      </c>
      <c r="S6" s="2" t="n">
        <v>20</v>
      </c>
      <c r="T6" s="4" t="n">
        <f aca="false">($B6-$C6)/($B6-$G6)</f>
        <v>0.385792702882093</v>
      </c>
      <c r="U6" s="4" t="n">
        <f aca="false">($B6-$C6)/($C6-$H6)</f>
        <v>0.395527445789586</v>
      </c>
      <c r="V6" s="4" t="n">
        <f aca="false">($G6-$H6)/($B6-$G6)</f>
        <v>0.361180648747491</v>
      </c>
      <c r="W6" s="4" t="n">
        <f aca="false">($G6-$H6)/($C6-$H6)</f>
        <v>0.370294353419592</v>
      </c>
    </row>
    <row r="7" customFormat="false" ht="13" hidden="false" customHeight="false" outlineLevel="0" collapsed="false">
      <c r="A7" s="2" t="n">
        <v>50</v>
      </c>
      <c r="B7" s="5" t="n">
        <f aca="false">'W-Toll(All-Tax)'!Z7</f>
        <v>317.761588934224</v>
      </c>
      <c r="C7" s="5" t="n">
        <f aca="false">'W-Tax(All-Tax)'!Z7</f>
        <v>308.660962030988</v>
      </c>
      <c r="D7" s="4" t="n">
        <f aca="false">Beta*2*('W-Toll(All-Tax)'!$F7+'W-Toll(All-Tax)'!$G7)</f>
        <v>2322.45914081279</v>
      </c>
      <c r="E7" s="7" t="n">
        <f aca="false">($B7+D7*Theta-$C7)</f>
        <v>194.897358168259</v>
      </c>
      <c r="F7" s="5"/>
      <c r="G7" s="5" t="n">
        <f aca="false">'W-Toll(All-Toll)-NONC'!Z7</f>
        <v>294.37858234659</v>
      </c>
      <c r="H7" s="5" t="n">
        <f aca="false">'W-Tax(All-Toll)-NONC'!Z7</f>
        <v>285.257231391403</v>
      </c>
      <c r="I7" s="4" t="n">
        <f aca="false">Beta*2*('W-Toll(All-Toll)-NONC'!$F7+'W-Toll(All-Toll)-NONC'!$G7)</f>
        <v>1153.22040290605</v>
      </c>
      <c r="J7" s="10" t="n">
        <f aca="false">($G7+I7*Theta-$H7)</f>
        <v>101.378983187671</v>
      </c>
      <c r="L7" s="2" t="n">
        <v>50</v>
      </c>
      <c r="M7" s="5" t="n">
        <f aca="false">E7</f>
        <v>194.897358168259</v>
      </c>
      <c r="N7" s="5" t="n">
        <f aca="false">J7</f>
        <v>101.378983187671</v>
      </c>
      <c r="O7" s="5" t="n">
        <f aca="false">D7*Theta</f>
        <v>185.796731265023</v>
      </c>
      <c r="P7" s="5" t="n">
        <f aca="false">M7*Theta</f>
        <v>15.5917886534607</v>
      </c>
      <c r="S7" s="2" t="n">
        <v>50</v>
      </c>
      <c r="T7" s="4" t="n">
        <f aca="false">($B7-$C7)/($B7-$G7)</f>
        <v>0.389198320974215</v>
      </c>
      <c r="U7" s="4" t="n">
        <f aca="false">($B7-$C7)/($C7-$H7)</f>
        <v>0.388853685054967</v>
      </c>
      <c r="V7" s="4" t="n">
        <f aca="false">($G7-$H7)/($B7-$G7)</f>
        <v>0.390084607854073</v>
      </c>
      <c r="W7" s="4" t="n">
        <f aca="false">($G7-$H7)/($C7-$H7)</f>
        <v>0.389739187125957</v>
      </c>
    </row>
    <row r="8" customFormat="false" ht="13" hidden="false" customHeight="false" outlineLevel="0" collapsed="false">
      <c r="A8" s="2" t="n">
        <v>100</v>
      </c>
      <c r="B8" s="5" t="n">
        <f aca="false">'W-Toll(All-Tax)'!Z8</f>
        <v>313.213282321765</v>
      </c>
      <c r="C8" s="5" t="n">
        <f aca="false">'W-Tax(All-Tax)'!Z8</f>
        <v>308.660962030988</v>
      </c>
      <c r="D8" s="4" t="n">
        <f aca="false">Beta*2*('W-Toll(All-Tax)'!$F8+'W-Toll(All-Tax)'!$G8)</f>
        <v>2322.37029893391</v>
      </c>
      <c r="E8" s="7" t="n">
        <f aca="false">($B8+D8*Theta-$C8)</f>
        <v>190.341944205491</v>
      </c>
      <c r="F8" s="5"/>
      <c r="G8" s="5" t="n">
        <f aca="false">'W-Toll(All-Toll)-NONC'!Z8</f>
        <v>301.522113732881</v>
      </c>
      <c r="H8" s="5" t="n">
        <f aca="false">'W-Tax(All-Toll)-NONC'!Z8</f>
        <v>296.956681355566</v>
      </c>
      <c r="I8" s="4" t="n">
        <f aca="false">Beta*2*('W-Toll(All-Toll)-NONC'!$F8+'W-Toll(All-Toll)-NONC'!$G8)</f>
        <v>1153.25366125529</v>
      </c>
      <c r="J8" s="10" t="n">
        <f aca="false">($G8+I8*Theta-$H8)</f>
        <v>96.8257252777383</v>
      </c>
      <c r="L8" s="2" t="n">
        <v>100</v>
      </c>
      <c r="M8" s="5" t="n">
        <f aca="false">E8</f>
        <v>190.341944205491</v>
      </c>
      <c r="N8" s="5" t="n">
        <f aca="false">J8</f>
        <v>96.8257252777383</v>
      </c>
      <c r="O8" s="5" t="n">
        <f aca="false">D8*Theta</f>
        <v>185.789623914713</v>
      </c>
      <c r="P8" s="5" t="n">
        <f aca="false">M8*Theta</f>
        <v>15.2273555364393</v>
      </c>
      <c r="S8" s="2" t="n">
        <v>100</v>
      </c>
      <c r="T8" s="4" t="n">
        <f aca="false">($B8-$C8)/($B8-$G8)</f>
        <v>0.389381117564756</v>
      </c>
      <c r="U8" s="4" t="n">
        <f aca="false">($B8-$C8)/($C8-$H8)</f>
        <v>0.388944901187931</v>
      </c>
      <c r="V8" s="4" t="n">
        <f aca="false">($G8-$H8)/($B8-$G8)</f>
        <v>0.390502655282547</v>
      </c>
      <c r="W8" s="4" t="n">
        <f aca="false">($G8-$H8)/($C8-$H8)</f>
        <v>0.390065182468012</v>
      </c>
    </row>
    <row r="9" customFormat="false" ht="13" hidden="false" customHeight="false" outlineLevel="0" collapsed="false">
      <c r="A9" s="2" t="n">
        <v>200</v>
      </c>
      <c r="B9" s="5" t="n">
        <f aca="false">'W-Toll(All-Tax)'!Z9</f>
        <v>310.937123548173</v>
      </c>
      <c r="C9" s="5" t="n">
        <f aca="false">'W-Tax(All-Tax)'!Z9</f>
        <v>308.660962030988</v>
      </c>
      <c r="D9" s="4" t="n">
        <f aca="false">Beta*2*('W-Toll(All-Tax)'!$F9+'W-Toll(All-Tax)'!$G9)</f>
        <v>2322.36901482108</v>
      </c>
      <c r="E9" s="7" t="n">
        <f aca="false">($B9+D9*Theta-$C9)</f>
        <v>188.065682702872</v>
      </c>
      <c r="F9" s="5"/>
      <c r="G9" s="5" t="n">
        <f aca="false">'W-Toll(All-Toll)-NONC'!Z9</f>
        <v>305.087744184494</v>
      </c>
      <c r="H9" s="5" t="n">
        <f aca="false">'W-Tax(All-Toll)-NONC'!Z9</f>
        <v>302.806529230423</v>
      </c>
      <c r="I9" s="4" t="n">
        <f aca="false">Beta*2*('W-Toll(All-Toll)-NONC'!$F9+'W-Toll(All-Toll)-NONC'!$G9)</f>
        <v>1151.73621123369</v>
      </c>
      <c r="J9" s="10" t="n">
        <f aca="false">($G9+I9*Theta-$H9)</f>
        <v>94.4201118527664</v>
      </c>
      <c r="L9" s="2" t="n">
        <v>200</v>
      </c>
      <c r="M9" s="5" t="n">
        <f aca="false">E9</f>
        <v>188.065682702872</v>
      </c>
      <c r="N9" s="5" t="n">
        <f aca="false">J9</f>
        <v>94.4201118527664</v>
      </c>
      <c r="O9" s="5" t="n">
        <f aca="false">D9*Theta</f>
        <v>185.789521185686</v>
      </c>
      <c r="P9" s="5" t="n">
        <f aca="false">M9*Theta</f>
        <v>15.0452546162298</v>
      </c>
      <c r="S9" s="2" t="n">
        <v>200</v>
      </c>
      <c r="T9" s="4" t="n">
        <f aca="false">($B9-$C9)/($B9-$G9)</f>
        <v>0.389128722154554</v>
      </c>
      <c r="U9" s="4" t="n">
        <f aca="false">($B9-$C9)/($C9-$H9)</f>
        <v>0.388792833520304</v>
      </c>
      <c r="V9" s="4" t="n">
        <f aca="false">($G9-$H9)/($B9-$G9)</f>
        <v>0.389992649175041</v>
      </c>
      <c r="W9" s="4" t="n">
        <f aca="false">($G9-$H9)/($C9-$H9)</f>
        <v>0.389656014815147</v>
      </c>
    </row>
    <row r="10" customFormat="false" ht="13" hidden="false" customHeight="false" outlineLevel="0" collapsed="false">
      <c r="A10" s="2" t="n">
        <v>500</v>
      </c>
      <c r="B10" s="5" t="n">
        <f aca="false">'W-Toll(All-Tax)'!Z10</f>
        <v>309.571425629486</v>
      </c>
      <c r="C10" s="5" t="n">
        <f aca="false">'W-Tax(All-Tax)'!Z10</f>
        <v>308.660962030988</v>
      </c>
      <c r="D10" s="4" t="n">
        <f aca="false">Beta*2*('W-Toll(All-Tax)'!$F10+'W-Toll(All-Tax)'!$G10)</f>
        <v>2320.84104062225</v>
      </c>
      <c r="E10" s="7" t="n">
        <f aca="false">($B10+D10*Theta-$C10)</f>
        <v>186.577746848279</v>
      </c>
      <c r="F10" s="5"/>
      <c r="G10" s="5" t="n">
        <f aca="false">'W-Toll(All-Toll)-NONC'!Z10</f>
        <v>307.231674892392</v>
      </c>
      <c r="H10" s="5" t="n">
        <f aca="false">'W-Tax(All-Toll)-NONC'!Z10</f>
        <v>306.319188910762</v>
      </c>
      <c r="I10" s="4" t="n">
        <f aca="false">Beta*2*('W-Toll(All-Toll)-NONC'!$F10+'W-Toll(All-Toll)-NONC'!$G10)</f>
        <v>1151.73621123465</v>
      </c>
      <c r="J10" s="10" t="n">
        <f aca="false">($G10+I10*Theta-$H10)</f>
        <v>93.0513828804011</v>
      </c>
      <c r="L10" s="2" t="n">
        <v>500</v>
      </c>
      <c r="M10" s="5" t="n">
        <f aca="false">E10</f>
        <v>186.577746848279</v>
      </c>
      <c r="N10" s="5" t="n">
        <f aca="false">J10</f>
        <v>93.0513828804011</v>
      </c>
      <c r="O10" s="5" t="n">
        <f aca="false">D10*Theta</f>
        <v>185.66728324978</v>
      </c>
      <c r="P10" s="5" t="n">
        <f aca="false">M10*Theta</f>
        <v>14.9262197478623</v>
      </c>
      <c r="S10" s="2" t="n">
        <v>500</v>
      </c>
      <c r="T10" s="4" t="n">
        <f aca="false">($B10-$C10)/($B10-$G10)</f>
        <v>0.389128458884225</v>
      </c>
      <c r="U10" s="4" t="n">
        <f aca="false">($B10-$C10)/($C10-$H10)</f>
        <v>0.388792402917039</v>
      </c>
      <c r="V10" s="4" t="n">
        <f aca="false">($G10-$H10)/($B10-$G10)</f>
        <v>0.389992817253023</v>
      </c>
      <c r="W10" s="4" t="n">
        <f aca="false">($G10-$H10)/($C10-$H10)</f>
        <v>0.389656014815665</v>
      </c>
    </row>
    <row r="11" customFormat="false" ht="13" hidden="false" customHeight="false" outlineLevel="0" collapsed="false">
      <c r="A11" s="2" t="n">
        <v>1000</v>
      </c>
      <c r="B11" s="5" t="n">
        <f aca="false">'W-Toll(All-Tax)'!Z11</f>
        <v>309.116193830237</v>
      </c>
      <c r="C11" s="5" t="n">
        <f aca="false">'W-Tax(All-Tax)'!Z11</f>
        <v>308.660962030988</v>
      </c>
      <c r="D11" s="4" t="n">
        <f aca="false">Beta*2*('W-Toll(All-Tax)'!$F11+'W-Toll(All-Tax)'!$G11)</f>
        <v>2320.84104062222</v>
      </c>
      <c r="E11" s="7" t="n">
        <f aca="false">($B11+D11*Theta-$C11)</f>
        <v>186.122515049027</v>
      </c>
      <c r="F11" s="5"/>
      <c r="G11" s="5" t="n">
        <f aca="false">'W-Toll(All-Toll)-NONC'!Z11</f>
        <v>307.946318461689</v>
      </c>
      <c r="H11" s="5" t="n">
        <f aca="false">'W-Tax(All-Toll)-NONC'!Z11</f>
        <v>307.490075470874</v>
      </c>
      <c r="I11" s="4" t="n">
        <f aca="false">Beta*2*('W-Toll(All-Toll)-NONC'!$F11+'W-Toll(All-Toll)-NONC'!$G11)</f>
        <v>1151.73621123245</v>
      </c>
      <c r="J11" s="10" t="n">
        <f aca="false">($G11+I11*Theta-$H11)</f>
        <v>92.5951398894099</v>
      </c>
      <c r="L11" s="2" t="n">
        <v>1000</v>
      </c>
      <c r="M11" s="5" t="n">
        <f aca="false">E11</f>
        <v>186.122515049027</v>
      </c>
      <c r="N11" s="5" t="n">
        <f aca="false">J11</f>
        <v>92.5951398894099</v>
      </c>
      <c r="O11" s="5" t="n">
        <f aca="false">D11*Theta</f>
        <v>185.667283249777</v>
      </c>
      <c r="P11" s="5" t="n">
        <f aca="false">M11*Theta</f>
        <v>14.8898012039221</v>
      </c>
      <c r="S11" s="2" t="n">
        <v>1000</v>
      </c>
      <c r="T11" s="4" t="n">
        <f aca="false">($B11-$C11)/($B11-$G11)</f>
        <v>0.389128458883778</v>
      </c>
      <c r="U11" s="4" t="n">
        <f aca="false">($B11-$C11)/($C11-$H11)</f>
        <v>0.388792402916696</v>
      </c>
      <c r="V11" s="4" t="n">
        <f aca="false">($G11-$H11)/($B11-$G11)</f>
        <v>0.389992817252308</v>
      </c>
      <c r="W11" s="4" t="n">
        <f aca="false">($G11-$H11)/($C11-$H11)</f>
        <v>0.389656014815055</v>
      </c>
    </row>
    <row r="12" customFormat="false" ht="13" hidden="false" customHeight="false" outlineLevel="0" collapsed="false">
      <c r="J12" s="9"/>
    </row>
    <row r="13" customFormat="false" ht="13" hidden="false" customHeight="false" outlineLevel="0" collapsed="false">
      <c r="J13" s="9"/>
    </row>
    <row r="14" customFormat="false" ht="13" hidden="false" customHeight="false" outlineLevel="0" collapsed="false">
      <c r="J14" s="9"/>
    </row>
    <row r="15" customFormat="false" ht="13" hidden="false" customHeight="false" outlineLevel="0" collapsed="false">
      <c r="J15" s="9"/>
    </row>
    <row r="16" customFormat="false" ht="13" hidden="false" customHeight="false" outlineLevel="0" collapsed="false">
      <c r="J16" s="9"/>
    </row>
    <row r="17" customFormat="false" ht="13" hidden="false" customHeight="false" outlineLevel="0" collapsed="false">
      <c r="J17" s="9"/>
    </row>
    <row r="36" customFormat="false" ht="13" hidden="false" customHeight="false" outlineLevel="0" collapsed="false">
      <c r="J36" s="5"/>
    </row>
    <row r="37" customFormat="false" ht="13" hidden="false" customHeight="false" outlineLevel="0" collapsed="false">
      <c r="J37" s="6"/>
    </row>
    <row r="52" customFormat="false" ht="13" hidden="false" customHeight="false" outlineLevel="0" collapsed="false">
      <c r="J52" s="5"/>
    </row>
    <row r="53" customFormat="false" ht="13" hidden="false" customHeight="false" outlineLevel="0" collapsed="false">
      <c r="J53" s="6"/>
    </row>
    <row r="68" customFormat="false" ht="13" hidden="false" customHeight="false" outlineLevel="0" collapsed="false">
      <c r="J68" s="5"/>
    </row>
    <row r="69" customFormat="false" ht="13" hidden="false" customHeight="false" outlineLevel="0" collapsed="false">
      <c r="J69" s="6"/>
    </row>
    <row r="84" customFormat="false" ht="13" hidden="false" customHeight="false" outlineLevel="0" collapsed="false">
      <c r="J84" s="5"/>
    </row>
    <row r="85" customFormat="false" ht="13" hidden="false" customHeight="false" outlineLevel="0" collapsed="false">
      <c r="J85" s="6"/>
    </row>
    <row r="100" customFormat="false" ht="13" hidden="false" customHeight="false" outlineLevel="0" collapsed="false">
      <c r="J100" s="5"/>
    </row>
    <row r="101" customFormat="false" ht="13" hidden="false" customHeight="false" outlineLevel="0" collapsed="false">
      <c r="J101" s="6"/>
    </row>
    <row r="116" customFormat="false" ht="13" hidden="false" customHeight="false" outlineLevel="0" collapsed="false">
      <c r="J116" s="5"/>
    </row>
    <row r="117" customFormat="false" ht="13" hidden="false" customHeight="false" outlineLevel="0" collapsed="false">
      <c r="J117" s="6"/>
    </row>
    <row r="132" customFormat="false" ht="13" hidden="false" customHeight="false" outlineLevel="0" collapsed="false">
      <c r="J132" s="5"/>
    </row>
    <row r="133" customFormat="false" ht="13" hidden="false" customHeight="false" outlineLevel="0" collapsed="false">
      <c r="J133" s="6"/>
    </row>
    <row r="148" customFormat="false" ht="13" hidden="false" customHeight="false" outlineLevel="0" collapsed="false">
      <c r="J148" s="5"/>
    </row>
    <row r="149" customFormat="false" ht="13" hidden="false" customHeight="false" outlineLevel="0" collapsed="false">
      <c r="J149" s="6"/>
    </row>
    <row r="156" customFormat="false" ht="13" hidden="false" customHeight="false" outlineLevel="0" collapsed="false">
      <c r="J156" s="5"/>
    </row>
    <row r="157" customFormat="false" ht="13" hidden="false" customHeight="false" outlineLevel="0" collapsed="false">
      <c r="J157" s="6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7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W1" activeCellId="0" sqref="W1"/>
    </sheetView>
  </sheetViews>
  <sheetFormatPr defaultColWidth="11.0546875" defaultRowHeight="13" customHeight="false" zeroHeight="false" outlineLevelRow="0" outlineLevelCol="0"/>
  <cols>
    <col collapsed="false" customWidth="true" hidden="false" outlineLevel="0" max="11" min="11" style="9" width="10.71"/>
    <col collapsed="false" customWidth="true" hidden="false" outlineLevel="0" max="18" min="18" style="2" width="2.99"/>
  </cols>
  <sheetData>
    <row r="1" customFormat="false" ht="13" hidden="false" customHeight="false" outlineLevel="0" collapsed="false">
      <c r="A1" s="2" t="s">
        <v>15</v>
      </c>
      <c r="B1" s="5" t="s">
        <v>51</v>
      </c>
      <c r="C1" s="5" t="s">
        <v>52</v>
      </c>
      <c r="D1" s="5" t="s">
        <v>94</v>
      </c>
      <c r="E1" s="5" t="s">
        <v>44</v>
      </c>
      <c r="F1" s="5"/>
      <c r="G1" s="5" t="s">
        <v>55</v>
      </c>
      <c r="H1" s="5" t="s">
        <v>56</v>
      </c>
      <c r="I1" s="5" t="s">
        <v>94</v>
      </c>
      <c r="J1" s="5" t="s">
        <v>44</v>
      </c>
      <c r="L1" s="2" t="s">
        <v>15</v>
      </c>
      <c r="M1" s="2" t="s">
        <v>75</v>
      </c>
      <c r="N1" s="2" t="s">
        <v>76</v>
      </c>
      <c r="O1" s="2" t="s">
        <v>77</v>
      </c>
      <c r="Q1" s="2" t="s">
        <v>78</v>
      </c>
      <c r="R1" s="2" t="s">
        <v>17</v>
      </c>
      <c r="S1" s="2" t="s">
        <v>15</v>
      </c>
      <c r="T1" s="2" t="s">
        <v>79</v>
      </c>
      <c r="U1" s="2" t="s">
        <v>80</v>
      </c>
      <c r="V1" s="2" t="s">
        <v>81</v>
      </c>
      <c r="W1" s="2" t="s">
        <v>82</v>
      </c>
    </row>
    <row r="2" customFormat="false" ht="13" hidden="false" customHeight="false" outlineLevel="0" collapsed="false">
      <c r="A2" s="2" t="n">
        <v>1</v>
      </c>
      <c r="B2" s="5" t="n">
        <f aca="false">'W-Toll(All-Tax)'!Z2</f>
        <v>916.113316207213</v>
      </c>
      <c r="C2" s="5" t="n">
        <f aca="false">'W-Tax(All-Tax)'!Z2</f>
        <v>308.660962030988</v>
      </c>
      <c r="D2" s="4" t="n">
        <f aca="false">($B2+'W-Toll(All-Tax)'!$J2*'W-Toll(All-Tax)'!$F2*2+'W-Toll(All-Tax)'!$K2*'W-Toll(All-Tax)'!$G2*2)</f>
        <v>1044.18495566828</v>
      </c>
      <c r="E2" s="4" t="n">
        <f aca="false">($D2-$C2)/(('W-Toll(All-Tax)'!$J2*'W-Toll(All-Tax)'!$F2*2/Theta)+('W-Toll(All-Tax)'!$K2*'W-Toll(All-Tax)'!$G2*2/Theta))</f>
        <v>0.459445352137238</v>
      </c>
      <c r="F2" s="5"/>
      <c r="G2" s="5" t="n">
        <f aca="false">'W-Toll(All-Toll)-Coop'!Z2</f>
        <v>70.7414254686023</v>
      </c>
      <c r="H2" s="5" t="n">
        <f aca="false">'W-Tax(All-Toll)-Coop'!Z2</f>
        <v>-17.4344986894621</v>
      </c>
      <c r="I2" s="11" t="n">
        <f aca="false">$G2+'W-Toll(All-Toll)-Coop'!$F2*'W-Toll(All-Toll)-Coop'!$J2*2+'W-Toll(All-Toll)-Coop'!$G2*'W-Toll(All-Toll)-Coop'!$K2*2</f>
        <v>148.470225820513</v>
      </c>
      <c r="J2" s="12" t="n">
        <f aca="false">($I2-$H2)/(('W-Toll(All-Toll)-Coop'!$F2*'W-Toll(All-Toll)-Coop'!$J2*2/Theta)+('W-Toll(All-Toll)-Coop'!$G2*'W-Toll(All-Toll)-Coop'!$K2*2/Theta))</f>
        <v>0.17075238393888</v>
      </c>
      <c r="L2" s="2" t="n">
        <v>1</v>
      </c>
      <c r="M2" s="7" t="n">
        <f aca="false">E2</f>
        <v>0.459445352137238</v>
      </c>
      <c r="N2" s="7" t="n">
        <f aca="false">J2</f>
        <v>0.17075238393888</v>
      </c>
      <c r="O2" s="2" t="n">
        <f aca="false">Theta</f>
        <v>0.08</v>
      </c>
      <c r="Q2" s="2" t="s">
        <v>83</v>
      </c>
      <c r="R2" s="2" t="s">
        <v>84</v>
      </c>
      <c r="S2" s="2" t="n">
        <v>1</v>
      </c>
      <c r="T2" s="4" t="n">
        <f aca="false">($B2-$C2)/($B2-$G2)</f>
        <v>0.718562281087307</v>
      </c>
      <c r="U2" s="4" t="n">
        <f aca="false">($B2-$C2)/($C2-$H2)</f>
        <v>1.86280530502991</v>
      </c>
      <c r="V2" s="4" t="n">
        <f aca="false">($G2-$H2)/($B2-$G2)</f>
        <v>0.104304301011267</v>
      </c>
      <c r="W2" s="4" t="n">
        <f aca="false">($G2-$H2)/($C2-$H2)</f>
        <v>0.270399115532781</v>
      </c>
    </row>
    <row r="3" customFormat="false" ht="13" hidden="false" customHeight="false" outlineLevel="0" collapsed="false">
      <c r="A3" s="2" t="n">
        <v>2</v>
      </c>
      <c r="B3" s="5" t="n">
        <f aca="false">'W-Toll(All-Tax)'!Z3</f>
        <v>597.677184951796</v>
      </c>
      <c r="C3" s="5" t="n">
        <f aca="false">'W-Tax(All-Tax)'!Z3</f>
        <v>308.660962030988</v>
      </c>
      <c r="D3" s="4" t="n">
        <f aca="false">($B3+'W-Toll(All-Tax)'!$J3*'W-Toll(All-Tax)'!$F3*2+'W-Toll(All-Tax)'!$K3*'W-Toll(All-Tax)'!$G3*2)</f>
        <v>734.86439670977</v>
      </c>
      <c r="E3" s="4" t="n">
        <f aca="false">($D3-$C3)/(('W-Toll(All-Tax)'!$J3*'W-Toll(All-Tax)'!$F3*2/Theta)+('W-Toll(All-Tax)'!$K3*'W-Toll(All-Tax)'!$G3*2/Theta))</f>
        <v>0.248538288207615</v>
      </c>
      <c r="F3" s="5"/>
      <c r="G3" s="5" t="n">
        <f aca="false">'W-Toll(All-Toll)-Coop'!Z3</f>
        <v>167.575170679487</v>
      </c>
      <c r="H3" s="5" t="n">
        <f aca="false">'W-Tax(All-Toll)-Coop'!Z3</f>
        <v>87.6302363107182</v>
      </c>
      <c r="I3" s="11" t="n">
        <f aca="false">$G3+'W-Toll(All-Toll)-Coop'!$F3*'W-Toll(All-Toll)-Coop'!$J3*2+'W-Toll(All-Toll)-Coop'!$G3*'W-Toll(All-Toll)-Coop'!$K3*2</f>
        <v>302.924574263405</v>
      </c>
      <c r="J3" s="12" t="n">
        <f aca="false">($I3-$H3)/(('W-Toll(All-Toll)-Coop'!$F3*'W-Toll(All-Toll)-Coop'!$J3*2/Theta)+('W-Toll(All-Toll)-Coop'!$G3*'W-Toll(All-Toll)-Coop'!$K3*2/Theta))</f>
        <v>0.127252478253708</v>
      </c>
      <c r="L3" s="2" t="n">
        <v>2</v>
      </c>
      <c r="M3" s="7" t="n">
        <f aca="false">E3</f>
        <v>0.248538288207615</v>
      </c>
      <c r="N3" s="7" t="n">
        <f aca="false">J3</f>
        <v>0.127252478253708</v>
      </c>
      <c r="O3" s="2" t="n">
        <f aca="false">Theta</f>
        <v>0.08</v>
      </c>
      <c r="Q3" s="2" t="s">
        <v>85</v>
      </c>
      <c r="R3" s="2" t="s">
        <v>86</v>
      </c>
      <c r="S3" s="2" t="n">
        <v>2</v>
      </c>
      <c r="T3" s="4" t="n">
        <f aca="false">($B3-$C3)/($B3-$G3)</f>
        <v>0.671971330824376</v>
      </c>
      <c r="U3" s="4" t="n">
        <f aca="false">($B3-$C3)/($C3-$H3)</f>
        <v>1.30758392064721</v>
      </c>
      <c r="V3" s="4" t="n">
        <f aca="false">($G3-$H3)/($B3-$G3)</f>
        <v>0.185874354724954</v>
      </c>
      <c r="W3" s="4" t="n">
        <f aca="false">($G3-$H3)/($C3-$H3)</f>
        <v>0.361691498357313</v>
      </c>
    </row>
    <row r="4" customFormat="false" ht="13" hidden="false" customHeight="false" outlineLevel="0" collapsed="false">
      <c r="A4" s="2" t="n">
        <v>5</v>
      </c>
      <c r="B4" s="5" t="n">
        <f aca="false">'W-Toll(All-Tax)'!Z4</f>
        <v>412.169030434292</v>
      </c>
      <c r="C4" s="5" t="n">
        <f aca="false">'W-Tax(All-Tax)'!Z4</f>
        <v>308.660962030988</v>
      </c>
      <c r="D4" s="4" t="n">
        <f aca="false">($B4+'W-Toll(All-Tax)'!$J4*'W-Toll(All-Tax)'!$F4*2+'W-Toll(All-Tax)'!$K4*'W-Toll(All-Tax)'!$G4*2)</f>
        <v>569.05557495498</v>
      </c>
      <c r="E4" s="4" t="n">
        <f aca="false">($D4-$C4)/(('W-Toll(All-Tax)'!$J4*'W-Toll(All-Tax)'!$F4*2/Theta)+('W-Toll(All-Tax)'!$K4*'W-Toll(All-Tax)'!$G4*2/Theta))</f>
        <v>0.132781106866513</v>
      </c>
      <c r="F4" s="5"/>
      <c r="G4" s="5" t="n">
        <f aca="false">'W-Toll(All-Toll)-Coop'!Z4</f>
        <v>245.447658156122</v>
      </c>
      <c r="H4" s="5" t="n">
        <f aca="false">'W-Tax(All-Toll)-Coop'!Z4</f>
        <v>192.061327138573</v>
      </c>
      <c r="I4" s="11" t="n">
        <f aca="false">$G4+'W-Toll(All-Toll)-Coop'!$F4*'W-Toll(All-Toll)-Coop'!$J4*2+'W-Toll(All-Toll)-Coop'!$G4*'W-Toll(All-Toll)-Coop'!$K4*2</f>
        <v>450.715659513243</v>
      </c>
      <c r="J4" s="12" t="n">
        <f aca="false">($I4-$H4)/(('W-Toll(All-Toll)-Coop'!$F4*'W-Toll(All-Toll)-Coop'!$J4*2/Theta)+('W-Toll(All-Toll)-Coop'!$G4*'W-Toll(All-Toll)-Coop'!$K4*2/Theta))</f>
        <v>0.100806489336706</v>
      </c>
      <c r="L4" s="2" t="n">
        <v>5</v>
      </c>
      <c r="M4" s="7" t="n">
        <f aca="false">E4</f>
        <v>0.132781106866513</v>
      </c>
      <c r="N4" s="7" t="n">
        <f aca="false">J4</f>
        <v>0.100806489336706</v>
      </c>
      <c r="O4" s="2" t="n">
        <f aca="false">Theta</f>
        <v>0.08</v>
      </c>
      <c r="Q4" s="2" t="s">
        <v>87</v>
      </c>
      <c r="R4" s="2" t="s">
        <v>88</v>
      </c>
      <c r="S4" s="2" t="n">
        <v>5</v>
      </c>
      <c r="T4" s="4" t="n">
        <f aca="false">($B4-$C4)/($B4-$G4)</f>
        <v>0.620844628309584</v>
      </c>
      <c r="U4" s="4" t="n">
        <f aca="false">($B4-$C4)/($C4-$H4)</f>
        <v>0.887722062756113</v>
      </c>
      <c r="V4" s="4" t="n">
        <f aca="false">($G4-$H4)/($B4-$G4)</f>
        <v>0.320212881456347</v>
      </c>
      <c r="W4" s="4" t="n">
        <f aca="false">($G4-$H4)/($C4-$H4)</f>
        <v>0.457860190272534</v>
      </c>
    </row>
    <row r="5" customFormat="false" ht="13" hidden="false" customHeight="false" outlineLevel="0" collapsed="false">
      <c r="A5" s="2" t="n">
        <v>10</v>
      </c>
      <c r="B5" s="5" t="n">
        <f aca="false">'W-Toll(All-Tax)'!Z5</f>
        <v>355.851348207362</v>
      </c>
      <c r="C5" s="5" t="n">
        <f aca="false">'W-Tax(All-Tax)'!Z5</f>
        <v>308.660962030988</v>
      </c>
      <c r="D5" s="4" t="n">
        <f aca="false">($B5+'W-Toll(All-Tax)'!$J5*'W-Toll(All-Tax)'!$F5*2+'W-Toll(All-Tax)'!$K5*'W-Toll(All-Tax)'!$G5*2)</f>
        <v>529.688590224165</v>
      </c>
      <c r="E5" s="4" t="n">
        <f aca="false">($D5-$C5)/(('W-Toll(All-Tax)'!$J5*'W-Toll(All-Tax)'!$F5*2/Theta)+('W-Toll(All-Tax)'!$K5*'W-Toll(All-Tax)'!$G5*2/Theta))</f>
        <v>0.101717043196906</v>
      </c>
      <c r="F5" s="5"/>
      <c r="G5" s="5" t="n">
        <f aca="false">'W-Toll(All-Toll)-Coop'!Z5</f>
        <v>276.902556331743</v>
      </c>
      <c r="H5" s="5" t="n">
        <f aca="false">'W-Tax(All-Toll)-Coop'!Z5</f>
        <v>242.696143747473</v>
      </c>
      <c r="I5" s="11" t="n">
        <f aca="false">$G5+'W-Toll(All-Toll)-Coop'!$F5*'W-Toll(All-Toll)-Coop'!$J5*2+'W-Toll(All-Toll)-Coop'!$G5*'W-Toll(All-Toll)-Coop'!$K5*2</f>
        <v>514.055252225983</v>
      </c>
      <c r="J5" s="12" t="n">
        <f aca="false">($I5-$H5)/(('W-Toll(All-Toll)-Coop'!$F5*'W-Toll(All-Toll)-Coop'!$J5*2/Theta)+('W-Toll(All-Toll)-Coop'!$G5*'W-Toll(All-Toll)-Coop'!$K5*2/Theta))</f>
        <v>0.0915390339393906</v>
      </c>
      <c r="L5" s="2" t="n">
        <v>10</v>
      </c>
      <c r="M5" s="7" t="n">
        <f aca="false">E5</f>
        <v>0.101717043196906</v>
      </c>
      <c r="N5" s="7" t="n">
        <f aca="false">J5</f>
        <v>0.0915390339393906</v>
      </c>
      <c r="O5" s="2" t="n">
        <f aca="false">Theta</f>
        <v>0.08</v>
      </c>
      <c r="S5" s="2" t="n">
        <v>10</v>
      </c>
      <c r="T5" s="4" t="n">
        <f aca="false">($B5-$C5)/($B5-$G5)</f>
        <v>0.59773411416759</v>
      </c>
      <c r="U5" s="4" t="n">
        <f aca="false">($B5-$C5)/($C5-$H5)</f>
        <v>0.71538719281469</v>
      </c>
      <c r="V5" s="4" t="n">
        <f aca="false">($G5-$H5)/($B5-$G5)</f>
        <v>0.433273413963839</v>
      </c>
      <c r="W5" s="4" t="n">
        <f aca="false">($G5-$H5)/($C5-$H5)</f>
        <v>0.518555397776616</v>
      </c>
    </row>
    <row r="6" customFormat="false" ht="13" hidden="false" customHeight="false" outlineLevel="0" collapsed="false">
      <c r="A6" s="2" t="n">
        <v>20</v>
      </c>
      <c r="B6" s="5" t="n">
        <f aca="false">'W-Toll(All-Tax)'!Z6</f>
        <v>331.327180222336</v>
      </c>
      <c r="C6" s="5" t="n">
        <f aca="false">'W-Tax(All-Tax)'!Z6</f>
        <v>308.660962030988</v>
      </c>
      <c r="D6" s="4" t="n">
        <f aca="false">($B6+'W-Toll(All-Tax)'!$J6*'W-Toll(All-Tax)'!$F6*2+'W-Toll(All-Tax)'!$K6*'W-Toll(All-Tax)'!$G6*2)</f>
        <v>515.250488784603</v>
      </c>
      <c r="E6" s="4" t="n">
        <f aca="false">($D6-$C6)/(('W-Toll(All-Tax)'!$J6*'W-Toll(All-Tax)'!$F6*2/Theta)+('W-Toll(All-Tax)'!$K6*'W-Toll(All-Tax)'!$G6*2/Theta))</f>
        <v>0.0898589867128993</v>
      </c>
      <c r="F6" s="5"/>
      <c r="G6" s="5" t="n">
        <f aca="false">'W-Toll(All-Toll)-Coop'!Z6</f>
        <v>293.326873915134</v>
      </c>
      <c r="H6" s="5" t="n">
        <f aca="false">'W-Tax(All-Toll)-Coop'!Z6</f>
        <v>273.472483512526</v>
      </c>
      <c r="I6" s="11" t="n">
        <f aca="false">$G6+'W-Toll(All-Toll)-Coop'!$F6*'W-Toll(All-Toll)-Coop'!$J6*2+'W-Toll(All-Toll)-Coop'!$G6*'W-Toll(All-Toll)-Coop'!$K6*2</f>
        <v>542.845046559774</v>
      </c>
      <c r="J6" s="12" t="n">
        <f aca="false">($I6-$H6)/(('W-Toll(All-Toll)-Coop'!$F6*'W-Toll(All-Toll)-Coop'!$J6*2/Theta)+('W-Toll(All-Toll)-Coop'!$G6*'W-Toll(All-Toll)-Coop'!$K6*2/Theta))</f>
        <v>0.086365673551444</v>
      </c>
      <c r="L6" s="2" t="n">
        <v>20</v>
      </c>
      <c r="M6" s="7" t="n">
        <f aca="false">E6</f>
        <v>0.0898589867128993</v>
      </c>
      <c r="N6" s="7" t="n">
        <f aca="false">J6</f>
        <v>0.086365673551444</v>
      </c>
      <c r="O6" s="2" t="n">
        <f aca="false">Theta</f>
        <v>0.08</v>
      </c>
      <c r="S6" s="2" t="n">
        <v>20</v>
      </c>
      <c r="T6" s="4" t="n">
        <f aca="false">($B6-$C6)/($B6-$G6)</f>
        <v>0.596474618075706</v>
      </c>
      <c r="U6" s="4" t="n">
        <f aca="false">($B6-$C6)/($C6-$H6)</f>
        <v>0.644137488907241</v>
      </c>
      <c r="V6" s="4" t="n">
        <f aca="false">($G6-$H6)/($B6-$G6)</f>
        <v>0.522479746402589</v>
      </c>
      <c r="W6" s="4" t="n">
        <f aca="false">($G6-$H6)/($C6-$H6)</f>
        <v>0.564229862686195</v>
      </c>
    </row>
    <row r="7" customFormat="false" ht="13" hidden="false" customHeight="false" outlineLevel="0" collapsed="false">
      <c r="A7" s="2" t="n">
        <v>50</v>
      </c>
      <c r="B7" s="5" t="n">
        <f aca="false">'W-Toll(All-Tax)'!Z7</f>
        <v>317.761588934224</v>
      </c>
      <c r="C7" s="5" t="n">
        <f aca="false">'W-Tax(All-Tax)'!Z7</f>
        <v>308.660962030988</v>
      </c>
      <c r="D7" s="4" t="n">
        <f aca="false">($B7+'W-Toll(All-Tax)'!$J7*'W-Toll(All-Tax)'!$F7*2+'W-Toll(All-Tax)'!$K7*'W-Toll(All-Tax)'!$G7*2)</f>
        <v>503.558320199247</v>
      </c>
      <c r="E7" s="4" t="n">
        <f aca="false">($D7-$C7)/(('W-Toll(All-Tax)'!$J7*'W-Toll(All-Tax)'!$F7*2/Theta)+('W-Toll(All-Tax)'!$K7*'W-Toll(All-Tax)'!$G7*2/Theta))</f>
        <v>0.0839185304676883</v>
      </c>
      <c r="F7" s="5"/>
      <c r="G7" s="5" t="n">
        <f aca="false">'W-Toll(All-Toll)-Coop'!Z7</f>
        <v>302.66378126664</v>
      </c>
      <c r="H7" s="5" t="n">
        <f aca="false">'W-Tax(All-Toll)-Coop'!Z7</f>
        <v>294.296813250259</v>
      </c>
      <c r="I7" s="11" t="n">
        <f aca="false">$G7+'W-Toll(All-Toll)-Coop'!$F7*'W-Toll(All-Toll)-Coop'!$J7*2+'W-Toll(All-Toll)-Coop'!$G7*'W-Toll(All-Toll)-Coop'!$K7*2</f>
        <v>553.487700914231</v>
      </c>
      <c r="J7" s="12" t="n">
        <f aca="false">($I7-$H7)/(('W-Toll(All-Toll)-Coop'!$F7*'W-Toll(All-Toll)-Coop'!$J7*2/Theta)+('W-Toll(All-Toll)-Coop'!$G7*'W-Toll(All-Toll)-Coop'!$K7*2/Theta))</f>
        <v>0.0826686348026576</v>
      </c>
      <c r="L7" s="2" t="n">
        <v>50</v>
      </c>
      <c r="M7" s="7" t="n">
        <f aca="false">E7</f>
        <v>0.0839185304676883</v>
      </c>
      <c r="N7" s="7" t="n">
        <f aca="false">J7</f>
        <v>0.0826686348026576</v>
      </c>
      <c r="O7" s="2" t="n">
        <f aca="false">Theta</f>
        <v>0.08</v>
      </c>
      <c r="S7" s="2" t="n">
        <v>50</v>
      </c>
      <c r="T7" s="4" t="n">
        <f aca="false">($B7-$C7)/($B7-$G7)</f>
        <v>0.602778039276274</v>
      </c>
      <c r="U7" s="4" t="n">
        <f aca="false">($B7-$C7)/($C7-$H7)</f>
        <v>0.633565346764269</v>
      </c>
      <c r="V7" s="4" t="n">
        <f aca="false">($G7-$H7)/($B7-$G7)</f>
        <v>0.554184302820782</v>
      </c>
      <c r="W7" s="4" t="n">
        <f aca="false">($G7-$H7)/($C7-$H7)</f>
        <v>0.582489651430444</v>
      </c>
    </row>
    <row r="8" customFormat="false" ht="13" hidden="false" customHeight="false" outlineLevel="0" collapsed="false">
      <c r="A8" s="2" t="n">
        <v>100</v>
      </c>
      <c r="B8" s="5" t="n">
        <f aca="false">'W-Toll(All-Tax)'!Z8</f>
        <v>313.213282321765</v>
      </c>
      <c r="C8" s="5" t="n">
        <f aca="false">'W-Tax(All-Tax)'!Z8</f>
        <v>308.660962030988</v>
      </c>
      <c r="D8" s="4" t="n">
        <f aca="false">($B8+'W-Toll(All-Tax)'!$J8*'W-Toll(All-Tax)'!$F8*2+'W-Toll(All-Tax)'!$K8*'W-Toll(All-Tax)'!$G8*2)</f>
        <v>499.002906236478</v>
      </c>
      <c r="E8" s="4" t="n">
        <f aca="false">($D8-$C8)/(('W-Toll(All-Tax)'!$J8*'W-Toll(All-Tax)'!$F8*2/Theta)+('W-Toll(All-Tax)'!$K8*'W-Toll(All-Tax)'!$G8*2/Theta))</f>
        <v>0.081960204319211</v>
      </c>
      <c r="F8" s="5"/>
      <c r="G8" s="5" t="n">
        <f aca="false">'W-Toll(All-Toll)-Coop'!Z8</f>
        <v>305.66393767058</v>
      </c>
      <c r="H8" s="5" t="n">
        <f aca="false">'W-Tax(All-Toll)-Coop'!Z8</f>
        <v>301.476371504771</v>
      </c>
      <c r="I8" s="11" t="n">
        <f aca="false">$G8+'W-Toll(All-Toll)-Coop'!$F8*'W-Toll(All-Toll)-Coop'!$J8*2+'W-Toll(All-Toll)-Coop'!$G8*'W-Toll(All-Toll)-Coop'!$K8*2</f>
        <v>556.452447515812</v>
      </c>
      <c r="J8" s="12" t="n">
        <f aca="false">($I8-$H8)/(('W-Toll(All-Toll)-Coop'!$F8*'W-Toll(All-Toll)-Coop'!$J8*2/Theta)+('W-Toll(All-Toll)-Coop'!$G8*'W-Toll(All-Toll)-Coop'!$K8*2/Theta))</f>
        <v>0.081335807982078</v>
      </c>
      <c r="L8" s="2" t="n">
        <v>100</v>
      </c>
      <c r="M8" s="7" t="n">
        <f aca="false">E8</f>
        <v>0.081960204319211</v>
      </c>
      <c r="N8" s="7" t="n">
        <f aca="false">J8</f>
        <v>0.081335807982078</v>
      </c>
      <c r="O8" s="2" t="n">
        <f aca="false">Theta</f>
        <v>0.08</v>
      </c>
      <c r="S8" s="2" t="n">
        <v>100</v>
      </c>
      <c r="T8" s="4" t="n">
        <f aca="false">($B8-$C8)/($B8-$G8)</f>
        <v>0.603008671761043</v>
      </c>
      <c r="U8" s="4" t="n">
        <f aca="false">($B8-$C8)/($C8-$H8)</f>
        <v>0.633622789519635</v>
      </c>
      <c r="V8" s="4" t="n">
        <f aca="false">($G8-$H8)/($B8-$G8)</f>
        <v>0.554692673244321</v>
      </c>
      <c r="W8" s="4" t="n">
        <f aca="false">($G8-$H8)/($C8-$H8)</f>
        <v>0.582853838437745</v>
      </c>
    </row>
    <row r="9" customFormat="false" ht="13" hidden="false" customHeight="false" outlineLevel="0" collapsed="false">
      <c r="A9" s="2" t="n">
        <v>200</v>
      </c>
      <c r="B9" s="5" t="n">
        <f aca="false">'W-Toll(All-Tax)'!Z9</f>
        <v>310.937123548173</v>
      </c>
      <c r="C9" s="5" t="n">
        <f aca="false">'W-Tax(All-Tax)'!Z9</f>
        <v>308.660962030988</v>
      </c>
      <c r="D9" s="4" t="n">
        <f aca="false">($B9+'W-Toll(All-Tax)'!$J9*'W-Toll(All-Tax)'!$F9*2+'W-Toll(All-Tax)'!$K9*'W-Toll(All-Tax)'!$G9*2)</f>
        <v>496.72664473386</v>
      </c>
      <c r="E9" s="4" t="n">
        <f aca="false">($D9-$C9)/(('W-Toll(All-Tax)'!$J9*'W-Toll(All-Tax)'!$F9*2/Theta)+('W-Toll(All-Tax)'!$K9*'W-Toll(All-Tax)'!$G9*2/Theta))</f>
        <v>0.0809801032922243</v>
      </c>
      <c r="F9" s="5"/>
      <c r="G9" s="5" t="n">
        <f aca="false">'W-Toll(All-Toll)-Coop'!Z9</f>
        <v>307.162450634441</v>
      </c>
      <c r="H9" s="5" t="n">
        <f aca="false">'W-Tax(All-Toll)-Coop'!Z9</f>
        <v>305.068665655531</v>
      </c>
      <c r="I9" s="11" t="n">
        <f aca="false">$G9+'W-Toll(All-Toll)-Coop'!$F9*'W-Toll(All-Toll)-Coop'!$J9*2+'W-Toll(All-Toll)-Coop'!$G9*'W-Toll(All-Toll)-Coop'!$K9*2</f>
        <v>557.950895310088</v>
      </c>
      <c r="J9" s="12" t="n">
        <f aca="false">($I9-$H9)/(('W-Toll(All-Toll)-Coop'!$F9*'W-Toll(All-Toll)-Coop'!$J9*2/Theta)+('W-Toll(All-Toll)-Coop'!$G9*'W-Toll(All-Toll)-Coop'!$K9*2/Theta))</f>
        <v>0.0806679047694141</v>
      </c>
      <c r="L9" s="2" t="n">
        <v>200</v>
      </c>
      <c r="M9" s="7" t="n">
        <f aca="false">E9</f>
        <v>0.0809801032922243</v>
      </c>
      <c r="N9" s="7" t="n">
        <f aca="false">J9</f>
        <v>0.0806679047694141</v>
      </c>
      <c r="O9" s="2" t="n">
        <f aca="false">Theta</f>
        <v>0.08</v>
      </c>
      <c r="S9" s="2" t="n">
        <v>200</v>
      </c>
      <c r="T9" s="4" t="n">
        <f aca="false">($B9-$C9)/($B9-$G9)</f>
        <v>0.603008941226502</v>
      </c>
      <c r="U9" s="4" t="n">
        <f aca="false">($B9-$C9)/($C9-$H9)</f>
        <v>0.63362297519137</v>
      </c>
      <c r="V9" s="4" t="n">
        <f aca="false">($G9-$H9)/($B9-$G9)</f>
        <v>0.554693089113308</v>
      </c>
      <c r="W9" s="4" t="n">
        <f aca="false">($G9-$H9)/($C9-$H9)</f>
        <v>0.582854185755843</v>
      </c>
    </row>
    <row r="10" customFormat="false" ht="13" hidden="false" customHeight="false" outlineLevel="0" collapsed="false">
      <c r="A10" s="2" t="n">
        <v>500</v>
      </c>
      <c r="B10" s="5" t="n">
        <f aca="false">'W-Toll(All-Tax)'!Z10</f>
        <v>309.571425629486</v>
      </c>
      <c r="C10" s="5" t="n">
        <f aca="false">'W-Tax(All-Tax)'!Z10</f>
        <v>308.660962030988</v>
      </c>
      <c r="D10" s="4" t="n">
        <f aca="false">($B10+'W-Toll(All-Tax)'!$J10*'W-Toll(All-Tax)'!$F10*2+'W-Toll(All-Tax)'!$K10*'W-Toll(All-Tax)'!$G10*2)</f>
        <v>495.238708879267</v>
      </c>
      <c r="E10" s="4" t="n">
        <f aca="false">($D10-$C10)/(('W-Toll(All-Tax)'!$J10*'W-Toll(All-Tax)'!$F10*2/Theta)+('W-Toll(All-Tax)'!$K10*'W-Toll(All-Tax)'!$G10*2/Theta))</f>
        <v>0.0803922989909963</v>
      </c>
      <c r="F10" s="5"/>
      <c r="G10" s="5" t="n">
        <f aca="false">'W-Toll(All-Toll)-Coop'!Z10</f>
        <v>308.061549048978</v>
      </c>
      <c r="H10" s="5" t="n">
        <f aca="false">'W-Tax(All-Toll)-Coop'!Z10</f>
        <v>307.221386555555</v>
      </c>
      <c r="I10" s="11" t="n">
        <f aca="false">$G10+'W-Toll(All-Toll)-Coop'!$F10*'W-Toll(All-Toll)-Coop'!$J10*2+'W-Toll(All-Toll)-Coop'!$G10*'W-Toll(All-Toll)-Coop'!$K10*2</f>
        <v>558.270249081053</v>
      </c>
      <c r="J10" s="12" t="n">
        <f aca="false">($I10-$H10)/(('W-Toll(All-Toll)-Coop'!$F10*'W-Toll(All-Toll)-Coop'!$J10*2/Theta)+('W-Toll(All-Toll)-Coop'!$G10*'W-Toll(All-Toll)-Coop'!$K10*2/Theta))</f>
        <v>0.0802686277474174</v>
      </c>
      <c r="L10" s="2" t="n">
        <v>500</v>
      </c>
      <c r="M10" s="7" t="n">
        <f aca="false">E10</f>
        <v>0.0803922989909963</v>
      </c>
      <c r="N10" s="7" t="n">
        <f aca="false">J10</f>
        <v>0.0802686277474174</v>
      </c>
      <c r="O10" s="2" t="n">
        <f aca="false">Theta</f>
        <v>0.08</v>
      </c>
      <c r="S10" s="2" t="n">
        <v>500</v>
      </c>
      <c r="T10" s="4" t="n">
        <f aca="false">($B10-$C10)/($B10-$G10)</f>
        <v>0.603005311992138</v>
      </c>
      <c r="U10" s="4" t="n">
        <f aca="false">($B10-$C10)/($C10-$H10)</f>
        <v>0.632452840463575</v>
      </c>
      <c r="V10" s="4" t="n">
        <f aca="false">($G10-$H10)/($B10-$G10)</f>
        <v>0.55644448312488</v>
      </c>
      <c r="W10" s="4" t="n">
        <f aca="false">($G10-$H10)/($C10-$H10)</f>
        <v>0.583618231736579</v>
      </c>
    </row>
    <row r="11" customFormat="false" ht="13" hidden="false" customHeight="false" outlineLevel="0" collapsed="false">
      <c r="A11" s="2" t="n">
        <v>1000</v>
      </c>
      <c r="B11" s="5" t="n">
        <f aca="false">'W-Toll(All-Tax)'!Z11</f>
        <v>309.116193830237</v>
      </c>
      <c r="C11" s="5" t="n">
        <f aca="false">'W-Tax(All-Tax)'!Z11</f>
        <v>308.660962030988</v>
      </c>
      <c r="D11" s="4" t="n">
        <f aca="false">($B11+'W-Toll(All-Tax)'!$J11*'W-Toll(All-Tax)'!$F11*2+'W-Toll(All-Tax)'!$K11*'W-Toll(All-Tax)'!$G11*2)</f>
        <v>494.783477080014</v>
      </c>
      <c r="E11" s="4" t="n">
        <f aca="false">($D11-$C11)/(('W-Toll(All-Tax)'!$J11*'W-Toll(All-Tax)'!$F11*2/Theta)+('W-Toll(All-Tax)'!$K11*'W-Toll(All-Tax)'!$G11*2/Theta))</f>
        <v>0.0801961494954981</v>
      </c>
      <c r="F11" s="5"/>
      <c r="G11" s="5" t="n">
        <f aca="false">'W-Toll(All-Toll)-Coop'!Z11</f>
        <v>308.361255539983</v>
      </c>
      <c r="H11" s="5" t="n">
        <f aca="false">'W-Tax(All-Toll)-Coop'!Z11</f>
        <v>307.941174293271</v>
      </c>
      <c r="I11" s="11" t="n">
        <f aca="false">$G11+'W-Toll(All-Toll)-Coop'!$F11*'W-Toll(All-Toll)-Coop'!$J11*2+'W-Toll(All-Toll)-Coop'!$G11*'W-Toll(All-Toll)-Coop'!$K11*2</f>
        <v>558.569955572031</v>
      </c>
      <c r="J11" s="12" t="n">
        <f aca="false">($I11-$H11)/(('W-Toll(All-Toll)-Coop'!$F11*'W-Toll(All-Toll)-Coop'!$J11*2/Theta)+('W-Toll(All-Toll)-Coop'!$G11*'W-Toll(All-Toll)-Coop'!$K11*2/Theta))</f>
        <v>0.0801343138737088</v>
      </c>
      <c r="L11" s="2" t="n">
        <v>1000</v>
      </c>
      <c r="M11" s="7" t="n">
        <f aca="false">E11</f>
        <v>0.0801961494954981</v>
      </c>
      <c r="N11" s="7" t="n">
        <f aca="false">J11</f>
        <v>0.0801343138737088</v>
      </c>
      <c r="O11" s="2" t="n">
        <f aca="false">Theta</f>
        <v>0.08</v>
      </c>
      <c r="S11" s="2" t="n">
        <v>1000</v>
      </c>
      <c r="T11" s="4" t="n">
        <f aca="false">($B11-$C11)/($B11-$G11)</f>
        <v>0.603005311992056</v>
      </c>
      <c r="U11" s="4" t="n">
        <f aca="false">($B11-$C11)/($C11-$H11)</f>
        <v>0.632452840463292</v>
      </c>
      <c r="V11" s="4" t="n">
        <f aca="false">($G11-$H11)/($B11-$G11)</f>
        <v>0.556444483125093</v>
      </c>
      <c r="W11" s="4" t="n">
        <f aca="false">($G11-$H11)/($C11-$H11)</f>
        <v>0.583618231736621</v>
      </c>
    </row>
    <row r="12" customFormat="false" ht="13" hidden="false" customHeight="false" outlineLevel="0" collapsed="false">
      <c r="J12" s="9"/>
    </row>
    <row r="13" customFormat="false" ht="13" hidden="false" customHeight="false" outlineLevel="0" collapsed="false">
      <c r="J13" s="9"/>
    </row>
    <row r="14" customFormat="false" ht="13" hidden="false" customHeight="false" outlineLevel="0" collapsed="false">
      <c r="J14" s="9"/>
    </row>
    <row r="15" customFormat="false" ht="13" hidden="false" customHeight="false" outlineLevel="0" collapsed="false">
      <c r="J15" s="9"/>
    </row>
    <row r="16" customFormat="false" ht="13" hidden="false" customHeight="false" outlineLevel="0" collapsed="false">
      <c r="J16" s="9"/>
    </row>
    <row r="17" customFormat="false" ht="13" hidden="false" customHeight="false" outlineLevel="0" collapsed="false">
      <c r="J17" s="9"/>
    </row>
    <row r="36" customFormat="false" ht="13" hidden="false" customHeight="false" outlineLevel="0" collapsed="false">
      <c r="J36" s="5"/>
    </row>
    <row r="37" customFormat="false" ht="13" hidden="false" customHeight="false" outlineLevel="0" collapsed="false">
      <c r="J37" s="6"/>
    </row>
    <row r="52" customFormat="false" ht="13" hidden="false" customHeight="false" outlineLevel="0" collapsed="false">
      <c r="J52" s="5"/>
    </row>
    <row r="53" customFormat="false" ht="13" hidden="false" customHeight="false" outlineLevel="0" collapsed="false">
      <c r="J53" s="6"/>
    </row>
    <row r="68" customFormat="false" ht="13" hidden="false" customHeight="false" outlineLevel="0" collapsed="false">
      <c r="J68" s="5"/>
    </row>
    <row r="69" customFormat="false" ht="13" hidden="false" customHeight="false" outlineLevel="0" collapsed="false">
      <c r="J69" s="6"/>
    </row>
    <row r="84" customFormat="false" ht="13" hidden="false" customHeight="false" outlineLevel="0" collapsed="false">
      <c r="J84" s="5"/>
    </row>
    <row r="85" customFormat="false" ht="13" hidden="false" customHeight="false" outlineLevel="0" collapsed="false">
      <c r="J85" s="6"/>
    </row>
    <row r="100" customFormat="false" ht="13" hidden="false" customHeight="false" outlineLevel="0" collapsed="false">
      <c r="J100" s="5"/>
    </row>
    <row r="101" customFormat="false" ht="13" hidden="false" customHeight="false" outlineLevel="0" collapsed="false">
      <c r="J101" s="6"/>
    </row>
    <row r="116" customFormat="false" ht="13" hidden="false" customHeight="false" outlineLevel="0" collapsed="false">
      <c r="J116" s="5"/>
    </row>
    <row r="117" customFormat="false" ht="13" hidden="false" customHeight="false" outlineLevel="0" collapsed="false">
      <c r="J117" s="6"/>
    </row>
    <row r="132" customFormat="false" ht="13" hidden="false" customHeight="false" outlineLevel="0" collapsed="false">
      <c r="J132" s="5"/>
    </row>
    <row r="133" customFormat="false" ht="13" hidden="false" customHeight="false" outlineLevel="0" collapsed="false">
      <c r="J133" s="6"/>
    </row>
    <row r="148" customFormat="false" ht="13" hidden="false" customHeight="false" outlineLevel="0" collapsed="false">
      <c r="J148" s="5"/>
    </row>
    <row r="149" customFormat="false" ht="13" hidden="false" customHeight="false" outlineLevel="0" collapsed="false">
      <c r="J149" s="6"/>
    </row>
    <row r="156" customFormat="false" ht="13" hidden="false" customHeight="false" outlineLevel="0" collapsed="false">
      <c r="J156" s="5"/>
    </row>
    <row r="157" customFormat="false" ht="13" hidden="false" customHeight="false" outlineLevel="0" collapsed="false">
      <c r="J157" s="6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L15" activeCellId="0" sqref="L15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A1" s="2" t="s">
        <v>15</v>
      </c>
      <c r="B1" s="2" t="s">
        <v>95</v>
      </c>
      <c r="C1" s="2" t="s">
        <v>96</v>
      </c>
      <c r="D1" s="2" t="s">
        <v>97</v>
      </c>
      <c r="E1" s="2" t="s">
        <v>32</v>
      </c>
      <c r="F1" s="2" t="s">
        <v>15</v>
      </c>
      <c r="G1" s="2" t="s">
        <v>98</v>
      </c>
      <c r="H1" s="2" t="s">
        <v>99</v>
      </c>
      <c r="I1" s="2" t="s">
        <v>100</v>
      </c>
      <c r="J1" s="2" t="s">
        <v>36</v>
      </c>
      <c r="K1" s="2" t="s">
        <v>15</v>
      </c>
      <c r="L1" s="2" t="s">
        <v>98</v>
      </c>
      <c r="M1" s="2" t="s">
        <v>99</v>
      </c>
      <c r="N1" s="2" t="s">
        <v>100</v>
      </c>
    </row>
    <row r="2" customFormat="false" ht="13" hidden="false" customHeight="false" outlineLevel="0" collapsed="false">
      <c r="A2" s="2" t="n">
        <v>1</v>
      </c>
      <c r="B2" s="13" t="n">
        <f aca="false">'W-Toll(All-Tax)'!A2</f>
        <v>0.588971896538099</v>
      </c>
      <c r="C2" s="13" t="n">
        <f aca="false">'W-Toll(All-Toll)-NONC'!A2</f>
        <v>0.588869338714299</v>
      </c>
      <c r="D2" s="13" t="n">
        <f aca="false">'W-Toll(All-Toll)-Coop'!A2</f>
        <v>0.0889634490185383</v>
      </c>
      <c r="F2" s="2" t="n">
        <v>1</v>
      </c>
      <c r="G2" s="5" t="n">
        <f aca="false">'W-Toll(All-Tax)'!Z2</f>
        <v>916.113316207213</v>
      </c>
      <c r="H2" s="5" t="n">
        <f aca="false">'W-Toll(All-Toll)-NONC'!Z2</f>
        <v>-20.2245714377075</v>
      </c>
      <c r="I2" s="5" t="n">
        <f aca="false">'W-Toll(All-Toll)-Coop'!Z2</f>
        <v>70.7414254686023</v>
      </c>
      <c r="K2" s="2" t="n">
        <v>1</v>
      </c>
      <c r="L2" s="5" t="n">
        <f aca="false">'W-Toll(All-Tax)'!AA2</f>
        <v>710.337541484332</v>
      </c>
      <c r="M2" s="5" t="n">
        <f aca="false">'W-Toll(All-Toll)-NONC'!AA2</f>
        <v>-64.2754629710815</v>
      </c>
      <c r="N2" s="5" t="n">
        <f aca="false">'W-Toll(All-Toll)-Coop'!AA2</f>
        <v>-90.120931204136</v>
      </c>
    </row>
    <row r="3" customFormat="false" ht="13" hidden="false" customHeight="false" outlineLevel="0" collapsed="false">
      <c r="A3" s="2" t="n">
        <v>2</v>
      </c>
      <c r="B3" s="13" t="n">
        <f aca="false">'W-Toll(All-Tax)'!A3</f>
        <v>0.597783901352811</v>
      </c>
      <c r="C3" s="13" t="n">
        <f aca="false">'W-Toll(All-Toll)-NONC'!A3</f>
        <v>0.597430597149462</v>
      </c>
      <c r="D3" s="13" t="n">
        <f aca="false">'W-Toll(All-Toll)-Coop'!A3</f>
        <v>0.0977818151727462</v>
      </c>
      <c r="F3" s="2" t="n">
        <v>2</v>
      </c>
      <c r="G3" s="5" t="n">
        <f aca="false">'W-Toll(All-Tax)'!Z3</f>
        <v>597.677184951796</v>
      </c>
      <c r="H3" s="5" t="n">
        <f aca="false">'W-Toll(All-Toll)-NONC'!Z3</f>
        <v>72.3526095937818</v>
      </c>
      <c r="I3" s="5" t="n">
        <f aca="false">'W-Toll(All-Toll)-Coop'!Z3</f>
        <v>167.575170679487</v>
      </c>
      <c r="K3" s="2" t="n">
        <v>2</v>
      </c>
      <c r="L3" s="5" t="n">
        <f aca="false">'W-Toll(All-Tax)'!AA3</f>
        <v>383.279680333796</v>
      </c>
      <c r="M3" s="5" t="n">
        <f aca="false">'W-Toll(All-Toll)-NONC'!AA3</f>
        <v>-6.02186403747786</v>
      </c>
      <c r="N3" s="5" t="n">
        <f aca="false">'W-Toll(All-Toll)-Coop'!AA3</f>
        <v>-45.4321376137997</v>
      </c>
    </row>
    <row r="4" customFormat="false" ht="13" hidden="false" customHeight="false" outlineLevel="0" collapsed="false">
      <c r="A4" s="2" t="n">
        <v>5</v>
      </c>
      <c r="B4" s="13" t="n">
        <f aca="false">'W-Toll(All-Tax)'!A4</f>
        <v>0.622158718461377</v>
      </c>
      <c r="C4" s="13" t="n">
        <f aca="false">'W-Toll(All-Toll)-NONC'!A4</f>
        <v>0.620765513567254</v>
      </c>
      <c r="D4" s="13" t="n">
        <f aca="false">'W-Toll(All-Toll)-Coop'!A4</f>
        <v>0.122450567347908</v>
      </c>
      <c r="F4" s="2" t="n">
        <v>5</v>
      </c>
      <c r="G4" s="5" t="n">
        <f aca="false">'W-Toll(All-Tax)'!Z4</f>
        <v>412.169030434292</v>
      </c>
      <c r="H4" s="5" t="n">
        <f aca="false">'W-Toll(All-Toll)-NONC'!Z4</f>
        <v>177.307286639362</v>
      </c>
      <c r="I4" s="5" t="n">
        <f aca="false">'W-Toll(All-Toll)-Coop'!Z4</f>
        <v>245.447658156122</v>
      </c>
      <c r="K4" s="2" t="n">
        <v>5</v>
      </c>
      <c r="L4" s="5" t="n">
        <f aca="false">'W-Toll(All-Tax)'!AA4</f>
        <v>175.719783826982</v>
      </c>
      <c r="M4" s="5" t="n">
        <f aca="false">'W-Toll(All-Toll)-NONC'!AA4</f>
        <v>29.7529393471356</v>
      </c>
      <c r="N4" s="5" t="n">
        <f aca="false">'W-Toll(All-Toll)-Coop'!AA4</f>
        <v>-20.2562221505991</v>
      </c>
    </row>
    <row r="5" customFormat="false" ht="13" hidden="false" customHeight="false" outlineLevel="0" collapsed="false">
      <c r="A5" s="2" t="n">
        <v>10</v>
      </c>
      <c r="B5" s="13" t="n">
        <f aca="false">'W-Toll(All-Tax)'!A5</f>
        <v>0.653294561414047</v>
      </c>
      <c r="C5" s="13" t="n">
        <f aca="false">'W-Toll(All-Toll)-NONC'!A5</f>
        <v>0.650784678032378</v>
      </c>
      <c r="D5" s="13" t="n">
        <f aca="false">'W-Toll(All-Toll)-Coop'!A5</f>
        <v>0.15441518101152</v>
      </c>
      <c r="F5" s="2" t="n">
        <v>10</v>
      </c>
      <c r="G5" s="5" t="n">
        <f aca="false">'W-Toll(All-Tax)'!Z5</f>
        <v>355.851348207362</v>
      </c>
      <c r="H5" s="5" t="n">
        <f aca="false">'W-Toll(All-Toll)-NONC'!Z5</f>
        <v>236.703551577693</v>
      </c>
      <c r="I5" s="5" t="n">
        <f aca="false">'W-Toll(All-Toll)-Coop'!Z5</f>
        <v>276.902556331743</v>
      </c>
      <c r="K5" s="2" t="n">
        <v>10</v>
      </c>
      <c r="L5" s="5" t="n">
        <f aca="false">'W-Toll(All-Tax)'!AA5</f>
        <v>92.2366873114394</v>
      </c>
      <c r="M5" s="5" t="n">
        <f aca="false">'W-Toll(All-Toll)-NONC'!AA5</f>
        <v>26.73534389177</v>
      </c>
      <c r="N5" s="5" t="n">
        <f aca="false">'W-Toll(All-Toll)-Coop'!AA5</f>
        <v>-16.1250656979185</v>
      </c>
    </row>
    <row r="6" customFormat="false" ht="13" hidden="false" customHeight="false" outlineLevel="0" collapsed="false">
      <c r="A6" s="2" t="n">
        <v>20</v>
      </c>
      <c r="B6" s="13" t="n">
        <f aca="false">'W-Toll(All-Tax)'!A6</f>
        <v>0.685094261261858</v>
      </c>
      <c r="C6" s="13" t="n">
        <f aca="false">'W-Toll(All-Toll)-NONC'!A6</f>
        <v>0.683115162720272</v>
      </c>
      <c r="D6" s="13" t="n">
        <f aca="false">'W-Toll(All-Toll)-Coop'!A6</f>
        <v>0.18637005171935</v>
      </c>
      <c r="F6" s="2" t="n">
        <v>20</v>
      </c>
      <c r="G6" s="5" t="n">
        <f aca="false">'W-Toll(All-Tax)'!Z6</f>
        <v>331.327180222336</v>
      </c>
      <c r="H6" s="5" t="n">
        <f aca="false">'W-Toll(All-Toll)-NONC'!Z6</f>
        <v>272.574855406395</v>
      </c>
      <c r="I6" s="5" t="n">
        <f aca="false">'W-Toll(All-Toll)-Coop'!Z6</f>
        <v>293.326873915134</v>
      </c>
      <c r="K6" s="2" t="n">
        <v>20</v>
      </c>
      <c r="L6" s="5" t="n">
        <f aca="false">'W-Toll(All-Tax)'!AA6</f>
        <v>35.6749945932099</v>
      </c>
      <c r="M6" s="5" t="n">
        <f aca="false">'W-Toll(All-Toll)-NONC'!AA6</f>
        <v>5.65092256988018</v>
      </c>
      <c r="N6" s="5" t="n">
        <f aca="false">'W-Toll(All-Toll)-Coop'!AA6</f>
        <v>-21.6283986303994</v>
      </c>
    </row>
    <row r="7" customFormat="false" ht="13" hidden="false" customHeight="false" outlineLevel="0" collapsed="false">
      <c r="A7" s="2" t="n">
        <v>50</v>
      </c>
      <c r="B7" s="13" t="n">
        <f aca="false">'W-Toll(All-Tax)'!A7</f>
        <v>0.699683740780015</v>
      </c>
      <c r="C7" s="13" t="n">
        <f aca="false">'W-Toll(All-Toll)-NONC'!A7</f>
        <v>0.699598442039559</v>
      </c>
      <c r="D7" s="13" t="n">
        <f aca="false">'W-Toll(All-Toll)-Coop'!A7</f>
        <v>0.199749850156795</v>
      </c>
      <c r="F7" s="2" t="n">
        <v>50</v>
      </c>
      <c r="G7" s="5" t="n">
        <f aca="false">'W-Toll(All-Tax)'!Z7</f>
        <v>317.761588934224</v>
      </c>
      <c r="H7" s="5" t="n">
        <f aca="false">'W-Toll(All-Toll)-NONC'!Z7</f>
        <v>294.37858234659</v>
      </c>
      <c r="I7" s="5" t="n">
        <f aca="false">'W-Toll(All-Toll)-Coop'!Z7</f>
        <v>302.66378126664</v>
      </c>
      <c r="K7" s="2" t="n">
        <v>50</v>
      </c>
      <c r="L7" s="5" t="n">
        <f aca="false">'W-Toll(All-Tax)'!AA7</f>
        <v>-9.46676674387239</v>
      </c>
      <c r="M7" s="5" t="n">
        <f aca="false">'W-Toll(All-Toll)-NONC'!AA7</f>
        <v>-21.162194334933</v>
      </c>
      <c r="N7" s="5" t="n">
        <f aca="false">'W-Toll(All-Toll)-Coop'!AA7</f>
        <v>-32.6877257350004</v>
      </c>
    </row>
    <row r="8" customFormat="false" ht="13" hidden="false" customHeight="false" outlineLevel="0" collapsed="false">
      <c r="A8" s="2" t="n">
        <v>100</v>
      </c>
      <c r="B8" s="13" t="n">
        <f aca="false">'W-Toll(All-Tax)'!A8</f>
        <v>0.700000223551214</v>
      </c>
      <c r="C8" s="13" t="n">
        <f aca="false">'W-Toll(All-Toll)-NONC'!A8</f>
        <v>0.700000521562557</v>
      </c>
      <c r="D8" s="13" t="n">
        <f aca="false">'W-Toll(All-Toll)-Coop'!A8</f>
        <v>0.200002580758362</v>
      </c>
      <c r="F8" s="2" t="n">
        <v>100</v>
      </c>
      <c r="G8" s="5" t="n">
        <f aca="false">'W-Toll(All-Tax)'!Z8</f>
        <v>313.213282321765</v>
      </c>
      <c r="H8" s="5" t="n">
        <f aca="false">'W-Toll(All-Toll)-NONC'!Z8</f>
        <v>301.522113732881</v>
      </c>
      <c r="I8" s="5" t="n">
        <f aca="false">'W-Toll(All-Toll)-Coop'!Z8</f>
        <v>305.66393767058</v>
      </c>
      <c r="K8" s="2" t="n">
        <v>100</v>
      </c>
      <c r="L8" s="5" t="n">
        <f aca="false">'W-Toll(All-Tax)'!AA8</f>
        <v>-25.7662615645884</v>
      </c>
      <c r="M8" s="5" t="n">
        <f aca="false">'W-Toll(All-Toll)-NONC'!AA8</f>
        <v>-31.6118482940205</v>
      </c>
      <c r="N8" s="5" t="n">
        <f aca="false">'W-Toll(All-Toll)-Coop'!AA8</f>
        <v>-37.3780351363145</v>
      </c>
    </row>
    <row r="9" customFormat="false" ht="13" hidden="false" customHeight="false" outlineLevel="0" collapsed="false">
      <c r="A9" s="2" t="n">
        <v>200</v>
      </c>
      <c r="B9" s="13" t="n">
        <f aca="false">'W-Toll(All-Tax)'!A9</f>
        <v>0.700000930479081</v>
      </c>
      <c r="C9" s="13" t="n">
        <f aca="false">'W-Toll(All-Toll)-NONC'!A9</f>
        <v>0.700659084745354</v>
      </c>
      <c r="D9" s="13" t="n">
        <f aca="false">'W-Toll(All-Toll)-Coop'!A9</f>
        <v>0.200002811538664</v>
      </c>
      <c r="F9" s="2" t="n">
        <v>200</v>
      </c>
      <c r="G9" s="5" t="n">
        <f aca="false">'W-Toll(All-Tax)'!Z9</f>
        <v>310.937123548173</v>
      </c>
      <c r="H9" s="5" t="n">
        <f aca="false">'W-Toll(All-Toll)-NONC'!Z9</f>
        <v>305.087744184494</v>
      </c>
      <c r="I9" s="5" t="n">
        <f aca="false">'W-Toll(All-Toll)-Coop'!Z9</f>
        <v>307.162450634441</v>
      </c>
      <c r="K9" s="2" t="n">
        <v>200</v>
      </c>
      <c r="L9" s="5" t="n">
        <f aca="false">'W-Toll(All-Tax)'!AA9</f>
        <v>-33.9281890986771</v>
      </c>
      <c r="M9" s="5" t="n">
        <f aca="false">'W-Toll(All-Toll)-NONC'!AA9</f>
        <v>-36.8509864533883</v>
      </c>
      <c r="N9" s="5" t="n">
        <f aca="false">'W-Toll(All-Toll)-Coop'!AA9</f>
        <v>-39.73407837147</v>
      </c>
    </row>
    <row r="10" customFormat="false" ht="13" hidden="false" customHeight="false" outlineLevel="0" collapsed="false">
      <c r="A10" s="2" t="n">
        <v>500</v>
      </c>
      <c r="B10" s="13" t="n">
        <f aca="false">'W-Toll(All-Tax)'!A10</f>
        <v>0.700659084745567</v>
      </c>
      <c r="C10" s="13" t="n">
        <f aca="false">'W-Toll(All-Toll)-NONC'!A10</f>
        <v>0.70065908474501</v>
      </c>
      <c r="D10" s="13" t="n">
        <f aca="false">'W-Toll(All-Toll)-Coop'!A10</f>
        <v>0.201159993587472</v>
      </c>
      <c r="F10" s="2" t="n">
        <v>500</v>
      </c>
      <c r="G10" s="5" t="n">
        <f aca="false">'W-Toll(All-Tax)'!Z10</f>
        <v>309.571425629486</v>
      </c>
      <c r="H10" s="5" t="n">
        <f aca="false">'W-Toll(All-Toll)-NONC'!Z10</f>
        <v>307.231674892392</v>
      </c>
      <c r="I10" s="5" t="n">
        <f aca="false">'W-Toll(All-Toll)-Coop'!Z10</f>
        <v>308.061549048978</v>
      </c>
      <c r="K10" s="2" t="n">
        <v>500</v>
      </c>
      <c r="L10" s="5" t="n">
        <f aca="false">'W-Toll(All-Tax)'!AA10</f>
        <v>-38.8238273852735</v>
      </c>
      <c r="M10" s="5" t="n">
        <f aca="false">'W-Toll(All-Toll)-NONC'!AA10</f>
        <v>-39.9944732929804</v>
      </c>
      <c r="N10" s="5" t="n">
        <f aca="false">'W-Toll(All-Toll)-Coop'!AA10</f>
        <v>-41.1404716755601</v>
      </c>
    </row>
    <row r="11" customFormat="false" ht="13" hidden="false" customHeight="false" outlineLevel="0" collapsed="false">
      <c r="A11" s="2" t="n">
        <v>1000</v>
      </c>
      <c r="B11" s="13" t="n">
        <f aca="false">'W-Toll(All-Tax)'!A11</f>
        <v>0.700659084745583</v>
      </c>
      <c r="C11" s="13" t="n">
        <f aca="false">'W-Toll(All-Toll)-NONC'!A11</f>
        <v>0.700659084745965</v>
      </c>
      <c r="D11" s="13" t="n">
        <f aca="false">'W-Toll(All-Toll)-Coop'!A11</f>
        <v>0.201159993587526</v>
      </c>
      <c r="F11" s="2" t="n">
        <v>1000</v>
      </c>
      <c r="G11" s="5" t="n">
        <f aca="false">'W-Toll(All-Tax)'!Z11</f>
        <v>309.116193830237</v>
      </c>
      <c r="H11" s="5" t="n">
        <f aca="false">'W-Toll(All-Toll)-NONC'!Z11</f>
        <v>307.946318461689</v>
      </c>
      <c r="I11" s="5" t="n">
        <f aca="false">'W-Toll(All-Toll)-Coop'!Z11</f>
        <v>308.361255539983</v>
      </c>
      <c r="K11" s="2" t="n">
        <v>1000</v>
      </c>
      <c r="L11" s="5" t="n">
        <f aca="false">'W-Toll(All-Tax)'!AA11</f>
        <v>-40.4569792856586</v>
      </c>
      <c r="M11" s="5" t="n">
        <f aca="false">'W-Toll(All-Toll)-NONC'!AA11</f>
        <v>-41.0423022395121</v>
      </c>
      <c r="N11" s="5" t="n">
        <f aca="false">'W-Toll(All-Toll)-Coop'!AA11</f>
        <v>-41.6153014308018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A1" s="2" t="s">
        <v>31</v>
      </c>
      <c r="B1" s="2" t="s">
        <v>101</v>
      </c>
      <c r="C1" s="2" t="s">
        <v>15</v>
      </c>
      <c r="D1" s="2" t="s">
        <v>102</v>
      </c>
      <c r="F1" s="2" t="s">
        <v>103</v>
      </c>
    </row>
    <row r="2" customFormat="false" ht="13" hidden="false" customHeight="false" outlineLevel="0" collapsed="false">
      <c r="A2" s="2" t="n">
        <v>0.00898115642025986</v>
      </c>
      <c r="B2" s="2" t="n">
        <f aca="false">LN(Toll)</f>
        <v>-4.71262662764733</v>
      </c>
      <c r="C2" s="2" t="n">
        <v>1</v>
      </c>
      <c r="D2" s="2" t="n">
        <f aca="false">LN(Size)</f>
        <v>0</v>
      </c>
      <c r="F2" s="2" t="n">
        <f aca="false">0.024+0.0176766*LN(Size)</f>
        <v>0.024</v>
      </c>
    </row>
    <row r="3" customFormat="false" ht="13" hidden="false" customHeight="false" outlineLevel="0" collapsed="false">
      <c r="A3" s="2" t="n">
        <v>0.0178505614325708</v>
      </c>
      <c r="B3" s="2" t="n">
        <f aca="false">LN(Toll)</f>
        <v>-4.02572031844603</v>
      </c>
      <c r="C3" s="2" t="n">
        <v>2</v>
      </c>
      <c r="D3" s="2" t="n">
        <f aca="false">LN(Size)</f>
        <v>0.693147180559945</v>
      </c>
      <c r="F3" s="2" t="n">
        <f aca="false">0.024+0.0176766*LN(Size)</f>
        <v>0.0362524854518859</v>
      </c>
    </row>
    <row r="4" customFormat="false" ht="13" hidden="false" customHeight="false" outlineLevel="0" collapsed="false">
      <c r="A4" s="2" t="n">
        <v>0.0427983670230575</v>
      </c>
      <c r="B4" s="2" t="n">
        <f aca="false">LN(Toll)</f>
        <v>-3.15125533078914</v>
      </c>
      <c r="C4" s="2" t="n">
        <v>5</v>
      </c>
      <c r="D4" s="2" t="n">
        <f aca="false">LN(Size)</f>
        <v>1.6094379124341</v>
      </c>
      <c r="F4" s="2" t="n">
        <f aca="false">0.024+0.0176766*LN(Size)</f>
        <v>0.0524493902029326</v>
      </c>
    </row>
    <row r="5" customFormat="false" ht="13" hidden="false" customHeight="false" outlineLevel="0" collapsed="false">
      <c r="A5" s="2" t="n">
        <v>0.0752894943692236</v>
      </c>
      <c r="B5" s="2" t="n">
        <f aca="false">LN(Toll)</f>
        <v>-2.58641467091868</v>
      </c>
      <c r="C5" s="2" t="n">
        <v>10</v>
      </c>
      <c r="D5" s="2" t="n">
        <f aca="false">LN(Size)</f>
        <v>2.30258509299405</v>
      </c>
      <c r="F5" s="2" t="n">
        <f aca="false">0.024+0.0176766*LN(Size)</f>
        <v>0.0647018756548186</v>
      </c>
    </row>
    <row r="6" customFormat="false" ht="13" hidden="false" customHeight="false" outlineLevel="0" collapsed="false">
      <c r="A6" s="2" t="n">
        <v>0.107287438280546</v>
      </c>
      <c r="B6" s="2" t="n">
        <f aca="false">LN(Toll)</f>
        <v>-2.23224370720959</v>
      </c>
      <c r="C6" s="2" t="n">
        <v>20</v>
      </c>
      <c r="D6" s="2" t="n">
        <f aca="false">LN(Size)</f>
        <v>2.99573227355399</v>
      </c>
      <c r="F6" s="2" t="n">
        <f aca="false">0.024+0.0176766*LN(Size)</f>
        <v>0.0769543611067045</v>
      </c>
    </row>
    <row r="7" customFormat="false" ht="13" hidden="false" customHeight="false" outlineLevel="0" collapsed="false">
      <c r="A7" s="2" t="n">
        <v>0.11986059037608</v>
      </c>
      <c r="B7" s="2" t="n">
        <f aca="false">LN(Toll)</f>
        <v>-2.12142595841709</v>
      </c>
      <c r="C7" s="2" t="n">
        <v>50</v>
      </c>
      <c r="D7" s="2" t="n">
        <f aca="false">LN(Size)</f>
        <v>3.91202300542815</v>
      </c>
      <c r="F7" s="2" t="n">
        <f aca="false">0.024+0.0176766*LN(Size)</f>
        <v>0.0931512658577512</v>
      </c>
    </row>
    <row r="8" customFormat="false" ht="13" hidden="false" customHeight="false" outlineLevel="0" collapsed="false">
      <c r="A8" s="2" t="n">
        <v>0.120071044278305</v>
      </c>
      <c r="B8" s="2" t="n">
        <f aca="false">LN(Toll)</f>
        <v>-2.11967167573152</v>
      </c>
      <c r="C8" s="2" t="n">
        <v>100</v>
      </c>
      <c r="D8" s="2" t="n">
        <f aca="false">LN(Size)</f>
        <v>4.60517018598809</v>
      </c>
      <c r="F8" s="2" t="n">
        <f aca="false">0.024+0.0176766*LN(Size)</f>
        <v>0.105403751309637</v>
      </c>
    </row>
    <row r="9" customFormat="false" ht="13" hidden="false" customHeight="false" outlineLevel="0" collapsed="false">
      <c r="A9" s="2" t="n">
        <v>0.120071218370888</v>
      </c>
      <c r="B9" s="2" t="n">
        <f aca="false">LN(Toll)</f>
        <v>-2.11967022581945</v>
      </c>
      <c r="C9" s="2" t="n">
        <v>200</v>
      </c>
      <c r="D9" s="2" t="n">
        <f aca="false">LN(Size)</f>
        <v>5.29831736654804</v>
      </c>
      <c r="F9" s="2" t="n">
        <f aca="false">0.024+0.0176766*LN(Size)</f>
        <v>0.117656236761523</v>
      </c>
    </row>
    <row r="10" customFormat="false" ht="13" hidden="false" customHeight="false" outlineLevel="0" collapsed="false">
      <c r="A10" s="2" t="n">
        <v>0.120071218370888</v>
      </c>
      <c r="B10" s="2" t="n">
        <f aca="false">LN(Toll)</f>
        <v>-2.11967022581945</v>
      </c>
      <c r="C10" s="2" t="n">
        <v>500</v>
      </c>
      <c r="D10" s="2" t="n">
        <f aca="false">LN(Size)</f>
        <v>6.21460809842219</v>
      </c>
      <c r="F10" s="2" t="n">
        <f aca="false">0.024+0.0176766*LN(Size)</f>
        <v>0.13385314151257</v>
      </c>
    </row>
    <row r="11" customFormat="false" ht="13" hidden="false" customHeight="false" outlineLevel="0" collapsed="false">
      <c r="A11" s="2" t="n">
        <v>0.120071218370888</v>
      </c>
      <c r="B11" s="2" t="n">
        <f aca="false">LN(Toll)</f>
        <v>-2.11967022581945</v>
      </c>
      <c r="C11" s="2" t="n">
        <v>1000</v>
      </c>
      <c r="D11" s="2" t="n">
        <f aca="false">LN(Size)</f>
        <v>6.90775527898214</v>
      </c>
      <c r="F11" s="2" t="n">
        <f aca="false">0.024+0.0176766*LN(Size)</f>
        <v>0.146105626964456</v>
      </c>
    </row>
    <row r="13" customFormat="false" ht="13" hidden="false" customHeight="false" outlineLevel="0" collapsed="false">
      <c r="A13" s="2" t="s">
        <v>104</v>
      </c>
    </row>
    <row r="14" customFormat="false" ht="14" hidden="false" customHeight="false" outlineLevel="0" collapsed="false"/>
    <row r="15" customFormat="false" ht="13" hidden="false" customHeight="false" outlineLevel="0" collapsed="false">
      <c r="A15" s="14" t="s">
        <v>105</v>
      </c>
      <c r="B15" s="14"/>
    </row>
    <row r="16" customFormat="false" ht="13" hidden="false" customHeight="false" outlineLevel="0" collapsed="false">
      <c r="A16" s="15" t="s">
        <v>106</v>
      </c>
      <c r="B16" s="15" t="n">
        <v>0.902352441168291</v>
      </c>
    </row>
    <row r="17" customFormat="false" ht="13" hidden="false" customHeight="false" outlineLevel="0" collapsed="false">
      <c r="A17" s="15" t="s">
        <v>107</v>
      </c>
      <c r="B17" s="15" t="n">
        <v>0.814239928082374</v>
      </c>
    </row>
    <row r="18" customFormat="false" ht="13" hidden="false" customHeight="false" outlineLevel="0" collapsed="false">
      <c r="A18" s="15" t="s">
        <v>108</v>
      </c>
      <c r="B18" s="15" t="n">
        <v>0.791019919092671</v>
      </c>
    </row>
    <row r="19" customFormat="false" ht="13" hidden="false" customHeight="false" outlineLevel="0" collapsed="false">
      <c r="A19" s="15" t="s">
        <v>109</v>
      </c>
      <c r="B19" s="15" t="n">
        <v>0.0208904304365268</v>
      </c>
    </row>
    <row r="20" customFormat="false" ht="14" hidden="false" customHeight="false" outlineLevel="0" collapsed="false">
      <c r="A20" s="16" t="s">
        <v>110</v>
      </c>
      <c r="B20" s="16" t="n">
        <v>10</v>
      </c>
    </row>
    <row r="22" customFormat="false" ht="14" hidden="false" customHeight="false" outlineLevel="0" collapsed="false">
      <c r="A22" s="2" t="s">
        <v>111</v>
      </c>
    </row>
    <row r="23" customFormat="false" ht="13" hidden="false" customHeight="false" outlineLevel="0" collapsed="false">
      <c r="A23" s="14"/>
      <c r="B23" s="14" t="s">
        <v>112</v>
      </c>
      <c r="C23" s="14" t="s">
        <v>113</v>
      </c>
      <c r="D23" s="14" t="s">
        <v>114</v>
      </c>
      <c r="E23" s="14" t="s">
        <v>115</v>
      </c>
      <c r="F23" s="14" t="s">
        <v>116</v>
      </c>
    </row>
    <row r="24" customFormat="false" ht="13" hidden="false" customHeight="false" outlineLevel="0" collapsed="false">
      <c r="A24" s="15" t="s">
        <v>117</v>
      </c>
      <c r="B24" s="15" t="n">
        <v>1</v>
      </c>
      <c r="C24" s="15" t="n">
        <v>0.0153032893064053</v>
      </c>
      <c r="D24" s="15" t="n">
        <v>0.0153032893064053</v>
      </c>
      <c r="E24" s="15" t="n">
        <v>35.0663054628205</v>
      </c>
      <c r="F24" s="15" t="n">
        <v>0.000353023567331804</v>
      </c>
    </row>
    <row r="25" customFormat="false" ht="13" hidden="false" customHeight="false" outlineLevel="0" collapsed="false">
      <c r="A25" s="15" t="s">
        <v>118</v>
      </c>
      <c r="B25" s="15" t="n">
        <v>8</v>
      </c>
      <c r="C25" s="15" t="n">
        <v>0.00349128067058693</v>
      </c>
      <c r="D25" s="15" t="n">
        <v>0.000436410083823366</v>
      </c>
      <c r="E25" s="15"/>
      <c r="F25" s="15"/>
    </row>
    <row r="26" customFormat="false" ht="14" hidden="false" customHeight="false" outlineLevel="0" collapsed="false">
      <c r="A26" s="16" t="s">
        <v>119</v>
      </c>
      <c r="B26" s="16" t="n">
        <v>9</v>
      </c>
      <c r="C26" s="16" t="n">
        <v>0.0187945699769922</v>
      </c>
      <c r="D26" s="16"/>
      <c r="E26" s="16"/>
      <c r="F26" s="16"/>
    </row>
    <row r="27" customFormat="false" ht="14" hidden="false" customHeight="false" outlineLevel="0" collapsed="false"/>
    <row r="28" customFormat="false" ht="13" hidden="false" customHeight="false" outlineLevel="0" collapsed="false">
      <c r="A28" s="14"/>
      <c r="B28" s="14" t="s">
        <v>120</v>
      </c>
      <c r="C28" s="14" t="s">
        <v>109</v>
      </c>
      <c r="D28" s="14" t="s">
        <v>121</v>
      </c>
      <c r="E28" s="14" t="s">
        <v>122</v>
      </c>
      <c r="F28" s="14" t="s">
        <v>123</v>
      </c>
      <c r="G28" s="14" t="s">
        <v>124</v>
      </c>
      <c r="H28" s="14" t="s">
        <v>125</v>
      </c>
      <c r="I28" s="14" t="s">
        <v>126</v>
      </c>
    </row>
    <row r="29" customFormat="false" ht="13" hidden="false" customHeight="false" outlineLevel="0" collapsed="false">
      <c r="A29" s="15" t="s">
        <v>127</v>
      </c>
      <c r="B29" s="15" t="n">
        <v>0.0241824260544084</v>
      </c>
      <c r="C29" s="15" t="n">
        <v>0.0122449198523882</v>
      </c>
      <c r="D29" s="15" t="n">
        <v>1.97489459677369</v>
      </c>
      <c r="E29" s="15" t="n">
        <v>0.0837074154322345</v>
      </c>
      <c r="F29" s="15" t="n">
        <v>-0.00405442802064312</v>
      </c>
      <c r="G29" s="15" t="n">
        <v>0.0524192801294599</v>
      </c>
      <c r="H29" s="15" t="n">
        <v>-0.00405442802064312</v>
      </c>
      <c r="I29" s="15" t="n">
        <v>0.0524192801294599</v>
      </c>
    </row>
    <row r="30" customFormat="false" ht="14" hidden="false" customHeight="false" outlineLevel="0" collapsed="false">
      <c r="A30" s="16" t="s">
        <v>102</v>
      </c>
      <c r="B30" s="16" t="n">
        <v>0.0176765974500065</v>
      </c>
      <c r="C30" s="16" t="n">
        <v>0.0029850641315474</v>
      </c>
      <c r="D30" s="16" t="n">
        <v>5.92168096597753</v>
      </c>
      <c r="E30" s="16" t="n">
        <v>0.000353023567331803</v>
      </c>
      <c r="F30" s="16" t="n">
        <v>0.0107930227673404</v>
      </c>
      <c r="G30" s="16" t="n">
        <v>0.0245601721326725</v>
      </c>
      <c r="H30" s="16" t="n">
        <v>0.0107930227673404</v>
      </c>
      <c r="I30" s="16" t="n">
        <v>0.0245601721326725</v>
      </c>
    </row>
    <row r="32" customFormat="false" ht="13" hidden="false" customHeight="false" outlineLevel="0" collapsed="false">
      <c r="A32" s="2" t="s">
        <v>104</v>
      </c>
    </row>
    <row r="33" customFormat="false" ht="14" hidden="false" customHeight="false" outlineLevel="0" collapsed="false"/>
    <row r="34" customFormat="false" ht="13" hidden="false" customHeight="false" outlineLevel="0" collapsed="false">
      <c r="A34" s="14" t="s">
        <v>105</v>
      </c>
      <c r="B34" s="14"/>
    </row>
    <row r="35" customFormat="false" ht="13" hidden="false" customHeight="false" outlineLevel="0" collapsed="false">
      <c r="A35" s="15" t="s">
        <v>106</v>
      </c>
      <c r="B35" s="15" t="n">
        <v>0.414751374377586</v>
      </c>
    </row>
    <row r="36" customFormat="false" ht="13" hidden="false" customHeight="false" outlineLevel="0" collapsed="false">
      <c r="A36" s="15" t="s">
        <v>107</v>
      </c>
      <c r="B36" s="15" t="n">
        <v>0.172018702548097</v>
      </c>
    </row>
    <row r="37" customFormat="false" ht="13" hidden="false" customHeight="false" outlineLevel="0" collapsed="false">
      <c r="A37" s="15" t="s">
        <v>108</v>
      </c>
      <c r="B37" s="15" t="n">
        <v>0.0685210403666088</v>
      </c>
    </row>
    <row r="38" customFormat="false" ht="13" hidden="false" customHeight="false" outlineLevel="0" collapsed="false">
      <c r="A38" s="15" t="s">
        <v>109</v>
      </c>
      <c r="B38" s="15" t="n">
        <v>0.90513912038962</v>
      </c>
    </row>
    <row r="39" customFormat="false" ht="14" hidden="false" customHeight="false" outlineLevel="0" collapsed="false">
      <c r="A39" s="16" t="s">
        <v>110</v>
      </c>
      <c r="B39" s="16" t="n">
        <v>10</v>
      </c>
    </row>
    <row r="41" customFormat="false" ht="14" hidden="false" customHeight="false" outlineLevel="0" collapsed="false">
      <c r="A41" s="2" t="s">
        <v>111</v>
      </c>
    </row>
    <row r="42" customFormat="false" ht="13" hidden="false" customHeight="false" outlineLevel="0" collapsed="false">
      <c r="A42" s="14"/>
      <c r="B42" s="14" t="s">
        <v>112</v>
      </c>
      <c r="C42" s="14" t="s">
        <v>113</v>
      </c>
      <c r="D42" s="14" t="s">
        <v>114</v>
      </c>
      <c r="E42" s="14" t="s">
        <v>115</v>
      </c>
      <c r="F42" s="14" t="s">
        <v>116</v>
      </c>
    </row>
    <row r="43" customFormat="false" ht="13" hidden="false" customHeight="false" outlineLevel="0" collapsed="false">
      <c r="A43" s="15" t="s">
        <v>117</v>
      </c>
      <c r="B43" s="15" t="n">
        <v>1</v>
      </c>
      <c r="C43" s="15" t="n">
        <v>1.36168232095721</v>
      </c>
      <c r="D43" s="15" t="n">
        <v>1.36168232095721</v>
      </c>
      <c r="E43" s="15" t="n">
        <v>1.66205399158151</v>
      </c>
      <c r="F43" s="15" t="n">
        <v>0.233350385813288</v>
      </c>
    </row>
    <row r="44" customFormat="false" ht="13" hidden="false" customHeight="false" outlineLevel="0" collapsed="false">
      <c r="A44" s="15" t="s">
        <v>118</v>
      </c>
      <c r="B44" s="15" t="n">
        <v>8</v>
      </c>
      <c r="C44" s="15" t="n">
        <v>6.55421461807756</v>
      </c>
      <c r="D44" s="15" t="n">
        <v>0.819276827259695</v>
      </c>
      <c r="E44" s="15"/>
      <c r="F44" s="15"/>
    </row>
    <row r="45" customFormat="false" ht="14" hidden="false" customHeight="false" outlineLevel="0" collapsed="false">
      <c r="A45" s="16" t="s">
        <v>119</v>
      </c>
      <c r="B45" s="16" t="n">
        <v>9</v>
      </c>
      <c r="C45" s="16" t="n">
        <v>7.91589693903477</v>
      </c>
      <c r="D45" s="16"/>
      <c r="E45" s="16"/>
      <c r="F45" s="16"/>
    </row>
    <row r="46" customFormat="false" ht="14" hidden="false" customHeight="false" outlineLevel="0" collapsed="false"/>
    <row r="47" customFormat="false" ht="13" hidden="false" customHeight="false" outlineLevel="0" collapsed="false">
      <c r="A47" s="14"/>
      <c r="B47" s="14" t="s">
        <v>120</v>
      </c>
      <c r="C47" s="14" t="s">
        <v>109</v>
      </c>
      <c r="D47" s="14" t="s">
        <v>121</v>
      </c>
      <c r="E47" s="14" t="s">
        <v>122</v>
      </c>
      <c r="F47" s="14" t="s">
        <v>123</v>
      </c>
      <c r="G47" s="14" t="s">
        <v>124</v>
      </c>
      <c r="H47" s="14" t="s">
        <v>125</v>
      </c>
      <c r="I47" s="14" t="s">
        <v>126</v>
      </c>
    </row>
    <row r="48" customFormat="false" ht="13" hidden="false" customHeight="false" outlineLevel="0" collapsed="false">
      <c r="A48" s="15" t="s">
        <v>127</v>
      </c>
      <c r="B48" s="15" t="n">
        <v>-2.95728163648417</v>
      </c>
      <c r="C48" s="15" t="n">
        <v>0.335826443585158</v>
      </c>
      <c r="D48" s="15" t="n">
        <v>-8.80598205702126</v>
      </c>
      <c r="E48" s="15" t="n">
        <v>2.17451431477142E-005</v>
      </c>
      <c r="F48" s="15" t="n">
        <v>-3.73169930490264</v>
      </c>
      <c r="G48" s="15" t="n">
        <v>-2.18286396806569</v>
      </c>
      <c r="H48" s="15" t="n">
        <v>-3.73169930490264</v>
      </c>
      <c r="I48" s="15" t="n">
        <v>-2.18286396806569</v>
      </c>
    </row>
    <row r="49" customFormat="false" ht="14" hidden="false" customHeight="false" outlineLevel="0" collapsed="false">
      <c r="A49" s="16" t="s">
        <v>15</v>
      </c>
      <c r="B49" s="16" t="n">
        <v>0.00119938951177116</v>
      </c>
      <c r="C49" s="16" t="n">
        <v>0.000930331407877879</v>
      </c>
      <c r="D49" s="16" t="n">
        <v>1.28920672957502</v>
      </c>
      <c r="E49" s="16" t="n">
        <v>0.233350385813288</v>
      </c>
      <c r="F49" s="16" t="n">
        <v>-0.000945959949259516</v>
      </c>
      <c r="G49" s="16" t="n">
        <v>0.00334473897280184</v>
      </c>
      <c r="H49" s="16" t="n">
        <v>-0.000945959949259516</v>
      </c>
      <c r="I49" s="16" t="n">
        <v>0.00334473897280184</v>
      </c>
    </row>
    <row r="52" customFormat="false" ht="13" hidden="false" customHeight="false" outlineLevel="0" collapsed="false">
      <c r="A52" s="2" t="s">
        <v>104</v>
      </c>
    </row>
    <row r="53" customFormat="false" ht="14" hidden="false" customHeight="false" outlineLevel="0" collapsed="false"/>
    <row r="54" customFormat="false" ht="13" hidden="false" customHeight="false" outlineLevel="0" collapsed="false">
      <c r="A54" s="14" t="s">
        <v>105</v>
      </c>
      <c r="B54" s="14"/>
    </row>
    <row r="55" customFormat="false" ht="13" hidden="false" customHeight="false" outlineLevel="0" collapsed="false">
      <c r="A55" s="15" t="s">
        <v>106</v>
      </c>
      <c r="B55" s="15" t="n">
        <v>0.848590339244419</v>
      </c>
    </row>
    <row r="56" customFormat="false" ht="13" hidden="false" customHeight="false" outlineLevel="0" collapsed="false">
      <c r="A56" s="15" t="s">
        <v>107</v>
      </c>
      <c r="B56" s="15" t="n">
        <v>0.720105563858958</v>
      </c>
    </row>
    <row r="57" customFormat="false" ht="13" hidden="false" customHeight="false" outlineLevel="0" collapsed="false">
      <c r="A57" s="15" t="s">
        <v>108</v>
      </c>
      <c r="B57" s="15" t="n">
        <v>0.685118759341327</v>
      </c>
    </row>
    <row r="58" customFormat="false" ht="13" hidden="false" customHeight="false" outlineLevel="0" collapsed="false">
      <c r="A58" s="15" t="s">
        <v>109</v>
      </c>
      <c r="B58" s="15" t="n">
        <v>0.52626223386038</v>
      </c>
    </row>
    <row r="59" customFormat="false" ht="14" hidden="false" customHeight="false" outlineLevel="0" collapsed="false">
      <c r="A59" s="16" t="s">
        <v>110</v>
      </c>
      <c r="B59" s="16" t="n">
        <v>10</v>
      </c>
    </row>
    <row r="61" customFormat="false" ht="14" hidden="false" customHeight="false" outlineLevel="0" collapsed="false">
      <c r="A61" s="2" t="s">
        <v>111</v>
      </c>
    </row>
    <row r="62" customFormat="false" ht="13" hidden="false" customHeight="false" outlineLevel="0" collapsed="false">
      <c r="A62" s="14"/>
      <c r="B62" s="14" t="s">
        <v>112</v>
      </c>
      <c r="C62" s="14" t="s">
        <v>113</v>
      </c>
      <c r="D62" s="14" t="s">
        <v>114</v>
      </c>
      <c r="E62" s="14" t="s">
        <v>115</v>
      </c>
      <c r="F62" s="14" t="s">
        <v>116</v>
      </c>
    </row>
    <row r="63" customFormat="false" ht="13" hidden="false" customHeight="false" outlineLevel="0" collapsed="false">
      <c r="A63" s="15" t="s">
        <v>117</v>
      </c>
      <c r="B63" s="15" t="n">
        <v>1</v>
      </c>
      <c r="C63" s="15" t="n">
        <v>5.70028142873303</v>
      </c>
      <c r="D63" s="15" t="n">
        <v>5.70028142873303</v>
      </c>
      <c r="E63" s="15" t="n">
        <v>20.5822044564284</v>
      </c>
      <c r="F63" s="15" t="n">
        <v>0.00190730783054191</v>
      </c>
    </row>
    <row r="64" customFormat="false" ht="13" hidden="false" customHeight="false" outlineLevel="0" collapsed="false">
      <c r="A64" s="15" t="s">
        <v>118</v>
      </c>
      <c r="B64" s="15" t="n">
        <v>8</v>
      </c>
      <c r="C64" s="15" t="n">
        <v>2.21561551030174</v>
      </c>
      <c r="D64" s="15" t="n">
        <v>0.276951938787717</v>
      </c>
      <c r="E64" s="15"/>
      <c r="F64" s="15"/>
    </row>
    <row r="65" customFormat="false" ht="14" hidden="false" customHeight="false" outlineLevel="0" collapsed="false">
      <c r="A65" s="16" t="s">
        <v>119</v>
      </c>
      <c r="B65" s="16" t="n">
        <v>9</v>
      </c>
      <c r="C65" s="16" t="n">
        <v>7.91589693903477</v>
      </c>
      <c r="D65" s="16"/>
      <c r="E65" s="16"/>
      <c r="F65" s="16"/>
    </row>
    <row r="66" customFormat="false" ht="14" hidden="false" customHeight="false" outlineLevel="0" collapsed="false"/>
    <row r="67" customFormat="false" ht="13" hidden="false" customHeight="false" outlineLevel="0" collapsed="false">
      <c r="A67" s="14"/>
      <c r="B67" s="14" t="s">
        <v>120</v>
      </c>
      <c r="C67" s="14" t="s">
        <v>109</v>
      </c>
      <c r="D67" s="14" t="s">
        <v>121</v>
      </c>
      <c r="E67" s="14" t="s">
        <v>122</v>
      </c>
      <c r="F67" s="14" t="s">
        <v>123</v>
      </c>
      <c r="G67" s="14" t="s">
        <v>124</v>
      </c>
      <c r="H67" s="14" t="s">
        <v>125</v>
      </c>
      <c r="I67" s="14" t="s">
        <v>126</v>
      </c>
    </row>
    <row r="68" customFormat="false" ht="13" hidden="false" customHeight="false" outlineLevel="0" collapsed="false">
      <c r="A68" s="15" t="s">
        <v>127</v>
      </c>
      <c r="B68" s="15" t="n">
        <v>-3.90915180945751</v>
      </c>
      <c r="C68" s="15" t="n">
        <v>0.308468458538402</v>
      </c>
      <c r="D68" s="15" t="n">
        <v>-12.6727764257649</v>
      </c>
      <c r="E68" s="15" t="n">
        <v>1.41321823283428E-006</v>
      </c>
      <c r="F68" s="15" t="n">
        <v>-4.6204818104298</v>
      </c>
      <c r="G68" s="15" t="n">
        <v>-3.19782180848522</v>
      </c>
      <c r="H68" s="15" t="n">
        <v>-4.6204818104298</v>
      </c>
      <c r="I68" s="15" t="n">
        <v>-3.19782180848522</v>
      </c>
    </row>
    <row r="69" customFormat="false" ht="14" hidden="false" customHeight="false" outlineLevel="0" collapsed="false">
      <c r="A69" s="16" t="s">
        <v>102</v>
      </c>
      <c r="B69" s="16" t="n">
        <v>0.341157109714333</v>
      </c>
      <c r="C69" s="16" t="n">
        <v>0.0751983796053274</v>
      </c>
      <c r="D69" s="16" t="n">
        <v>4.53676145024492</v>
      </c>
      <c r="E69" s="16" t="n">
        <v>0.00190730783054192</v>
      </c>
      <c r="F69" s="16" t="n">
        <v>0.167749223244433</v>
      </c>
      <c r="G69" s="16" t="n">
        <v>0.514564996184233</v>
      </c>
      <c r="H69" s="16" t="n">
        <v>0.167749223244433</v>
      </c>
      <c r="I69" s="16" t="n">
        <v>0.514564996184233</v>
      </c>
    </row>
  </sheetData>
  <mergeCells count="3">
    <mergeCell ref="A15:B15"/>
    <mergeCell ref="A34:B34"/>
    <mergeCell ref="A54:B54"/>
  </mergeCells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16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6.28"/>
    <col collapsed="false" customWidth="true" hidden="false" outlineLevel="0" max="2" min="2" style="2" width="10.42"/>
    <col collapsed="false" customWidth="true" hidden="false" outlineLevel="0" max="3" min="3" style="2" width="5.14"/>
    <col collapsed="false" customWidth="true" hidden="false" outlineLevel="0" max="4" min="4" style="2" width="5.99"/>
    <col collapsed="false" customWidth="true" hidden="false" outlineLevel="0" max="5" min="5" style="2" width="6.13"/>
    <col collapsed="false" customWidth="true" hidden="false" outlineLevel="0" max="6" min="6" style="2" width="6.28"/>
    <col collapsed="false" customWidth="false" hidden="false" outlineLevel="0" max="7" min="7" style="2" width="8.28"/>
    <col collapsed="false" customWidth="true" hidden="false" outlineLevel="0" max="9" min="8" style="2" width="6.56"/>
    <col collapsed="false" customWidth="true" hidden="false" outlineLevel="0" max="10" min="10" style="2" width="6.71"/>
    <col collapsed="false" customWidth="true" hidden="false" outlineLevel="0" max="11" min="11" style="2" width="6.13"/>
    <col collapsed="false" customWidth="true" hidden="false" outlineLevel="0" max="12" min="12" style="2" width="5.99"/>
    <col collapsed="false" customWidth="false" hidden="false" outlineLevel="0" max="257" min="13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</row>
    <row r="2" customFormat="false" ht="13" hidden="false" customHeight="false" outlineLevel="0" collapsed="false">
      <c r="A2" s="2" t="n">
        <v>0.400000006504766</v>
      </c>
      <c r="B2" s="2" t="n">
        <v>0.400000006504766</v>
      </c>
      <c r="C2" s="5" t="n">
        <f aca="false">-EXP(alpha*(Tau+OldTau+zeta))*Beta/(alpha^3*psi^2)</f>
        <v>1050.68415551904</v>
      </c>
      <c r="D2" s="5" t="n">
        <f aca="false">-Phi*EXP(alpha*(Tau+OldTau+zeta))*Beta/(alpha^3*psi^3)</f>
        <v>126.082098662284</v>
      </c>
      <c r="E2" s="5" t="n">
        <f aca="false">EXP(alpha*(Tau+OldTau+zeta))*Theta*Beta/(alpha^2*psi^2)</f>
        <v>84.0547324415228</v>
      </c>
      <c r="F2" s="5" t="n">
        <f aca="false">kappa</f>
        <v>90</v>
      </c>
      <c r="G2" s="5" t="n">
        <f aca="false">EXP(alpha*(Tau+OldTau+zeta))*Tau*Beta/(alpha^2*psi^2)</f>
        <v>420.273669042069</v>
      </c>
      <c r="H2" s="5" t="n">
        <f aca="false">Profit+Utility</f>
        <v>960.68416235349</v>
      </c>
      <c r="I2" s="5" t="n">
        <f aca="false">G2</f>
        <v>420.273669042069</v>
      </c>
      <c r="J2" s="5" t="n">
        <f aca="false">F2+2*E2+2*D2</f>
        <v>510.273662207614</v>
      </c>
      <c r="K2" s="5" t="n">
        <f aca="false">C2</f>
        <v>1050.68415551904</v>
      </c>
      <c r="L2" s="5" t="n">
        <f aca="false">Revenue-Cost</f>
        <v>-89.9999931655452</v>
      </c>
    </row>
    <row r="3" customFormat="false" ht="13" hidden="false" customHeight="false" outlineLevel="0" collapsed="false">
      <c r="A3" s="2" t="n">
        <v>0.400000006503608</v>
      </c>
      <c r="B3" s="2" t="n">
        <v>0</v>
      </c>
      <c r="C3" s="5" t="n">
        <f aca="false">-EXP(alpha*(Tau+OldTau+zeta))*Beta/(alpha^3*psi^2)</f>
        <v>1567.43658282128</v>
      </c>
      <c r="D3" s="5" t="n">
        <f aca="false">-Phi*EXP(alpha*(Tau+OldTau+zeta))*Beta/(alpha^3*psi^3)</f>
        <v>188.092389938554</v>
      </c>
      <c r="E3" s="5" t="n">
        <f aca="false">EXP(alpha*(Tau+OldTau+zeta))*Theta*Beta/(alpha^2*psi^2)</f>
        <v>125.394926625703</v>
      </c>
      <c r="F3" s="5" t="n">
        <f aca="false">kappa</f>
        <v>90</v>
      </c>
      <c r="G3" s="5" t="n">
        <f aca="false">EXP(alpha*(Tau+OldTau+zeta))*Tau*Beta/(alpha^2*psi^2)</f>
        <v>626.974643322506</v>
      </c>
      <c r="H3" s="5" t="n">
        <f aca="false">Profit+Utility</f>
        <v>1477.43659301527</v>
      </c>
      <c r="I3" s="5" t="n">
        <f aca="false">G3</f>
        <v>626.974643322506</v>
      </c>
      <c r="J3" s="5" t="n">
        <f aca="false">F3+2*E3+2*D3</f>
        <v>716.974633128513</v>
      </c>
      <c r="K3" s="5" t="n">
        <f aca="false">C3</f>
        <v>1567.43658282128</v>
      </c>
      <c r="L3" s="5" t="n">
        <f aca="false">Revenue-Cost</f>
        <v>-89.9999898060075</v>
      </c>
    </row>
    <row r="4" customFormat="false" ht="13" hidden="false" customHeight="false" outlineLevel="0" collapsed="false">
      <c r="A4" s="2" t="n">
        <v>0</v>
      </c>
      <c r="B4" s="2" t="n">
        <v>0.400000006503608</v>
      </c>
      <c r="C4" s="5" t="n">
        <f aca="false">-EXP(alpha*(Tau+OldTau+zeta))*Beta/(alpha^3*psi^2)</f>
        <v>1567.43658282128</v>
      </c>
      <c r="D4" s="5" t="n">
        <f aca="false">-Phi*EXP(alpha*(Tau+OldTau+zeta))*Beta/(alpha^3*psi^3)</f>
        <v>188.092389938554</v>
      </c>
      <c r="E4" s="5" t="n">
        <f aca="false">EXP(alpha*(Tau+OldTau+zeta))*Theta*Beta/(alpha^2*psi^2)</f>
        <v>125.394926625703</v>
      </c>
      <c r="F4" s="5" t="n">
        <v>0</v>
      </c>
      <c r="G4" s="5" t="n">
        <f aca="false">EXP(alpha*(Tau+OldTau+zeta))*Tau*Beta/(alpha^2*psi^2)</f>
        <v>0</v>
      </c>
      <c r="H4" s="5" t="n">
        <f aca="false">Profit+Utility</f>
        <v>940.461949692769</v>
      </c>
      <c r="I4" s="5" t="n">
        <f aca="false">G4</f>
        <v>0</v>
      </c>
      <c r="J4" s="5" t="n">
        <f aca="false">F4+2*E4+2*D4</f>
        <v>626.974633128513</v>
      </c>
      <c r="K4" s="5" t="n">
        <f aca="false">C4</f>
        <v>1567.43658282128</v>
      </c>
      <c r="L4" s="5" t="n">
        <f aca="false">Revenue-Cost</f>
        <v>-626.974633128513</v>
      </c>
    </row>
    <row r="5" customFormat="false" ht="13" hidden="false" customHeight="false" outlineLevel="0" collapsed="false">
      <c r="A5" s="2" t="n">
        <v>0</v>
      </c>
      <c r="B5" s="2" t="n">
        <v>0</v>
      </c>
      <c r="C5" s="5" t="n">
        <f aca="false">-EXP(alpha*(Tau+OldTau+zeta))*Beta/(alpha^3*psi^2)</f>
        <v>2338.34062144688</v>
      </c>
      <c r="D5" s="5" t="n">
        <f aca="false">-Phi*EXP(alpha*(Tau+OldTau+zeta))*Beta/(alpha^3*psi^3)</f>
        <v>280.600874573625</v>
      </c>
      <c r="E5" s="5" t="n">
        <f aca="false">EXP(alpha*(Tau+OldTau+zeta))*Theta*Beta/(alpha^2*psi^2)</f>
        <v>187.06724971575</v>
      </c>
      <c r="F5" s="5" t="n">
        <v>0</v>
      </c>
      <c r="G5" s="5" t="n">
        <f aca="false">EXP(alpha*(Tau+OldTau+zeta))*Tau*Beta/(alpha^2*psi^2)</f>
        <v>0</v>
      </c>
      <c r="H5" s="5" t="n">
        <f aca="false">Profit+Utility</f>
        <v>1403.00437286813</v>
      </c>
      <c r="I5" s="5" t="n">
        <f aca="false">G5</f>
        <v>0</v>
      </c>
      <c r="J5" s="5" t="n">
        <f aca="false">F5+2*E5+2*D5</f>
        <v>935.33624857875</v>
      </c>
      <c r="K5" s="5" t="n">
        <f aca="false">C5</f>
        <v>2338.34062144688</v>
      </c>
      <c r="L5" s="5" t="n">
        <f aca="false">Revenue-Cost</f>
        <v>-935.33624857875</v>
      </c>
    </row>
    <row r="6" customFormat="false" ht="13" hidden="false" customHeight="false" outlineLevel="0" collapsed="false">
      <c r="A6" s="2" t="n">
        <v>0</v>
      </c>
      <c r="B6" s="2" t="n">
        <f aca="false">Tau</f>
        <v>0</v>
      </c>
      <c r="C6" s="5" t="n">
        <f aca="false">-EXP(alpha*(Tau+OldTau+zeta))*Beta/(alpha^3*psi^2)</f>
        <v>2338.34062144688</v>
      </c>
      <c r="D6" s="5" t="n">
        <f aca="false">-Phi*EXP(alpha*(Tau+OldTau+zeta))*Beta/(alpha^3*psi^3)</f>
        <v>280.600874573625</v>
      </c>
      <c r="E6" s="5" t="n">
        <f aca="false">EXP(alpha*(Tau+OldTau+zeta))*Theta*Beta/(alpha^2*psi^2)</f>
        <v>187.06724971575</v>
      </c>
      <c r="F6" s="5" t="n">
        <f aca="false">kappa</f>
        <v>90</v>
      </c>
      <c r="G6" s="5" t="n">
        <f aca="false">EXP(alpha*(Tau+OldTau+zeta))*Tau*Beta/(alpha^2*psi^2)</f>
        <v>0</v>
      </c>
      <c r="H6" s="5" t="n">
        <f aca="false">Profit+Utility</f>
        <v>1313.00437286813</v>
      </c>
      <c r="I6" s="5" t="n">
        <f aca="false">G6</f>
        <v>0</v>
      </c>
      <c r="J6" s="5" t="n">
        <f aca="false">F6+2*E6+2*D6</f>
        <v>1025.33624857875</v>
      </c>
      <c r="K6" s="5" t="n">
        <f aca="false">C6</f>
        <v>2338.34062144688</v>
      </c>
      <c r="L6" s="5" t="n">
        <f aca="false">Revenue-Cost</f>
        <v>-1025.33624857875</v>
      </c>
    </row>
    <row r="8" customFormat="false" ht="13" hidden="false" customHeight="false" outlineLevel="0" collapsed="false">
      <c r="C8" s="2" t="s">
        <v>133</v>
      </c>
    </row>
    <row r="9" customFormat="false" ht="13" hidden="false" customHeight="false" outlineLevel="0" collapsed="false">
      <c r="C9" s="2" t="s">
        <v>134</v>
      </c>
      <c r="D9" s="2" t="s">
        <v>31</v>
      </c>
    </row>
    <row r="10" customFormat="false" ht="13" hidden="false" customHeight="false" outlineLevel="0" collapsed="false">
      <c r="A10" s="2" t="s">
        <v>135</v>
      </c>
      <c r="B10" s="2" t="s">
        <v>134</v>
      </c>
      <c r="C10" s="5" t="n">
        <f aca="false">H5</f>
        <v>1403.00437286813</v>
      </c>
      <c r="D10" s="5" t="n">
        <f aca="false">H4</f>
        <v>940.461949692769</v>
      </c>
      <c r="F10" s="2" t="s">
        <v>136</v>
      </c>
      <c r="G10" s="2" t="s">
        <v>137</v>
      </c>
    </row>
    <row r="11" customFormat="false" ht="13" hidden="false" customHeight="false" outlineLevel="0" collapsed="false">
      <c r="B11" s="2" t="s">
        <v>31</v>
      </c>
      <c r="C11" s="5" t="n">
        <f aca="false">H3</f>
        <v>1477.43659301527</v>
      </c>
      <c r="D11" s="5" t="n">
        <f aca="false">H2</f>
        <v>960.68416235349</v>
      </c>
      <c r="F11" s="2" t="s">
        <v>4</v>
      </c>
      <c r="G11" s="2" t="s">
        <v>3</v>
      </c>
    </row>
    <row r="13" customFormat="false" ht="13" hidden="false" customHeight="false" outlineLevel="0" collapsed="false">
      <c r="A13" s="2" t="s">
        <v>138</v>
      </c>
      <c r="B13" s="2" t="s">
        <v>139</v>
      </c>
      <c r="C13" s="2" t="n">
        <f aca="false">(y-x)/(y-w)</f>
        <v>0.144038451936892</v>
      </c>
    </row>
    <row r="14" customFormat="false" ht="13" hidden="false" customHeight="false" outlineLevel="0" collapsed="false">
      <c r="A14" s="2" t="s">
        <v>140</v>
      </c>
      <c r="B14" s="2" t="s">
        <v>141</v>
      </c>
      <c r="C14" s="2" t="n">
        <f aca="false">(y-x)/(x-z)</f>
        <v>0.160919769555778</v>
      </c>
    </row>
    <row r="15" customFormat="false" ht="13" hidden="false" customHeight="false" outlineLevel="0" collapsed="false">
      <c r="A15" s="2" t="s">
        <v>142</v>
      </c>
      <c r="B15" s="2" t="s">
        <v>143</v>
      </c>
      <c r="C15" s="2" t="n">
        <f aca="false">(w-z)/(y-w)</f>
        <v>0.0391332705195459</v>
      </c>
    </row>
    <row r="16" customFormat="false" ht="13" hidden="false" customHeight="false" outlineLevel="0" collapsed="false">
      <c r="A16" s="2" t="s">
        <v>144</v>
      </c>
      <c r="B16" s="2" t="s">
        <v>145</v>
      </c>
      <c r="C16" s="2" t="n">
        <f aca="false">(w-z)/(x-z)</f>
        <v>0.0437196928270815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6.28"/>
    <col collapsed="false" customWidth="true" hidden="false" outlineLevel="0" max="2" min="2" style="2" width="10.42"/>
    <col collapsed="false" customWidth="true" hidden="false" outlineLevel="0" max="3" min="3" style="2" width="5.14"/>
    <col collapsed="false" customWidth="true" hidden="false" outlineLevel="0" max="4" min="4" style="2" width="5.99"/>
    <col collapsed="false" customWidth="true" hidden="false" outlineLevel="0" max="5" min="5" style="2" width="6.13"/>
    <col collapsed="false" customWidth="true" hidden="false" outlineLevel="0" max="6" min="6" style="2" width="6.28"/>
    <col collapsed="false" customWidth="false" hidden="false" outlineLevel="0" max="7" min="7" style="2" width="8.28"/>
    <col collapsed="false" customWidth="true" hidden="false" outlineLevel="0" max="9" min="8" style="2" width="6.56"/>
    <col collapsed="false" customWidth="true" hidden="false" outlineLevel="0" max="10" min="10" style="2" width="6.71"/>
    <col collapsed="false" customWidth="true" hidden="false" outlineLevel="0" max="11" min="11" style="2" width="6.13"/>
    <col collapsed="false" customWidth="true" hidden="false" outlineLevel="0" max="12" min="12" style="2" width="5.99"/>
    <col collapsed="false" customWidth="false" hidden="false" outlineLevel="0" max="257" min="13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</row>
    <row r="2" customFormat="false" ht="13" hidden="false" customHeight="false" outlineLevel="0" collapsed="false">
      <c r="A2" s="2" t="n">
        <v>0.400000006504766</v>
      </c>
      <c r="B2" s="2" t="n">
        <v>0.400000006504766</v>
      </c>
      <c r="C2" s="5" t="n">
        <f aca="false">-EXP(alpha*(Tau+OldTau+zeta))*Beta/(alpha^3*psi^2)</f>
        <v>1050.68415551904</v>
      </c>
      <c r="D2" s="5" t="n">
        <f aca="false">-Phi*EXP(alpha*(Tau+OldTau+zeta))*Beta/(alpha^3*psi^3)</f>
        <v>126.082098662284</v>
      </c>
      <c r="E2" s="5" t="n">
        <f aca="false">EXP(alpha*(Tau+OldTau+zeta))*Theta*Beta/(alpha^2*psi^2)</f>
        <v>84.0547324415228</v>
      </c>
      <c r="F2" s="5" t="n">
        <f aca="false">kappa</f>
        <v>90</v>
      </c>
      <c r="G2" s="5" t="n">
        <f aca="false">EXP(alpha*(Tau+OldTau+zeta))*Tau*Beta/(alpha^2*psi^2)</f>
        <v>420.273669042069</v>
      </c>
      <c r="H2" s="5" t="n">
        <f aca="false">Profit+Utility</f>
        <v>960.68416235349</v>
      </c>
      <c r="I2" s="5" t="n">
        <f aca="false">G2</f>
        <v>420.273669042069</v>
      </c>
      <c r="J2" s="5" t="n">
        <f aca="false">F2+2*E2+2*D2</f>
        <v>510.273662207614</v>
      </c>
      <c r="K2" s="5" t="n">
        <f aca="false">C2</f>
        <v>1050.68415551904</v>
      </c>
      <c r="L2" s="5" t="n">
        <f aca="false">Revenue-Cost</f>
        <v>-89.9999931655452</v>
      </c>
    </row>
    <row r="3" customFormat="false" ht="13" hidden="false" customHeight="false" outlineLevel="0" collapsed="false">
      <c r="A3" s="2" t="n">
        <v>0.400000006503608</v>
      </c>
      <c r="B3" s="2" t="n">
        <v>0</v>
      </c>
      <c r="C3" s="5" t="n">
        <f aca="false">-EXP(alpha*(Tau+OldTau+zeta))*Beta/(alpha^3*psi^2)</f>
        <v>1567.43658282128</v>
      </c>
      <c r="D3" s="5" t="n">
        <f aca="false">-Phi*EXP(alpha*(Tau+OldTau+zeta))*Beta/(alpha^3*psi^3)</f>
        <v>188.092389938554</v>
      </c>
      <c r="E3" s="5" t="n">
        <f aca="false">EXP(alpha*(Tau+OldTau+zeta))*Theta*Beta/(alpha^2*psi^2)</f>
        <v>125.394926625703</v>
      </c>
      <c r="F3" s="5" t="n">
        <f aca="false">kappa</f>
        <v>90</v>
      </c>
      <c r="G3" s="5" t="n">
        <f aca="false">EXP(alpha*(Tau+OldTau+zeta))*Tau*Beta/(alpha^2*psi^2)</f>
        <v>626.974643322506</v>
      </c>
      <c r="H3" s="5" t="n">
        <f aca="false">Profit+Utility</f>
        <v>1477.43659301527</v>
      </c>
      <c r="I3" s="5" t="n">
        <f aca="false">G3</f>
        <v>626.974643322506</v>
      </c>
      <c r="J3" s="5" t="n">
        <f aca="false">F3+2*E3+2*D3</f>
        <v>716.974633128513</v>
      </c>
      <c r="K3" s="5" t="n">
        <f aca="false">C3</f>
        <v>1567.43658282128</v>
      </c>
      <c r="L3" s="5" t="n">
        <f aca="false">Revenue-Cost</f>
        <v>-89.9999898060075</v>
      </c>
    </row>
    <row r="4" customFormat="false" ht="13" hidden="false" customHeight="false" outlineLevel="0" collapsed="false">
      <c r="A4" s="2" t="n">
        <v>0</v>
      </c>
      <c r="B4" s="2" t="n">
        <v>0.400000006503608</v>
      </c>
      <c r="C4" s="5" t="n">
        <f aca="false">-EXP(alpha*(Tau+OldTau+zeta))*Beta/(alpha^3*psi^2)</f>
        <v>1567.43658282128</v>
      </c>
      <c r="D4" s="5" t="n">
        <f aca="false">-Phi*EXP(alpha*(Tau+OldTau+zeta))*Beta/(alpha^3*psi^3)</f>
        <v>188.092389938554</v>
      </c>
      <c r="E4" s="17" t="n">
        <v>0</v>
      </c>
      <c r="F4" s="5" t="n">
        <v>0</v>
      </c>
      <c r="G4" s="5" t="n">
        <f aca="false">EXP(alpha*(Tau+OldTau+zeta))*Tau*Beta/(alpha^2*psi^2)</f>
        <v>0</v>
      </c>
      <c r="H4" s="5" t="n">
        <f aca="false">Profit+Utility</f>
        <v>1191.25180294417</v>
      </c>
      <c r="I4" s="5" t="n">
        <f aca="false">G4</f>
        <v>0</v>
      </c>
      <c r="J4" s="5" t="n">
        <f aca="false">F4+2*E4+2*D4</f>
        <v>376.184779877108</v>
      </c>
      <c r="K4" s="5" t="n">
        <f aca="false">C4</f>
        <v>1567.43658282128</v>
      </c>
      <c r="L4" s="5" t="n">
        <f aca="false">Revenue-Cost</f>
        <v>-376.184779877108</v>
      </c>
    </row>
    <row r="5" customFormat="false" ht="13" hidden="false" customHeight="false" outlineLevel="0" collapsed="false">
      <c r="A5" s="2" t="n">
        <v>0</v>
      </c>
      <c r="B5" s="2" t="n">
        <v>0</v>
      </c>
      <c r="C5" s="5" t="n">
        <f aca="false">-EXP(alpha*(Tau+OldTau+zeta))*Beta/(alpha^3*psi^2)</f>
        <v>2338.34062144688</v>
      </c>
      <c r="D5" s="5" t="n">
        <f aca="false">-Phi*EXP(alpha*(Tau+OldTau+zeta))*Beta/(alpha^3*psi^3)</f>
        <v>280.600874573625</v>
      </c>
      <c r="E5" s="17" t="n">
        <v>0</v>
      </c>
      <c r="F5" s="5" t="n">
        <v>0</v>
      </c>
      <c r="G5" s="5" t="n">
        <f aca="false">EXP(alpha*(Tau+OldTau+zeta))*Tau*Beta/(alpha^2*psi^2)</f>
        <v>0</v>
      </c>
      <c r="H5" s="5" t="n">
        <f aca="false">Profit+Utility</f>
        <v>1777.13887229963</v>
      </c>
      <c r="I5" s="5" t="n">
        <f aca="false">G5</f>
        <v>0</v>
      </c>
      <c r="J5" s="5" t="n">
        <f aca="false">F5+2*E5+2*D5</f>
        <v>561.20174914725</v>
      </c>
      <c r="K5" s="5" t="n">
        <f aca="false">C5</f>
        <v>2338.34062144688</v>
      </c>
      <c r="L5" s="5" t="n">
        <f aca="false">Revenue-Cost</f>
        <v>-561.20174914725</v>
      </c>
    </row>
    <row r="6" customFormat="false" ht="13" hidden="false" customHeight="false" outlineLevel="0" collapsed="false">
      <c r="A6" s="2" t="n">
        <v>0</v>
      </c>
      <c r="B6" s="2" t="n">
        <f aca="false">Tau</f>
        <v>0</v>
      </c>
      <c r="C6" s="5" t="n">
        <f aca="false">-EXP(alpha*(Tau+OldTau+zeta))*Beta/(alpha^3*psi^2)</f>
        <v>2338.34062144688</v>
      </c>
      <c r="D6" s="5" t="n">
        <f aca="false">-Phi*EXP(alpha*(Tau+OldTau+zeta))*Beta/(alpha^3*psi^3)</f>
        <v>280.600874573625</v>
      </c>
      <c r="E6" s="5" t="n">
        <f aca="false">EXP(alpha*(Tau+OldTau+zeta))*Theta*Beta/(alpha^2*psi^2)</f>
        <v>187.06724971575</v>
      </c>
      <c r="F6" s="5" t="n">
        <f aca="false">kappa</f>
        <v>90</v>
      </c>
      <c r="G6" s="5" t="n">
        <f aca="false">EXP(alpha*(Tau+OldTau+zeta))*Tau*Beta/(alpha^2*psi^2)</f>
        <v>0</v>
      </c>
      <c r="H6" s="5" t="n">
        <f aca="false">Profit+Utility</f>
        <v>1313.00437286813</v>
      </c>
      <c r="I6" s="5" t="n">
        <f aca="false">G6</f>
        <v>0</v>
      </c>
      <c r="J6" s="5" t="n">
        <f aca="false">F6+2*E6+2*D6</f>
        <v>1025.33624857875</v>
      </c>
      <c r="K6" s="5" t="n">
        <f aca="false">C6</f>
        <v>2338.34062144688</v>
      </c>
      <c r="L6" s="5" t="n">
        <f aca="false">Revenue-Cost</f>
        <v>-1025.33624857875</v>
      </c>
    </row>
    <row r="8" customFormat="false" ht="13" hidden="false" customHeight="false" outlineLevel="0" collapsed="false">
      <c r="C8" s="2" t="s">
        <v>133</v>
      </c>
    </row>
    <row r="9" customFormat="false" ht="13" hidden="false" customHeight="false" outlineLevel="0" collapsed="false">
      <c r="C9" s="2" t="s">
        <v>134</v>
      </c>
      <c r="D9" s="2" t="s">
        <v>31</v>
      </c>
    </row>
    <row r="10" customFormat="false" ht="13" hidden="false" customHeight="false" outlineLevel="0" collapsed="false">
      <c r="A10" s="2" t="s">
        <v>135</v>
      </c>
      <c r="B10" s="2" t="s">
        <v>134</v>
      </c>
      <c r="C10" s="5" t="n">
        <f aca="false">H5</f>
        <v>1777.13887229963</v>
      </c>
      <c r="D10" s="5" t="n">
        <f aca="false">H4</f>
        <v>1191.25180294417</v>
      </c>
      <c r="F10" s="2" t="s">
        <v>136</v>
      </c>
      <c r="G10" s="2" t="s">
        <v>137</v>
      </c>
    </row>
    <row r="11" customFormat="false" ht="13" hidden="false" customHeight="false" outlineLevel="0" collapsed="false">
      <c r="B11" s="2" t="s">
        <v>31</v>
      </c>
      <c r="C11" s="5" t="n">
        <f aca="false">H3</f>
        <v>1477.43659301527</v>
      </c>
      <c r="D11" s="5" t="n">
        <f aca="false">H2</f>
        <v>960.68416235349</v>
      </c>
      <c r="F11" s="2" t="s">
        <v>4</v>
      </c>
      <c r="G11" s="2" t="s">
        <v>3</v>
      </c>
    </row>
    <row r="13" customFormat="false" ht="13" hidden="false" customHeight="false" outlineLevel="0" collapsed="false">
      <c r="A13" s="2" t="s">
        <v>138</v>
      </c>
      <c r="B13" s="2" t="s">
        <v>139</v>
      </c>
      <c r="C13" s="2" t="n">
        <f aca="false">(y-x)/(y-w)</f>
        <v>-0.579972655185256</v>
      </c>
    </row>
    <row r="14" customFormat="false" ht="13" hidden="false" customHeight="false" outlineLevel="0" collapsed="false">
      <c r="A14" s="2" t="s">
        <v>140</v>
      </c>
      <c r="B14" s="2" t="s">
        <v>141</v>
      </c>
      <c r="C14" s="2" t="n">
        <f aca="false">(y-x)/(x-z)</f>
        <v>-0.511535917005406</v>
      </c>
    </row>
    <row r="15" customFormat="false" ht="13" hidden="false" customHeight="false" outlineLevel="0" collapsed="false">
      <c r="A15" s="2" t="s">
        <v>142</v>
      </c>
      <c r="B15" s="2" t="s">
        <v>143</v>
      </c>
      <c r="C15" s="2" t="n">
        <f aca="false">(w-z)/(y-w)</f>
        <v>-0.446185884980561</v>
      </c>
    </row>
    <row r="16" customFormat="false" ht="13" hidden="false" customHeight="false" outlineLevel="0" collapsed="false">
      <c r="A16" s="2" t="s">
        <v>144</v>
      </c>
      <c r="B16" s="2" t="s">
        <v>145</v>
      </c>
      <c r="C16" s="2" t="n">
        <f aca="false">(w-z)/(x-z)</f>
        <v>-0.393535977580693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78"/>
  <sheetViews>
    <sheetView showFormulas="false" showGridLines="true" showRowColHeaders="true" showZeros="true" rightToLeft="false" tabSelected="false" showOutlineSymbols="true" defaultGridColor="true" view="normal" topLeftCell="A57" colorId="64" zoomScale="100" zoomScaleNormal="100" zoomScalePageLayoutView="100" workbookViewId="0">
      <selection pane="topLeft" activeCell="A54" activeCellId="0" sqref="A54:IV54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5.56"/>
    <col collapsed="false" customWidth="true" hidden="false" outlineLevel="0" max="2" min="2" style="2" width="9.85"/>
    <col collapsed="false" customWidth="true" hidden="false" outlineLevel="0" max="3" min="3" style="2" width="9.57"/>
    <col collapsed="false" customWidth="true" hidden="false" outlineLevel="0" max="4" min="4" style="2" width="9.85"/>
    <col collapsed="false" customWidth="true" hidden="false" outlineLevel="0" max="5" min="5" style="2" width="7.42"/>
    <col collapsed="false" customWidth="true" hidden="false" outlineLevel="0" max="6" min="6" style="3" width="7.42"/>
    <col collapsed="false" customWidth="true" hidden="false" outlineLevel="0" max="7" min="7" style="2" width="7.42"/>
    <col collapsed="false" customWidth="true" hidden="false" outlineLevel="0" max="8" min="8" style="2" width="6.85"/>
    <col collapsed="false" customWidth="true" hidden="false" outlineLevel="0" max="9" min="9" style="2" width="10.42"/>
    <col collapsed="false" customWidth="false" hidden="false" outlineLevel="0" max="19" min="10" style="2" width="8.28"/>
    <col collapsed="false" customWidth="true" hidden="false" outlineLevel="0" max="20" min="20" style="2" width="9.99"/>
    <col collapsed="false" customWidth="false" hidden="false" outlineLevel="0" max="21" min="21" style="2" width="8.28"/>
    <col collapsed="false" customWidth="true" hidden="false" outlineLevel="0" max="22" min="22" style="2" width="8.99"/>
    <col collapsed="false" customWidth="true" hidden="false" outlineLevel="0" max="23" min="23" style="2" width="9.13"/>
    <col collapsed="false" customWidth="false" hidden="false" outlineLevel="0" max="257" min="24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D1" s="2" t="s">
        <v>146</v>
      </c>
      <c r="AE1" s="2" t="s">
        <v>147</v>
      </c>
      <c r="AF1" s="2" t="s">
        <v>148</v>
      </c>
      <c r="AG1" s="2" t="s">
        <v>149</v>
      </c>
      <c r="AH1" s="2" t="s">
        <v>150</v>
      </c>
      <c r="AI1" s="2" t="s">
        <v>151</v>
      </c>
    </row>
    <row r="2" customFormat="false" ht="13" hidden="false" customHeight="false" outlineLevel="0" collapsed="false">
      <c r="A2" s="2" t="n">
        <v>0.0259773700248108</v>
      </c>
      <c r="B2" s="2" t="n">
        <f aca="false">Tau</f>
        <v>0.0259773700248108</v>
      </c>
      <c r="C2" s="2" t="n">
        <v>1</v>
      </c>
      <c r="D2" s="2" t="n">
        <v>0</v>
      </c>
      <c r="E2" s="2" t="n">
        <f aca="false">Size-a</f>
        <v>1</v>
      </c>
      <c r="F2" s="4" t="n">
        <f aca="false">(EXP(alpha*(Tau+OldTau+zeta-2*a*psi))*((EXP(alpha*a*psi)-EXP(alpha*b*psi))^2))/((EXP(alpha*a*psi)-EXP(alpha*(2*OldTau+b*psi)))*(alpha^2)*(psi^2))</f>
        <v>1.30853752012921</v>
      </c>
      <c r="G2" s="4" t="n">
        <f aca="false">(EXP(alpha*(zeta+(2*b-a)*psi))*(-1+EXP(alpha*(-1)*Size*psi))*(EXP(alpha*(2*(Tau+OldTau)+a*psi))-EXP(alpha*(2*(Tau+OldTau)+b*psi))))/(((EXP(alpha*a*psi)-EXP(alpha*(2*OldTau+b*psi)))^2)*(alpha^2)*(psi^2))</f>
        <v>5.84709867307041</v>
      </c>
      <c r="H2" s="5" t="n">
        <f aca="false">-Beta/alpha</f>
        <v>180</v>
      </c>
      <c r="I2" s="5" t="n">
        <f aca="false">(-EXP(alpha*zeta)*Beta*(-1+EXP(alpha*Size*psi)-Size*alpha*psi))/((alpha^3)*(psi^2))</f>
        <v>25.0388962482082</v>
      </c>
      <c r="J2" s="5" t="n">
        <f aca="false">Beta*Theta</f>
        <v>14.4</v>
      </c>
      <c r="K2" s="5" t="n">
        <f aca="false">Beta*Theta</f>
        <v>14.4</v>
      </c>
      <c r="L2" s="5" t="n">
        <f aca="false">kappa</f>
        <v>90</v>
      </c>
      <c r="M2" s="5" t="n">
        <f aca="false">Gamma*Size</f>
        <v>0</v>
      </c>
      <c r="N2" s="5" t="n">
        <f aca="false">Size*Beta*Phi</f>
        <v>3.24</v>
      </c>
      <c r="O2" s="5" t="n">
        <f aca="false">-(EXP(alpha*a*psi)+EXP(alpha*b*psi)*(-1+Size*psi*alpha))*(Beta*Phi)/((alpha*psi)*(EXP(alpha*a*psi)-EXP(alpha*b*psi)))</f>
        <v>1.57951517936842</v>
      </c>
      <c r="P2" s="5" t="n">
        <f aca="false">(EXP(alpha*(zeta-a*psi))*Beta*Phi*(-EXP(alpha*a*psi)*(-2+(-1)*Size*alpha*psi)+EXP(alpha*b*psi)*(-2+Size*alpha*psi)))/((alpha^3)*(psi^3))</f>
        <v>0.146515554131081</v>
      </c>
      <c r="Q2" s="5" t="n">
        <f aca="false">Tau*Beta</f>
        <v>4.67592660446595</v>
      </c>
      <c r="R2" s="5" t="n">
        <f aca="false">Tau*Beta</f>
        <v>4.67592660446595</v>
      </c>
      <c r="S2" s="6" t="n">
        <f aca="false">Tau</f>
        <v>0.0259773700248108</v>
      </c>
      <c r="T2" s="5" t="n">
        <f aca="false">Profit+Utility</f>
        <v>8.18696179612607</v>
      </c>
      <c r="U2" s="5" t="n">
        <f aca="false">(2*ij*BRIJ)+2*jj*BRJJ</f>
        <v>66.9184592953231</v>
      </c>
      <c r="V2" s="5" t="n">
        <f aca="false">2*(ij*BCCIJ)+(2*jj*BCCJJ)+BCS+jj*BCPTJJ+2*(ij*BCPTIJ)+BCPTII+BCk</f>
        <v>319.307147370662</v>
      </c>
      <c r="W2" s="5" t="n">
        <f aca="false">ij*BUTIJ+BUTII</f>
        <v>260.575649871465</v>
      </c>
      <c r="X2" s="5" t="n">
        <f aca="false">Revenue-Cost</f>
        <v>-252.388688075339</v>
      </c>
      <c r="Y2" s="5" t="n">
        <f aca="false">Size</f>
        <v>1</v>
      </c>
      <c r="Z2" s="6" t="n">
        <f aca="false">Welfare/(Size)</f>
        <v>8.18696179612607</v>
      </c>
      <c r="AA2" s="6" t="n">
        <f aca="false">Profit/(Size)</f>
        <v>-252.388688075339</v>
      </c>
      <c r="AB2" s="6" t="n">
        <f aca="false">Utility/(Size)</f>
        <v>260.575649871465</v>
      </c>
      <c r="AD2" s="4" t="n">
        <f aca="false">(EXP(alpha*(zeta-2*a*psi))*((EXP(alpha*a*psi)-EXP(alpha*b*psi))^2))/((EXP(alpha*a*psi)-EXP(alpha*(b*psi)))*(alpha^2)*(psi^2))</f>
        <v>1.80951220538235</v>
      </c>
      <c r="AE2" s="4" t="n">
        <f aca="false">(EXP(alpha*(zeta+(2*b-a)*psi))*(-1+EXP(alpha*(-1)*Size*psi))*(EXP(alpha*(a*psi))-EXP(alpha*(b*psi))))/(((EXP(alpha*a*psi)-EXP(alpha*(b*psi)))^2)*(alpha^2)*(psi^2))</f>
        <v>11.1812690248781</v>
      </c>
      <c r="AF2" s="5" t="n">
        <f aca="false">BCS+Taxjj*BCPTJJ+2*(Taxij*BCPTIJ)+BCPTII</f>
        <v>42.0901311860437</v>
      </c>
      <c r="AG2" s="5" t="n">
        <f aca="false">Taxij*BUTIJ+BUTII</f>
        <v>350.751093217031</v>
      </c>
      <c r="AH2" s="2" t="n">
        <f aca="false">TaxCost+TaxUtility</f>
        <v>392.841224403075</v>
      </c>
      <c r="AI2" s="2" t="n">
        <f aca="false">TaxWelfare/Size</f>
        <v>392.841224403075</v>
      </c>
    </row>
    <row r="3" customFormat="false" ht="13" hidden="false" customHeight="false" outlineLevel="0" collapsed="false">
      <c r="A3" s="2" t="n">
        <v>0.034835777430003</v>
      </c>
      <c r="B3" s="2" t="n">
        <f aca="false">Tau</f>
        <v>0.034835777430003</v>
      </c>
      <c r="C3" s="2" t="n">
        <v>2</v>
      </c>
      <c r="D3" s="2" t="n">
        <v>0</v>
      </c>
      <c r="E3" s="2" t="n">
        <f aca="false">Size-a</f>
        <v>2</v>
      </c>
      <c r="F3" s="4" t="n">
        <f aca="false">(EXP(alpha*(Tau+OldTau+zeta-2*a*psi))*((EXP(alpha*a*psi)-EXP(alpha*b*psi))^2))/((EXP(alpha*a*psi)-EXP(alpha*(2*OldTau+b*psi)))*(alpha^2)*(psi^2))</f>
        <v>2.63374226735225</v>
      </c>
      <c r="G3" s="4" t="n">
        <f aca="false">(EXP(alpha*(zeta+(2*b-a)*psi))*(-1+EXP(alpha*(-1)*Size*psi))*(EXP(alpha*(2*(Tau+OldTau)+a*psi))-EXP(alpha*(2*(Tau+OldTau)+b*psi))))/(((EXP(alpha*a*psi)-EXP(alpha*(2*OldTau+b*psi)))^2)*(alpha^2)*(psi^2))</f>
        <v>5.88862636770887</v>
      </c>
      <c r="H3" s="5" t="n">
        <f aca="false">-Beta/alpha</f>
        <v>180</v>
      </c>
      <c r="I3" s="5" t="n">
        <f aca="false">(-EXP(alpha*zeta)*Beta*(-1+EXP(alpha*Size*psi)-Size*alpha*psi))/((alpha^3)*(psi^2))</f>
        <v>95.4469035152439</v>
      </c>
      <c r="J3" s="5" t="n">
        <f aca="false">Beta*Theta</f>
        <v>14.4</v>
      </c>
      <c r="K3" s="5" t="n">
        <f aca="false">Beta*Theta</f>
        <v>14.4</v>
      </c>
      <c r="L3" s="5" t="n">
        <f aca="false">kappa</f>
        <v>90</v>
      </c>
      <c r="M3" s="5" t="n">
        <f aca="false">Gamma*Size</f>
        <v>0</v>
      </c>
      <c r="N3" s="5" t="n">
        <f aca="false">Size*Beta*Phi</f>
        <v>6.48</v>
      </c>
      <c r="O3" s="5" t="n">
        <f aca="false">-(EXP(alpha*a*psi)+EXP(alpha*b*psi)*(-1+Size*psi*alpha))*(Beta*Phi)/((alpha*psi)*(EXP(alpha*a*psi)-EXP(alpha*b*psi)))</f>
        <v>3.07824248045466</v>
      </c>
      <c r="P3" s="5" t="n">
        <f aca="false">(EXP(alpha*(zeta-a*psi))*Beta*Phi*(-EXP(alpha*a*psi)*(-2+(-1)*Size*alpha*psi)+EXP(alpha*b*psi)*(-2+Size*alpha*psi)))/((alpha^3)*(psi^3))</f>
        <v>1.08926665858103</v>
      </c>
      <c r="Q3" s="5" t="n">
        <f aca="false">Tau*Beta</f>
        <v>6.27043993740055</v>
      </c>
      <c r="R3" s="5" t="n">
        <f aca="false">Tau*Beta</f>
        <v>6.27043993740055</v>
      </c>
      <c r="S3" s="6" t="n">
        <f aca="false">Tau</f>
        <v>0.034835777430003</v>
      </c>
      <c r="T3" s="5" t="n">
        <f aca="false">Profit+Utility</f>
        <v>285.492136068764</v>
      </c>
      <c r="U3" s="5" t="n">
        <f aca="false">(2*ij*BRIJ)+2*jj*BRJJ</f>
        <v>106.878001301074</v>
      </c>
      <c r="V3" s="5" t="n">
        <f aca="false">2*(ij*BCCIJ)+(2*jj*BCCJJ)+BCS+jj*BCPTJJ+2*(ij*BCPTIJ)+BCPTII+BCk</f>
        <v>390.90637687096</v>
      </c>
      <c r="W3" s="5" t="n">
        <f aca="false">ij*BUTIJ+BUTII</f>
        <v>569.52051163865</v>
      </c>
      <c r="X3" s="5" t="n">
        <f aca="false">Revenue-Cost</f>
        <v>-284.028375569886</v>
      </c>
      <c r="Y3" s="5" t="n">
        <f aca="false">Size</f>
        <v>2</v>
      </c>
      <c r="Z3" s="6" t="n">
        <f aca="false">Welfare/(Size)</f>
        <v>142.746068034382</v>
      </c>
      <c r="AA3" s="6" t="n">
        <f aca="false">Profit/(Size)</f>
        <v>-142.014187784943</v>
      </c>
      <c r="AB3" s="6" t="n">
        <f aca="false">Utility/(Size)</f>
        <v>284.760255819325</v>
      </c>
      <c r="AD3" s="4" t="n">
        <f aca="false">(EXP(alpha*(zeta-2*a*psi))*((EXP(alpha*a*psi)-EXP(alpha*b*psi))^2))/((EXP(alpha*a*psi)-EXP(alpha*(b*psi)))*(alpha^2)*(psi^2))</f>
        <v>3.36697379399344</v>
      </c>
      <c r="AE3" s="4" t="n">
        <f aca="false">(EXP(alpha*(zeta+(2*b-a)*psi))*(-1+EXP(alpha*(-1)*Size*psi))*(EXP(alpha*(a*psi))-EXP(alpha*(b*psi))))/(((EXP(alpha*a*psi)-EXP(alpha*(b*psi)))^2)*(alpha^2)*(psi^2))</f>
        <v>9.62380743626698</v>
      </c>
      <c r="AF3" s="5" t="n">
        <f aca="false">BCS+Taxjj*BCPTJJ+2*(Taxij*BCPTIJ)+BCPTII</f>
        <v>84.1802623720875</v>
      </c>
      <c r="AG3" s="5" t="n">
        <f aca="false">Taxij*BUTIJ+BUTII</f>
        <v>701.502186434063</v>
      </c>
      <c r="AH3" s="2" t="n">
        <f aca="false">TaxCost+TaxUtility</f>
        <v>785.68244880615</v>
      </c>
      <c r="AI3" s="2" t="n">
        <f aca="false">TaxWelfare/Size</f>
        <v>392.841224403075</v>
      </c>
    </row>
    <row r="4" customFormat="false" ht="13" hidden="false" customHeight="false" outlineLevel="0" collapsed="false">
      <c r="A4" s="2" t="n">
        <v>0.0597198746617749</v>
      </c>
      <c r="B4" s="2" t="n">
        <f aca="false">Tau</f>
        <v>0.0597198746617749</v>
      </c>
      <c r="C4" s="2" t="n">
        <v>5</v>
      </c>
      <c r="D4" s="2" t="n">
        <v>0</v>
      </c>
      <c r="E4" s="2" t="n">
        <f aca="false">Size-a</f>
        <v>5</v>
      </c>
      <c r="F4" s="4" t="n">
        <f aca="false">(EXP(alpha*(Tau+OldTau+zeta-2*a*psi))*((EXP(alpha*a*psi)-EXP(alpha*b*psi))^2))/((EXP(alpha*a*psi)-EXP(alpha*(2*OldTau+b*psi)))*(alpha^2)*(psi^2))</f>
        <v>5.52574773338691</v>
      </c>
      <c r="G4" s="4" t="n">
        <f aca="false">(EXP(alpha*(zeta+(2*b-a)*psi))*(-1+EXP(alpha*(-1)*Size*psi))*(EXP(alpha*(2*(Tau+OldTau)+a*psi))-EXP(alpha*(2*(Tau+OldTau)+b*psi))))/(((EXP(alpha*a*psi)-EXP(alpha*(2*OldTau+b*psi)))^2)*(alpha^2)*(psi^2))</f>
        <v>3.98805685900407</v>
      </c>
      <c r="H4" s="5" t="n">
        <f aca="false">-Beta/alpha</f>
        <v>180</v>
      </c>
      <c r="I4" s="5" t="n">
        <f aca="false">(-EXP(alpha*zeta)*Beta*(-1+EXP(alpha*Size*psi)-Size*alpha*psi))/((alpha^3)*(psi^2))</f>
        <v>519.968743125424</v>
      </c>
      <c r="J4" s="5" t="n">
        <f aca="false">Beta*Theta</f>
        <v>14.4</v>
      </c>
      <c r="K4" s="5" t="n">
        <f aca="false">Beta*Theta</f>
        <v>14.4</v>
      </c>
      <c r="L4" s="5" t="n">
        <f aca="false">kappa</f>
        <v>90</v>
      </c>
      <c r="M4" s="5" t="n">
        <f aca="false">Gamma*Size</f>
        <v>0</v>
      </c>
      <c r="N4" s="5" t="n">
        <f aca="false">Size*Beta*Phi</f>
        <v>16.2</v>
      </c>
      <c r="O4" s="5" t="n">
        <f aca="false">-(EXP(alpha*a*psi)+EXP(alpha*b*psi)*(-1+Size*psi*alpha))*(Beta*Phi)/((alpha*psi)*(EXP(alpha*a*psi)-EXP(alpha*b*psi)))</f>
        <v>7.09686682268204</v>
      </c>
      <c r="P4" s="5" t="n">
        <f aca="false">(EXP(alpha*(zeta-a*psi))*Beta*Phi*(-EXP(alpha*a*psi)*(-2+(-1)*Size*alpha*psi)+EXP(alpha*b*psi)*(-2+Size*alpha*psi)))/((alpha^3)*(psi^3))</f>
        <v>13.7516932837258</v>
      </c>
      <c r="Q4" s="5" t="n">
        <f aca="false">Tau*Beta</f>
        <v>10.7495774391195</v>
      </c>
      <c r="R4" s="5" t="n">
        <f aca="false">Tau*Beta</f>
        <v>10.7495774391195</v>
      </c>
      <c r="S4" s="6" t="n">
        <f aca="false">Tau</f>
        <v>0.0597198746617749</v>
      </c>
      <c r="T4" s="5" t="n">
        <f aca="false">Profit+Utility</f>
        <v>1198.35531536856</v>
      </c>
      <c r="U4" s="5" t="n">
        <f aca="false">(2*ij*BRIJ)+2*jj*BRJJ</f>
        <v>204.538758413115</v>
      </c>
      <c r="V4" s="5" t="n">
        <f aca="false">2*(ij*BCCIJ)+(2*jj*BCCJJ)+BCS+jj*BCPTJJ+2*(ij*BCPTIJ)+BCPTII+BCk</f>
        <v>520.78677817962</v>
      </c>
      <c r="W4" s="5" t="n">
        <f aca="false">ij*BUTIJ+BUTII</f>
        <v>1514.60333513507</v>
      </c>
      <c r="X4" s="5" t="n">
        <f aca="false">Revenue-Cost</f>
        <v>-316.248019766505</v>
      </c>
      <c r="Y4" s="5" t="n">
        <f aca="false">Size</f>
        <v>5</v>
      </c>
      <c r="Z4" s="6" t="n">
        <f aca="false">Welfare/(Size)</f>
        <v>239.671063073712</v>
      </c>
      <c r="AA4" s="6" t="n">
        <f aca="false">Profit/(Size)</f>
        <v>-63.249603953301</v>
      </c>
      <c r="AB4" s="6" t="n">
        <f aca="false">Utility/(Size)</f>
        <v>302.920667027013</v>
      </c>
      <c r="AD4" s="4" t="n">
        <f aca="false">(EXP(alpha*(zeta-2*a*psi))*((EXP(alpha*a*psi)-EXP(alpha*b*psi))^2))/((EXP(alpha*a*psi)-EXP(alpha*(b*psi)))*(alpha^2)*(psi^2))</f>
        <v>6.85437068310963</v>
      </c>
      <c r="AE4" s="4" t="n">
        <f aca="false">(EXP(alpha*(zeta+(2*b-a)*psi))*(-1+EXP(alpha*(-1)*Size*psi))*(EXP(alpha*(a*psi))-EXP(alpha*(b*psi))))/(((EXP(alpha*a*psi)-EXP(alpha*(b*psi)))^2)*(alpha^2)*(psi^2))</f>
        <v>6.13641054715079</v>
      </c>
      <c r="AF4" s="5" t="n">
        <f aca="false">BCS+Taxjj*BCPTJJ+2*(Taxij*BCPTIJ)+BCPTII</f>
        <v>210.450655930219</v>
      </c>
      <c r="AG4" s="5" t="n">
        <f aca="false">Taxij*BUTIJ+BUTII</f>
        <v>1753.75546608516</v>
      </c>
      <c r="AH4" s="2" t="n">
        <f aca="false">TaxCost+TaxUtility</f>
        <v>1964.20612201538</v>
      </c>
      <c r="AI4" s="2" t="n">
        <f aca="false">TaxWelfare/Size</f>
        <v>392.841224403075</v>
      </c>
    </row>
    <row r="5" customFormat="false" ht="13" hidden="false" customHeight="false" outlineLevel="0" collapsed="false">
      <c r="A5" s="2" t="n">
        <v>0.092094559760614</v>
      </c>
      <c r="B5" s="2" t="n">
        <f aca="false">Tau</f>
        <v>0.092094559760614</v>
      </c>
      <c r="C5" s="2" t="n">
        <v>10</v>
      </c>
      <c r="D5" s="2" t="n">
        <v>0</v>
      </c>
      <c r="E5" s="2" t="n">
        <f aca="false">Size-a</f>
        <v>10</v>
      </c>
      <c r="F5" s="4" t="n">
        <f aca="false">(EXP(alpha*(Tau+OldTau+zeta-2*a*psi))*((EXP(alpha*a*psi)-EXP(alpha*b*psi))^2))/((EXP(alpha*a*psi)-EXP(alpha*(2*OldTau+b*psi)))*(alpha^2)*(psi^2))</f>
        <v>8.00753730970439</v>
      </c>
      <c r="G5" s="4" t="n">
        <f aca="false">(EXP(alpha*(zeta+(2*b-a)*psi))*(-1+EXP(alpha*(-1)*Size*psi))*(EXP(alpha*(2*(Tau+OldTau)+a*psi))-EXP(alpha*(2*(Tau+OldTau)+b*psi))))/(((EXP(alpha*a*psi)-EXP(alpha*(2*OldTau+b*psi)))^2)*(alpha^2)*(psi^2))</f>
        <v>1.82483846675435</v>
      </c>
      <c r="H5" s="5" t="n">
        <f aca="false">-Beta/alpha</f>
        <v>180</v>
      </c>
      <c r="I5" s="5" t="n">
        <f aca="false">(-EXP(alpha*zeta)*Beta*(-1+EXP(alpha*Size*psi)-Size*alpha*psi))/((alpha^3)*(psi^2))</f>
        <v>1690.92462806846</v>
      </c>
      <c r="J5" s="5" t="n">
        <f aca="false">Beta*Theta</f>
        <v>14.4</v>
      </c>
      <c r="K5" s="5" t="n">
        <f aca="false">Beta*Theta</f>
        <v>14.4</v>
      </c>
      <c r="L5" s="5" t="n">
        <f aca="false">kappa</f>
        <v>90</v>
      </c>
      <c r="M5" s="5" t="n">
        <f aca="false">Gamma*Size</f>
        <v>0</v>
      </c>
      <c r="N5" s="5" t="n">
        <f aca="false">Size*Beta*Phi</f>
        <v>32.4</v>
      </c>
      <c r="O5" s="5" t="n">
        <f aca="false">-(EXP(alpha*a*psi)+EXP(alpha*b*psi)*(-1+Size*psi*alpha))*(Beta*Phi)/((alpha*psi)*(EXP(alpha*a*psi)-EXP(alpha*b*psi)))</f>
        <v>12.2941718960407</v>
      </c>
      <c r="P5" s="5" t="n">
        <f aca="false">(EXP(alpha*(zeta-a*psi))*Beta*Phi*(-EXP(alpha*a*psi)*(-2+(-1)*Size*alpha*psi)+EXP(alpha*b*psi)*(-2+Size*alpha*psi)))/((alpha^3)*(psi^3))</f>
        <v>78.836375998096</v>
      </c>
      <c r="Q5" s="5" t="n">
        <f aca="false">Tau*Beta</f>
        <v>16.5770207569105</v>
      </c>
      <c r="R5" s="5" t="n">
        <f aca="false">Tau*Beta</f>
        <v>16.5770207569105</v>
      </c>
      <c r="S5" s="6" t="n">
        <f aca="false">Tau</f>
        <v>0.092094559760614</v>
      </c>
      <c r="T5" s="5" t="n">
        <f aca="false">Profit+Utility</f>
        <v>2750.23869350557</v>
      </c>
      <c r="U5" s="5" t="n">
        <f aca="false">(2*ij*BRIJ)+2*jj*BRJJ</f>
        <v>325.982994672201</v>
      </c>
      <c r="V5" s="5" t="n">
        <f aca="false">2*(ij*BCCIJ)+(2*jj*BCCJJ)+BCS+jj*BCPTJJ+2*(ij*BCPTIJ)+BCPTII+BCk</f>
        <v>708.025644981878</v>
      </c>
      <c r="W5" s="5" t="n">
        <f aca="false">ij*BUTIJ+BUTII</f>
        <v>3132.28134381525</v>
      </c>
      <c r="X5" s="5" t="n">
        <f aca="false">Revenue-Cost</f>
        <v>-382.042650309677</v>
      </c>
      <c r="Y5" s="5" t="n">
        <f aca="false">Size</f>
        <v>10</v>
      </c>
      <c r="Z5" s="6" t="n">
        <f aca="false">Welfare/(Size)</f>
        <v>275.023869350557</v>
      </c>
      <c r="AA5" s="6" t="n">
        <f aca="false">Profit/(Size)</f>
        <v>-38.2042650309677</v>
      </c>
      <c r="AB5" s="6" t="n">
        <f aca="false">Utility/(Size)</f>
        <v>313.228134381525</v>
      </c>
      <c r="AD5" s="4" t="n">
        <f aca="false">(EXP(alpha*(zeta-2*a*psi))*((EXP(alpha*a*psi)-EXP(alpha*b*psi))^2))/((EXP(alpha*a*psi)-EXP(alpha*(b*psi)))*(alpha^2)*(psi^2))</f>
        <v>10.0921461338992</v>
      </c>
      <c r="AE5" s="4" t="n">
        <f aca="false">(EXP(alpha*(zeta+(2*b-a)*psi))*(-1+EXP(alpha*(-1)*Size*psi))*(EXP(alpha*(a*psi))-EXP(alpha*(b*psi))))/(((EXP(alpha*a*psi)-EXP(alpha*(b*psi)))^2)*(alpha^2)*(psi^2))</f>
        <v>2.89863509636122</v>
      </c>
      <c r="AF5" s="5" t="n">
        <f aca="false">BCS+Taxjj*BCPTJJ+2*(Taxij*BCPTIJ)+BCPTII</f>
        <v>420.901311860438</v>
      </c>
      <c r="AG5" s="5" t="n">
        <f aca="false">Taxij*BUTIJ+BUTII</f>
        <v>3507.51093217031</v>
      </c>
      <c r="AH5" s="2" t="n">
        <f aca="false">TaxCost+TaxUtility</f>
        <v>3928.41224403075</v>
      </c>
      <c r="AI5" s="2" t="n">
        <f aca="false">TaxWelfare/Size</f>
        <v>392.841224403075</v>
      </c>
    </row>
    <row r="6" customFormat="false" ht="13" hidden="false" customHeight="false" outlineLevel="0" collapsed="false">
      <c r="A6" s="2" t="n">
        <v>0.124035877827598</v>
      </c>
      <c r="B6" s="2" t="n">
        <f aca="false">Tau</f>
        <v>0.124035877827598</v>
      </c>
      <c r="C6" s="2" t="n">
        <v>20</v>
      </c>
      <c r="D6" s="2" t="n">
        <v>0</v>
      </c>
      <c r="E6" s="2" t="n">
        <f aca="false">Size-a</f>
        <v>20</v>
      </c>
      <c r="F6" s="4" t="n">
        <f aca="false">(EXP(alpha*(Tau+OldTau+zeta-2*a*psi))*((EXP(alpha*a*psi)-EXP(alpha*b*psi))^2))/((EXP(alpha*a*psi)-EXP(alpha*(2*OldTau+b*psi)))*(alpha^2)*(psi^2))</f>
        <v>9.52246414972572</v>
      </c>
      <c r="G6" s="4" t="n">
        <f aca="false">(EXP(alpha*(zeta+(2*b-a)*psi))*(-1+EXP(alpha*(-1)*Size*psi))*(EXP(alpha*(2*(Tau+OldTau)+a*psi))-EXP(alpha*(2*(Tau+OldTau)+b*psi))))/(((EXP(alpha*a*psi)-EXP(alpha*(2*OldTau+b*psi)))^2)*(alpha^2)*(psi^2))</f>
        <v>0.384891309033116</v>
      </c>
      <c r="H6" s="5" t="n">
        <f aca="false">-Beta/alpha</f>
        <v>180</v>
      </c>
      <c r="I6" s="5" t="n">
        <f aca="false">(-EXP(alpha*zeta)*Beta*(-1+EXP(alpha*Size*psi)-Size*alpha*psi))/((alpha^3)*(psi^2))</f>
        <v>4793.10036728108</v>
      </c>
      <c r="J6" s="5" t="n">
        <f aca="false">Beta*Theta</f>
        <v>14.4</v>
      </c>
      <c r="K6" s="5" t="n">
        <f aca="false">Beta*Theta</f>
        <v>14.4</v>
      </c>
      <c r="L6" s="5" t="n">
        <f aca="false">kappa</f>
        <v>90</v>
      </c>
      <c r="M6" s="5" t="n">
        <f aca="false">Gamma*Size</f>
        <v>0</v>
      </c>
      <c r="N6" s="5" t="n">
        <f aca="false">Size*Beta*Phi</f>
        <v>64.8</v>
      </c>
      <c r="O6" s="5" t="n">
        <f aca="false">-(EXP(alpha*a*psi)+EXP(alpha*b*psi)*(-1+Size*psi*alpha))*(Beta*Phi)/((alpha*psi)*(EXP(alpha*a*psi)-EXP(alpha*b*psi)))</f>
        <v>18.2047588673666</v>
      </c>
      <c r="P6" s="5" t="n">
        <f aca="false">(EXP(alpha*(zeta-a*psi))*Beta*Phi*(-EXP(alpha*a*psi)*(-2+(-1)*Size*alpha*psi)+EXP(alpha*b*psi)*(-2+Size*alpha*psi)))/((alpha^3)*(psi^3))</f>
        <v>350.452349206022</v>
      </c>
      <c r="Q6" s="5" t="n">
        <f aca="false">Tau*Beta</f>
        <v>22.3264580089677</v>
      </c>
      <c r="R6" s="5" t="n">
        <f aca="false">Tau*Beta</f>
        <v>22.3264580089677</v>
      </c>
      <c r="S6" s="6" t="n">
        <f aca="false">Tau</f>
        <v>0.124035877827598</v>
      </c>
      <c r="T6" s="5" t="n">
        <f aca="false">Profit+Utility</f>
        <v>5852.10275491008</v>
      </c>
      <c r="U6" s="5" t="n">
        <f aca="false">(2*ij*BRIJ)+2*jj*BRJJ</f>
        <v>442.392311259792</v>
      </c>
      <c r="V6" s="5" t="n">
        <f aca="false">2*(ij*BCCIJ)+(2*jj*BCCJJ)+BCS+jj*BCPTJJ+2*(ij*BCPTIJ)+BCPTII+BCk</f>
        <v>1097.43347058142</v>
      </c>
      <c r="W6" s="5" t="n">
        <f aca="false">ij*BUTIJ+BUTII</f>
        <v>6507.14391423171</v>
      </c>
      <c r="X6" s="5" t="n">
        <f aca="false">Revenue-Cost</f>
        <v>-655.041159321631</v>
      </c>
      <c r="Y6" s="5" t="n">
        <f aca="false">Size</f>
        <v>20</v>
      </c>
      <c r="Z6" s="6" t="n">
        <f aca="false">Welfare/(Size)</f>
        <v>292.605137745504</v>
      </c>
      <c r="AA6" s="6" t="n">
        <f aca="false">Profit/(Size)</f>
        <v>-32.7520579660815</v>
      </c>
      <c r="AB6" s="6" t="n">
        <f aca="false">Utility/(Size)</f>
        <v>325.357195711585</v>
      </c>
      <c r="AD6" s="4" t="n">
        <f aca="false">(EXP(alpha*(zeta-2*a*psi))*((EXP(alpha*a*psi)-EXP(alpha*b*psi))^2))/((EXP(alpha*a*psi)-EXP(alpha*(b*psi)))*(alpha^2)*(psi^2))</f>
        <v>12.3440083169975</v>
      </c>
      <c r="AE6" s="4" t="n">
        <f aca="false">(EXP(alpha*(zeta+(2*b-a)*psi))*(-1+EXP(alpha*(-1)*Size*psi))*(EXP(alpha*(a*psi))-EXP(alpha*(b*psi))))/(((EXP(alpha*a*psi)-EXP(alpha*(b*psi)))^2)*(alpha^2)*(psi^2))</f>
        <v>0.646772913262939</v>
      </c>
      <c r="AF6" s="5" t="n">
        <f aca="false">BCS+Taxjj*BCPTJJ+2*(Taxij*BCPTIJ)+BCPTII</f>
        <v>841.802623720875</v>
      </c>
      <c r="AG6" s="5" t="n">
        <f aca="false">Taxij*BUTIJ+BUTII</f>
        <v>7015.02186434063</v>
      </c>
      <c r="AH6" s="2" t="n">
        <f aca="false">TaxCost+TaxUtility</f>
        <v>7856.8244880615</v>
      </c>
      <c r="AI6" s="2" t="n">
        <f aca="false">TaxWelfare/Size</f>
        <v>392.841224403075</v>
      </c>
    </row>
    <row r="7" customFormat="false" ht="13" hidden="false" customHeight="false" outlineLevel="0" collapsed="false">
      <c r="A7" s="2" t="n">
        <v>0.136780050560661</v>
      </c>
      <c r="B7" s="2" t="n">
        <f aca="false">Tau</f>
        <v>0.136780050560661</v>
      </c>
      <c r="C7" s="2" t="n">
        <v>50</v>
      </c>
      <c r="D7" s="2" t="n">
        <v>0</v>
      </c>
      <c r="E7" s="2" t="n">
        <f aca="false">Size-a</f>
        <v>50</v>
      </c>
      <c r="F7" s="4" t="n">
        <f aca="false">(EXP(alpha*(Tau+OldTau+zeta-2*a*psi))*((EXP(alpha*a*psi)-EXP(alpha*b*psi))^2))/((EXP(alpha*a*psi)-EXP(alpha*(2*OldTau+b*psi)))*(alpha^2)*(psi^2))</f>
        <v>9.87488035966467</v>
      </c>
      <c r="G7" s="4" t="n">
        <f aca="false">(EXP(alpha*(zeta+(2*b-a)*psi))*(-1+EXP(alpha*(-1)*Size*psi))*(EXP(alpha*(2*(Tau+OldTau)+a*psi))-EXP(alpha*(2*(Tau+OldTau)+b*psi))))/(((EXP(alpha*a*psi)-EXP(alpha*(2*OldTau+b*psi)))^2)*(alpha^2)*(psi^2))</f>
        <v>0.0041562373193729</v>
      </c>
      <c r="H7" s="5" t="n">
        <f aca="false">-Beta/alpha</f>
        <v>180</v>
      </c>
      <c r="I7" s="5" t="n">
        <f aca="false">(-EXP(alpha*zeta)*Beta*(-1+EXP(alpha*Size*psi)-Size*alpha*psi))/((alpha^3)*(psi^2))</f>
        <v>15200.5073390545</v>
      </c>
      <c r="J7" s="5" t="n">
        <f aca="false">Beta*Theta</f>
        <v>14.4</v>
      </c>
      <c r="K7" s="5" t="n">
        <f aca="false">Beta*Theta</f>
        <v>14.4</v>
      </c>
      <c r="L7" s="5" t="n">
        <f aca="false">kappa</f>
        <v>90</v>
      </c>
      <c r="M7" s="5" t="n">
        <f aca="false">Gamma*Size</f>
        <v>0</v>
      </c>
      <c r="N7" s="5" t="n">
        <f aca="false">Size*Beta*Phi</f>
        <v>162</v>
      </c>
      <c r="O7" s="5" t="n">
        <f aca="false">-(EXP(alpha*a*psi)+EXP(alpha*b*psi)*(-1+Size*psi*alpha))*(Beta*Phi)/((alpha*psi)*(EXP(alpha*a*psi)-EXP(alpha*b*psi)))</f>
        <v>21.5103507484362</v>
      </c>
      <c r="P7" s="5" t="n">
        <f aca="false">(EXP(alpha*(zeta-a*psi))*Beta*Phi*(-EXP(alpha*a*psi)*(-2+(-1)*Size*alpha*psi)+EXP(alpha*b*psi)*(-2+Size*alpha*psi)))/((alpha^3)*(psi^3))</f>
        <v>1544.77917175571</v>
      </c>
      <c r="Q7" s="5" t="n">
        <f aca="false">Tau*Beta</f>
        <v>24.620409100919</v>
      </c>
      <c r="R7" s="5" t="n">
        <f aca="false">Tau*Beta</f>
        <v>24.620409100919</v>
      </c>
      <c r="S7" s="6" t="n">
        <f aca="false">Tau</f>
        <v>0.136780050560661</v>
      </c>
      <c r="T7" s="5" t="n">
        <f aca="false">Profit+Utility</f>
        <v>15119.6446324105</v>
      </c>
      <c r="U7" s="5" t="n">
        <f aca="false">(2*ij*BRIJ)+2*jj*BRJJ</f>
        <v>486.451845081395</v>
      </c>
      <c r="V7" s="5" t="n">
        <f aca="false">2*(ij*BCCIJ)+(2*jj*BCCJJ)+BCS+jj*BCPTJJ+2*(ij*BCPTIJ)+BCPTII+BCk</f>
        <v>2344.79301646506</v>
      </c>
      <c r="W7" s="5" t="n">
        <f aca="false">ij*BUTIJ+BUTII</f>
        <v>16977.9858037941</v>
      </c>
      <c r="X7" s="5" t="n">
        <f aca="false">Revenue-Cost</f>
        <v>-1858.34117138366</v>
      </c>
      <c r="Y7" s="5" t="n">
        <f aca="false">Size</f>
        <v>50</v>
      </c>
      <c r="Z7" s="6" t="n">
        <f aca="false">Welfare/(Size)</f>
        <v>302.392892648209</v>
      </c>
      <c r="AA7" s="6" t="n">
        <f aca="false">Profit/(Size)</f>
        <v>-37.1668234276732</v>
      </c>
      <c r="AB7" s="6" t="n">
        <f aca="false">Utility/(Size)</f>
        <v>339.559716075883</v>
      </c>
      <c r="AD7" s="4" t="n">
        <f aca="false">(EXP(alpha*(zeta-2*a*psi))*((EXP(alpha*a*psi)-EXP(alpha*b*psi))^2))/((EXP(alpha*a*psi)-EXP(alpha*(b*psi)))*(alpha^2)*(psi^2))</f>
        <v>12.983596232206</v>
      </c>
      <c r="AE7" s="4" t="n">
        <f aca="false">(EXP(alpha*(zeta+(2*b-a)*psi))*(-1+EXP(alpha*(-1)*Size*psi))*(EXP(alpha*(a*psi))-EXP(alpha*(b*psi))))/(((EXP(alpha*a*psi)-EXP(alpha*(b*psi)))^2)*(alpha^2)*(psi^2))</f>
        <v>0.00718499805446688</v>
      </c>
      <c r="AF7" s="5" t="n">
        <f aca="false">BCS+Taxjj*BCPTJJ+2*(Taxij*BCPTIJ)+BCPTII</f>
        <v>2104.50655930219</v>
      </c>
      <c r="AG7" s="5" t="n">
        <f aca="false">Taxij*BUTIJ+BUTII</f>
        <v>17537.5546608516</v>
      </c>
      <c r="AH7" s="2" t="n">
        <f aca="false">TaxCost+TaxUtility</f>
        <v>19642.0612201538</v>
      </c>
      <c r="AI7" s="2" t="n">
        <f aca="false">TaxWelfare/Size</f>
        <v>392.841224403075</v>
      </c>
    </row>
    <row r="8" customFormat="false" ht="13" hidden="false" customHeight="false" outlineLevel="0" collapsed="false">
      <c r="A8" s="2" t="n">
        <v>0.136999816369508</v>
      </c>
      <c r="B8" s="2" t="n">
        <f aca="false">Tau</f>
        <v>0.136999816369508</v>
      </c>
      <c r="C8" s="2" t="n">
        <v>100</v>
      </c>
      <c r="D8" s="2" t="n">
        <v>0</v>
      </c>
      <c r="E8" s="2" t="n">
        <f aca="false">Size-a</f>
        <v>100</v>
      </c>
      <c r="F8" s="4" t="n">
        <f aca="false">(EXP(alpha*(Tau+OldTau+zeta-2*a*psi))*((EXP(alpha*a*psi)-EXP(alpha*b*psi))^2))/((EXP(alpha*a*psi)-EXP(alpha*(2*OldTau+b*psi)))*(alpha^2)*(psi^2))</f>
        <v>9.87730753396804</v>
      </c>
      <c r="G8" s="4" t="n">
        <f aca="false">(EXP(alpha*(zeta+(2*b-a)*psi))*(-1+EXP(alpha*(-1)*Size*psi))*(EXP(alpha*(2*(Tau+OldTau)+a*psi))-EXP(alpha*(2*(Tau+OldTau)+b*psi))))/(((EXP(alpha*a*psi)-EXP(alpha*(2*OldTau+b*psi)))^2)*(alpha^2)*(psi^2))</f>
        <v>2.29733812472706E-006</v>
      </c>
      <c r="H8" s="5" t="n">
        <f aca="false">-Beta/alpha</f>
        <v>180</v>
      </c>
      <c r="I8" s="5" t="n">
        <f aca="false">(-EXP(alpha*zeta)*Beta*(-1+EXP(alpha*Size*psi)-Size*alpha*psi))/((alpha^3)*(psi^2))</f>
        <v>32736.7694155601</v>
      </c>
      <c r="J8" s="5" t="n">
        <f aca="false">Beta*Theta</f>
        <v>14.4</v>
      </c>
      <c r="K8" s="5" t="n">
        <f aca="false">Beta*Theta</f>
        <v>14.4</v>
      </c>
      <c r="L8" s="5" t="n">
        <f aca="false">kappa</f>
        <v>90</v>
      </c>
      <c r="M8" s="5" t="n">
        <f aca="false">Gamma*Size</f>
        <v>0</v>
      </c>
      <c r="N8" s="5" t="n">
        <f aca="false">Size*Beta*Phi</f>
        <v>324</v>
      </c>
      <c r="O8" s="5" t="n">
        <f aca="false">-(EXP(alpha*a*psi)+EXP(alpha*b*psi)*(-1+Size*psi*alpha))*(Beta*Phi)/((alpha*psi)*(EXP(alpha*a*psi)-EXP(alpha*b*psi)))</f>
        <v>21.5999008876178</v>
      </c>
      <c r="P8" s="5" t="n">
        <f aca="false">(EXP(alpha*(zeta-a*psi))*Beta*Phi*(-EXP(alpha*a*psi)*(-2+(-1)*Size*alpha*psi)+EXP(alpha*b*psi)*(-2+Size*alpha*psi)))/((alpha^3)*(psi^3))</f>
        <v>3647.81282867692</v>
      </c>
      <c r="Q8" s="5" t="n">
        <f aca="false">Tau*Beta</f>
        <v>24.6599669465115</v>
      </c>
      <c r="R8" s="5" t="n">
        <f aca="false">Tau*Beta</f>
        <v>24.6599669465115</v>
      </c>
      <c r="S8" s="6" t="n">
        <f aca="false">Tau</f>
        <v>0.136999816369508</v>
      </c>
      <c r="T8" s="5" t="n">
        <f aca="false">Profit+Utility</f>
        <v>30552.8552158987</v>
      </c>
      <c r="U8" s="5" t="n">
        <f aca="false">(2*ij*BRIJ)+2*jj*BRJJ</f>
        <v>487.148267920926</v>
      </c>
      <c r="V8" s="5" t="n">
        <f aca="false">2*(ij*BCCIJ)+(2*jj*BCCJJ)+BCS+jj*BCPTJJ+2*(ij*BCPTIJ)+BCPTII+BCk</f>
        <v>4448.97782369655</v>
      </c>
      <c r="W8" s="5" t="n">
        <f aca="false">ij*BUTIJ+BUTII</f>
        <v>34514.6847716743</v>
      </c>
      <c r="X8" s="5" t="n">
        <f aca="false">Revenue-Cost</f>
        <v>-3961.82955577563</v>
      </c>
      <c r="Y8" s="5" t="n">
        <f aca="false">Size</f>
        <v>100</v>
      </c>
      <c r="Z8" s="6" t="n">
        <f aca="false">Welfare/(Size)</f>
        <v>305.528552158987</v>
      </c>
      <c r="AA8" s="6" t="n">
        <f aca="false">Profit/(Size)</f>
        <v>-39.6182955577563</v>
      </c>
      <c r="AB8" s="6" t="n">
        <f aca="false">Utility/(Size)</f>
        <v>345.146847716743</v>
      </c>
      <c r="AD8" s="4" t="n">
        <f aca="false">(EXP(alpha*(zeta-2*a*psi))*((EXP(alpha*a*psi)-EXP(alpha*b*psi))^2))/((EXP(alpha*a*psi)-EXP(alpha*(b*psi)))*(alpha^2)*(psi^2))</f>
        <v>12.9907772563503</v>
      </c>
      <c r="AE8" s="4" t="n">
        <f aca="false">(EXP(alpha*(zeta+(2*b-a)*psi))*(-1+EXP(alpha*(-1)*Size*psi))*(EXP(alpha*(a*psi))-EXP(alpha*(b*psi))))/(((EXP(alpha*a*psi)-EXP(alpha*(b*psi)))^2)*(alpha^2)*(psi^2))</f>
        <v>3.97391012346822E-006</v>
      </c>
      <c r="AF8" s="5" t="n">
        <f aca="false">BCS+Taxjj*BCPTJJ+2*(Taxij*BCPTIJ)+BCPTII</f>
        <v>4209.01311860438</v>
      </c>
      <c r="AG8" s="5" t="n">
        <f aca="false">Taxij*BUTIJ+BUTII</f>
        <v>35075.1093217031</v>
      </c>
      <c r="AH8" s="2" t="n">
        <f aca="false">TaxCost+TaxUtility</f>
        <v>39284.1224403075</v>
      </c>
      <c r="AI8" s="2" t="n">
        <f aca="false">TaxWelfare/Size</f>
        <v>392.841224403075</v>
      </c>
    </row>
    <row r="9" customFormat="false" ht="13" hidden="false" customHeight="false" outlineLevel="0" collapsed="false">
      <c r="A9" s="2" t="n">
        <v>0.137000547533634</v>
      </c>
      <c r="B9" s="2" t="n">
        <f aca="false">Tau</f>
        <v>0.137000547533634</v>
      </c>
      <c r="C9" s="2" t="n">
        <v>200</v>
      </c>
      <c r="D9" s="2" t="n">
        <v>0</v>
      </c>
      <c r="E9" s="2" t="n">
        <f aca="false">Size-a</f>
        <v>200</v>
      </c>
      <c r="F9" s="4" t="n">
        <f aca="false">(EXP(alpha*(Tau+OldTau+zeta-2*a*psi))*((EXP(alpha*a*psi)-EXP(alpha*b*psi))^2))/((EXP(alpha*a*psi)-EXP(alpha*(2*OldTau+b*psi)))*(alpha^2)*(psi^2))</f>
        <v>9.87729683575249</v>
      </c>
      <c r="G9" s="4" t="n">
        <f aca="false">(EXP(alpha*(zeta+(2*b-a)*psi))*(-1+EXP(alpha*(-1)*Size*psi))*(EXP(alpha*(2*(Tau+OldTau)+a*psi))-EXP(alpha*(2*(Tau+OldTau)+b*psi))))/(((EXP(alpha*a*psi)-EXP(alpha*(2*OldTau+b*psi)))^2)*(alpha^2)*(psi^2))</f>
        <v>7.02759111045014E-013</v>
      </c>
      <c r="H9" s="5" t="n">
        <f aca="false">-Beta/alpha</f>
        <v>180</v>
      </c>
      <c r="I9" s="5" t="n">
        <f aca="false">(-EXP(alpha*zeta)*Beta*(-1+EXP(alpha*Size*psi)-Size*alpha*psi))/((alpha^3)*(psi^2))</f>
        <v>67811.8780219596</v>
      </c>
      <c r="J9" s="5" t="n">
        <f aca="false">Beta*Theta</f>
        <v>14.4</v>
      </c>
      <c r="K9" s="5" t="n">
        <f aca="false">Beta*Theta</f>
        <v>14.4</v>
      </c>
      <c r="L9" s="5" t="n">
        <f aca="false">kappa</f>
        <v>90</v>
      </c>
      <c r="M9" s="5" t="n">
        <f aca="false">Gamma*Size</f>
        <v>0</v>
      </c>
      <c r="N9" s="5" t="n">
        <f aca="false">Size*Beta*Phi</f>
        <v>648</v>
      </c>
      <c r="O9" s="5" t="n">
        <f aca="false">-(EXP(alpha*a*psi)+EXP(alpha*b*psi)*(-1+Size*psi*alpha))*(Beta*Phi)/((alpha*psi)*(EXP(alpha*a*psi)-EXP(alpha*b*psi)))</f>
        <v>21.5999999999394</v>
      </c>
      <c r="P9" s="5" t="n">
        <f aca="false">(EXP(alpha*(zeta-a*psi))*Beta*Phi*(-EXP(alpha*a*psi)*(-2+(-1)*Size*alpha*psi)+EXP(alpha*b*psi)*(-2+Size*alpha*psi)))/((alpha^3)*(psi^3))</f>
        <v>7856.82448806234</v>
      </c>
      <c r="Q9" s="5" t="n">
        <f aca="false">Tau*Beta</f>
        <v>24.6600985560541</v>
      </c>
      <c r="R9" s="5" t="n">
        <f aca="false">Tau*Beta</f>
        <v>24.6600985560541</v>
      </c>
      <c r="S9" s="6" t="n">
        <f aca="false">Tau</f>
        <v>0.137000547533634</v>
      </c>
      <c r="T9" s="5" t="n">
        <f aca="false">Profit+Utility</f>
        <v>61418.9518190334</v>
      </c>
      <c r="U9" s="5" t="n">
        <f aca="false">(2*ij*BRIJ)+2*jj*BRJJ</f>
        <v>487.150226874151</v>
      </c>
      <c r="V9" s="5" t="n">
        <f aca="false">2*(ij*BCCIJ)+(2*jj*BCCJJ)+BCS+jj*BCPTJJ+2*(ij*BCPTIJ)+BCPTII+BCk</f>
        <v>8657.9898602358</v>
      </c>
      <c r="W9" s="5" t="n">
        <f aca="false">ij*BUTIJ+BUTII</f>
        <v>69589.7914523951</v>
      </c>
      <c r="X9" s="5" t="n">
        <f aca="false">Revenue-Cost</f>
        <v>-8170.83963336165</v>
      </c>
      <c r="Y9" s="5" t="n">
        <f aca="false">Size</f>
        <v>200</v>
      </c>
      <c r="Z9" s="6" t="n">
        <f aca="false">Welfare/(Size)</f>
        <v>307.094759095167</v>
      </c>
      <c r="AA9" s="6" t="n">
        <f aca="false">Profit/(Size)</f>
        <v>-40.8541981668082</v>
      </c>
      <c r="AB9" s="6" t="n">
        <f aca="false">Utility/(Size)</f>
        <v>347.948957261975</v>
      </c>
      <c r="AD9" s="4" t="n">
        <f aca="false">(EXP(alpha*(zeta-2*a*psi))*((EXP(alpha*a*psi)-EXP(alpha*b*psi))^2))/((EXP(alpha*a*psi)-EXP(alpha*(b*psi)))*(alpha^2)*(psi^2))</f>
        <v>12.9907812302592</v>
      </c>
      <c r="AE9" s="4" t="n">
        <f aca="false">(EXP(alpha*(zeta+(2*b-a)*psi))*(-1+EXP(alpha*(-1)*Size*psi))*(EXP(alpha*(a*psi))-EXP(alpha*(b*psi))))/(((EXP(alpha*a*psi)-EXP(alpha*(b*psi)))^2)*(alpha^2)*(psi^2))</f>
        <v>1.21562832823463E-012</v>
      </c>
      <c r="AF9" s="5" t="n">
        <f aca="false">BCS+Taxjj*BCPTJJ+2*(Taxij*BCPTIJ)+BCPTII</f>
        <v>8418.02623720875</v>
      </c>
      <c r="AG9" s="5" t="n">
        <f aca="false">Taxij*BUTIJ+BUTII</f>
        <v>70150.2186434063</v>
      </c>
      <c r="AH9" s="2" t="n">
        <f aca="false">TaxCost+TaxUtility</f>
        <v>78568.244880615</v>
      </c>
      <c r="AI9" s="2" t="n">
        <f aca="false">TaxWelfare/Size</f>
        <v>392.841224403075</v>
      </c>
    </row>
    <row r="10" customFormat="false" ht="13" hidden="false" customHeight="false" outlineLevel="0" collapsed="false">
      <c r="A10" s="2" t="n">
        <v>0.137000547533634</v>
      </c>
      <c r="B10" s="2" t="n">
        <f aca="false">Tau</f>
        <v>0.137000547533634</v>
      </c>
      <c r="C10" s="2" t="n">
        <v>500</v>
      </c>
      <c r="D10" s="2" t="n">
        <v>0</v>
      </c>
      <c r="E10" s="2" t="n">
        <f aca="false">Size-a</f>
        <v>500</v>
      </c>
      <c r="F10" s="4" t="n">
        <f aca="false">(EXP(alpha*(Tau+OldTau+zeta-2*a*psi))*((EXP(alpha*a*psi)-EXP(alpha*b*psi))^2))/((EXP(alpha*a*psi)-EXP(alpha*(2*OldTau+b*psi)))*(alpha^2)*(psi^2))</f>
        <v>9.87729683575363</v>
      </c>
      <c r="G10" s="4" t="n">
        <f aca="false">(EXP(alpha*(zeta+(2*b-a)*psi))*(-1+EXP(alpha*(-1)*Size*psi))*(EXP(alpha*(2*(Tau+OldTau)+a*psi))-EXP(alpha*(2*(Tau+OldTau)+b*psi))))/(((EXP(alpha*a*psi)-EXP(alpha*(2*OldTau+b*psi)))^2)*(alpha^2)*(psi^2))</f>
        <v>2.01166101301683E-032</v>
      </c>
      <c r="H10" s="5" t="n">
        <f aca="false">-Beta/alpha</f>
        <v>180</v>
      </c>
      <c r="I10" s="5" t="n">
        <f aca="false">(-EXP(alpha*zeta)*Beta*(-1+EXP(alpha*Size*psi)-Size*alpha*psi))/((alpha^3)*(psi^2))</f>
        <v>173037.205987069</v>
      </c>
      <c r="J10" s="5" t="n">
        <f aca="false">Beta*Theta</f>
        <v>14.4</v>
      </c>
      <c r="K10" s="5" t="n">
        <f aca="false">Beta*Theta</f>
        <v>14.4</v>
      </c>
      <c r="L10" s="5" t="n">
        <f aca="false">kappa</f>
        <v>90</v>
      </c>
      <c r="M10" s="5" t="n">
        <f aca="false">Gamma*Size</f>
        <v>0</v>
      </c>
      <c r="N10" s="5" t="n">
        <f aca="false">Size*Beta*Phi</f>
        <v>1620</v>
      </c>
      <c r="O10" s="5" t="n">
        <f aca="false">-(EXP(alpha*a*psi)+EXP(alpha*b*psi)*(-1+Size*psi*alpha))*(Beta*Phi)/((alpha*psi)*(EXP(alpha*a*psi)-EXP(alpha*b*psi)))</f>
        <v>21.6</v>
      </c>
      <c r="P10" s="5" t="n">
        <f aca="false">(EXP(alpha*(zeta-a*psi))*Beta*Phi*(-EXP(alpha*a*psi)*(-2+(-1)*Size*alpha*psi)+EXP(alpha*b*psi)*(-2+Size*alpha*psi)))/((alpha^3)*(psi^3))</f>
        <v>20483.8638438746</v>
      </c>
      <c r="Q10" s="5" t="n">
        <f aca="false">Tau*Beta</f>
        <v>24.6600985560541</v>
      </c>
      <c r="R10" s="5" t="n">
        <f aca="false">Tau*Beta</f>
        <v>24.6600985560541</v>
      </c>
      <c r="S10" s="6" t="n">
        <f aca="false">Tau</f>
        <v>0.137000547533634</v>
      </c>
      <c r="T10" s="5" t="n">
        <f aca="false">Profit+Utility</f>
        <v>154017.24042833</v>
      </c>
      <c r="U10" s="5" t="n">
        <f aca="false">(2*ij*BRIJ)+2*jj*BRJJ</f>
        <v>487.150226874173</v>
      </c>
      <c r="V10" s="5" t="n">
        <f aca="false">2*(ij*BCCIJ)+(2*jj*BCCJJ)+BCS+jj*BCPTJJ+2*(ij*BCPTIJ)+BCPTII+BCk</f>
        <v>21285.0292160489</v>
      </c>
      <c r="W10" s="5" t="n">
        <f aca="false">ij*BUTIJ+BUTII</f>
        <v>174815.119417504</v>
      </c>
      <c r="X10" s="5" t="n">
        <f aca="false">Revenue-Cost</f>
        <v>-20797.8789891747</v>
      </c>
      <c r="Y10" s="5" t="n">
        <f aca="false">Size</f>
        <v>500</v>
      </c>
      <c r="Z10" s="6" t="n">
        <f aca="false">Welfare/(Size)</f>
        <v>308.034480856659</v>
      </c>
      <c r="AA10" s="6" t="n">
        <f aca="false">Profit/(Size)</f>
        <v>-41.5957579783494</v>
      </c>
      <c r="AB10" s="6" t="n">
        <f aca="false">Utility/(Size)</f>
        <v>349.630238835009</v>
      </c>
      <c r="AD10" s="4" t="n">
        <f aca="false">(EXP(alpha*(zeta-2*a*psi))*((EXP(alpha*a*psi)-EXP(alpha*b*psi))^2))/((EXP(alpha*a*psi)-EXP(alpha*(b*psi)))*(alpha^2)*(psi^2))</f>
        <v>12.9907812302604</v>
      </c>
      <c r="AE10" s="4" t="n">
        <f aca="false">(EXP(alpha*(zeta+(2*b-a)*psi))*(-1+EXP(alpha*(-1)*Size*psi))*(EXP(alpha*(a*psi))-EXP(alpha*(b*psi))))/(((EXP(alpha*a*psi)-EXP(alpha*(b*psi)))^2)*(alpha^2)*(psi^2))</f>
        <v>3.47975867661385E-032</v>
      </c>
      <c r="AF10" s="5" t="n">
        <f aca="false">BCS+Taxjj*BCPTJJ+2*(Taxij*BCPTIJ)+BCPTII</f>
        <v>21045.0655930219</v>
      </c>
      <c r="AG10" s="5" t="n">
        <f aca="false">Taxij*BUTIJ+BUTII</f>
        <v>175375.546608516</v>
      </c>
      <c r="AH10" s="2" t="n">
        <f aca="false">TaxCost+TaxUtility</f>
        <v>196420.612201538</v>
      </c>
      <c r="AI10" s="2" t="n">
        <f aca="false">TaxWelfare/Size</f>
        <v>392.841224403075</v>
      </c>
    </row>
    <row r="11" customFormat="false" ht="13" hidden="false" customHeight="false" outlineLevel="0" collapsed="false">
      <c r="A11" s="2" t="n">
        <v>0.137000547533634</v>
      </c>
      <c r="B11" s="2" t="n">
        <f aca="false">Tau</f>
        <v>0.137000547533634</v>
      </c>
      <c r="C11" s="2" t="n">
        <v>1000</v>
      </c>
      <c r="D11" s="2" t="n">
        <v>0</v>
      </c>
      <c r="E11" s="2" t="n">
        <f aca="false">Size-a</f>
        <v>1000</v>
      </c>
      <c r="F11" s="4" t="n">
        <f aca="false">(EXP(alpha*(Tau+OldTau+zeta-2*a*psi))*((EXP(alpha*a*psi)-EXP(alpha*b*psi))^2))/((EXP(alpha*a*psi)-EXP(alpha*(2*OldTau+b*psi)))*(alpha^2)*(psi^2))</f>
        <v>9.87729683575363</v>
      </c>
      <c r="G11" s="4" t="n">
        <f aca="false">(EXP(alpha*(zeta+(2*b-a)*psi))*(-1+EXP(alpha*(-1)*Size*psi))*(EXP(alpha*(2*(Tau+OldTau)+a*psi))-EXP(alpha*(2*(Tau+OldTau)+b*psi))))/(((EXP(alpha*a*psi)-EXP(alpha*(2*OldTau+b*psi)))^2)*(alpha^2)*(psi^2))</f>
        <v>5.38850954409502E-065</v>
      </c>
      <c r="H11" s="5" t="n">
        <f aca="false">-Beta/alpha</f>
        <v>180</v>
      </c>
      <c r="I11" s="5" t="n">
        <f aca="false">(-EXP(alpha*zeta)*Beta*(-1+EXP(alpha*Size*psi)-Size*alpha*psi))/((alpha^3)*(psi^2))</f>
        <v>348412.752595584</v>
      </c>
      <c r="J11" s="5" t="n">
        <f aca="false">Beta*Theta</f>
        <v>14.4</v>
      </c>
      <c r="K11" s="5" t="n">
        <f aca="false">Beta*Theta</f>
        <v>14.4</v>
      </c>
      <c r="L11" s="5" t="n">
        <f aca="false">kappa</f>
        <v>90</v>
      </c>
      <c r="M11" s="5" t="n">
        <f aca="false">Gamma*Size</f>
        <v>0</v>
      </c>
      <c r="N11" s="5" t="n">
        <f aca="false">Size*Beta*Phi</f>
        <v>3240</v>
      </c>
      <c r="O11" s="5" t="n">
        <f aca="false">-(EXP(alpha*a*psi)+EXP(alpha*b*psi)*(-1+Size*psi*alpha))*(Beta*Phi)/((alpha*psi)*(EXP(alpha*a*psi)-EXP(alpha*b*psi)))</f>
        <v>21.6</v>
      </c>
      <c r="P11" s="5" t="n">
        <f aca="false">(EXP(alpha*(zeta-a*psi))*Beta*Phi*(-EXP(alpha*a*psi)*(-2+(-1)*Size*alpha*psi)+EXP(alpha*b*psi)*(-2+Size*alpha*psi)))/((alpha^3)*(psi^3))</f>
        <v>41528.9294368965</v>
      </c>
      <c r="Q11" s="5" t="n">
        <f aca="false">Tau*Beta</f>
        <v>24.6600985560541</v>
      </c>
      <c r="R11" s="5" t="n">
        <f aca="false">Tau*Beta</f>
        <v>24.6600985560541</v>
      </c>
      <c r="S11" s="6" t="n">
        <f aca="false">Tau</f>
        <v>0.137000547533634</v>
      </c>
      <c r="T11" s="5" t="n">
        <f aca="false">Profit+Utility</f>
        <v>308347.721443824</v>
      </c>
      <c r="U11" s="5" t="n">
        <f aca="false">(2*ij*BRIJ)+2*jj*BRJJ</f>
        <v>487.150226874173</v>
      </c>
      <c r="V11" s="5" t="n">
        <f aca="false">2*(ij*BCCIJ)+(2*jj*BCCJJ)+BCS+jj*BCPTJJ+2*(ij*BCPTIJ)+BCPTII+BCk</f>
        <v>42330.0948090708</v>
      </c>
      <c r="W11" s="5" t="n">
        <f aca="false">ij*BUTIJ+BUTII</f>
        <v>350190.66602602</v>
      </c>
      <c r="X11" s="5" t="n">
        <f aca="false">Revenue-Cost</f>
        <v>-41842.9445821966</v>
      </c>
      <c r="Y11" s="5" t="n">
        <f aca="false">Size</f>
        <v>1000</v>
      </c>
      <c r="Z11" s="6" t="n">
        <f aca="false">Welfare/(Size)</f>
        <v>308.347721443824</v>
      </c>
      <c r="AA11" s="6" t="n">
        <f aca="false">Profit/(Size)</f>
        <v>-41.8429445821966</v>
      </c>
      <c r="AB11" s="6" t="n">
        <f aca="false">Utility/(Size)</f>
        <v>350.19066602602</v>
      </c>
      <c r="AD11" s="4" t="n">
        <f aca="false">(EXP(alpha*(zeta-2*a*psi))*((EXP(alpha*a*psi)-EXP(alpha*b*psi))^2))/((EXP(alpha*a*psi)-EXP(alpha*(b*psi)))*(alpha^2)*(psi^2))</f>
        <v>12.9907812302604</v>
      </c>
      <c r="AE11" s="4" t="n">
        <f aca="false">(EXP(alpha*(zeta+(2*b-a)*psi))*(-1+EXP(alpha*(-1)*Size*psi))*(EXP(alpha*(a*psi))-EXP(alpha*(b*psi))))/(((EXP(alpha*a*psi)-EXP(alpha*(b*psi)))^2)*(alpha^2)*(psi^2))</f>
        <v>9.32101020934996E-065</v>
      </c>
      <c r="AF11" s="5" t="n">
        <f aca="false">BCS+Taxjj*BCPTJJ+2*(Taxij*BCPTIJ)+BCPTII</f>
        <v>42090.1311860438</v>
      </c>
      <c r="AG11" s="5" t="n">
        <f aca="false">Taxij*BUTIJ+BUTII</f>
        <v>350751.093217031</v>
      </c>
      <c r="AH11" s="2" t="n">
        <f aca="false">TaxCost+TaxUtility</f>
        <v>392841.224403075</v>
      </c>
      <c r="AI11" s="2" t="n">
        <f aca="false">TaxWelfare/Size</f>
        <v>392.841224403075</v>
      </c>
    </row>
    <row r="12" customFormat="false" ht="13" hidden="false" customHeight="false" outlineLevel="0" collapsed="false"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5"/>
      <c r="U12" s="5"/>
      <c r="V12" s="5"/>
      <c r="W12" s="5"/>
      <c r="X12" s="5"/>
      <c r="Y12" s="5"/>
      <c r="Z12" s="6"/>
      <c r="AA12" s="6"/>
      <c r="AB12" s="6"/>
      <c r="AD12" s="4"/>
      <c r="AE12" s="4"/>
      <c r="AF12" s="5"/>
      <c r="AG12" s="5"/>
    </row>
    <row r="13" customFormat="false" ht="13" hidden="false" customHeight="false" outlineLevel="0" collapsed="false">
      <c r="A13" s="8" t="s">
        <v>152</v>
      </c>
      <c r="F13" s="2"/>
    </row>
    <row r="14" customFormat="false" ht="13" hidden="false" customHeight="false" outlineLevel="0" collapsed="false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17</v>
      </c>
      <c r="F14" s="3" t="s">
        <v>18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27</v>
      </c>
      <c r="P14" s="2" t="s">
        <v>28</v>
      </c>
      <c r="Q14" s="2" t="s">
        <v>29</v>
      </c>
      <c r="R14" s="2" t="s">
        <v>30</v>
      </c>
      <c r="S14" s="2" t="s">
        <v>31</v>
      </c>
      <c r="T14" s="2" t="s">
        <v>32</v>
      </c>
      <c r="U14" s="2" t="s">
        <v>33</v>
      </c>
      <c r="V14" s="2" t="s">
        <v>34</v>
      </c>
      <c r="W14" s="2" t="s">
        <v>35</v>
      </c>
      <c r="X14" s="2" t="s">
        <v>36</v>
      </c>
      <c r="Y14" s="2" t="s">
        <v>37</v>
      </c>
      <c r="Z14" s="2" t="s">
        <v>38</v>
      </c>
      <c r="AA14" s="2" t="s">
        <v>39</v>
      </c>
      <c r="AB14" s="2" t="s">
        <v>40</v>
      </c>
      <c r="AF14" s="2" t="s">
        <v>148</v>
      </c>
      <c r="AG14" s="2" t="s">
        <v>149</v>
      </c>
      <c r="AH14" s="2" t="s">
        <v>150</v>
      </c>
      <c r="AI14" s="2" t="s">
        <v>151</v>
      </c>
    </row>
    <row r="15" customFormat="false" ht="13" hidden="false" customHeight="false" outlineLevel="0" collapsed="false">
      <c r="A15" s="2" t="n">
        <v>0.0259773700248108</v>
      </c>
      <c r="B15" s="2" t="n">
        <f aca="false">Tau</f>
        <v>0.0259773700248108</v>
      </c>
      <c r="C15" s="2" t="n">
        <v>1</v>
      </c>
      <c r="D15" s="2" t="n">
        <v>0</v>
      </c>
      <c r="E15" s="2" t="n">
        <f aca="false">Size-a</f>
        <v>1</v>
      </c>
      <c r="F15" s="4" t="n">
        <f aca="false">(EXP(alpha*(Tau+OldTau+zeta-2*a*psi))*((EXP(alpha*a*psi)-EXP(alpha*b*psi))^2))/((EXP(alpha*a*psi)-EXP(alpha*(2*OldTau+b*psi)))*(alpha^2)*(psi^2))</f>
        <v>1.30853752012921</v>
      </c>
      <c r="G15" s="4" t="n">
        <f aca="false">(EXP(alpha*(zeta+(2*b-a)*psi))*(-1+EXP(alpha*(-1)*Size*psi))*(EXP(alpha*(2*(Tau+OldTau)+a*psi))-EXP(alpha*(2*(Tau+OldTau)+b*psi))))/(((EXP(alpha*a*psi)-EXP(alpha*(2*OldTau+b*psi)))^2)*(alpha^2)*(psi^2))</f>
        <v>5.84709867307041</v>
      </c>
      <c r="H15" s="5" t="n">
        <f aca="false">-Beta/alpha</f>
        <v>180</v>
      </c>
      <c r="I15" s="5" t="n">
        <f aca="false">(-EXP(alpha*zeta)*Beta*(-1+EXP(alpha*Size*psi)-Size*alpha*psi))/((alpha^3)*(psi^2))</f>
        <v>25.0388962482082</v>
      </c>
      <c r="J15" s="5" t="n">
        <f aca="false">Beta*Theta</f>
        <v>14.4</v>
      </c>
      <c r="K15" s="5" t="n">
        <f aca="false">Beta*Theta</f>
        <v>14.4</v>
      </c>
      <c r="L15" s="5" t="n">
        <v>0</v>
      </c>
      <c r="M15" s="5" t="n">
        <f aca="false">Gamma*Size</f>
        <v>0</v>
      </c>
      <c r="N15" s="5" t="n">
        <f aca="false">Size*Beta*Phi</f>
        <v>3.24</v>
      </c>
      <c r="O15" s="5" t="n">
        <f aca="false">-(EXP(alpha*a*psi)+EXP(alpha*b*psi)*(-1+Size*psi*alpha))*(Beta*Phi)/((alpha*psi)*(EXP(alpha*a*psi)-EXP(alpha*b*psi)))</f>
        <v>1.57951517936842</v>
      </c>
      <c r="P15" s="5" t="n">
        <f aca="false">(EXP(alpha*(zeta-a*psi))*Beta*Phi*(-EXP(alpha*a*psi)*(-2+(-1)*Size*alpha*psi)+EXP(alpha*b*psi)*(-2+Size*alpha*psi)))/((alpha^3)*(psi^3))</f>
        <v>0.146515554131081</v>
      </c>
      <c r="Q15" s="5" t="n">
        <f aca="false">Tau*Beta</f>
        <v>4.67592660446595</v>
      </c>
      <c r="R15" s="5" t="n">
        <f aca="false">Tau*Beta</f>
        <v>4.67592660446595</v>
      </c>
      <c r="S15" s="6" t="n">
        <f aca="false">Tau</f>
        <v>0.0259773700248108</v>
      </c>
      <c r="T15" s="5" t="n">
        <f aca="false">Profit+Utility</f>
        <v>98.186961796126</v>
      </c>
      <c r="U15" s="5" t="n">
        <f aca="false">(2*ij*BRIJ)+2*jj*BRJJ</f>
        <v>66.9184592953231</v>
      </c>
      <c r="V15" s="5" t="n">
        <f aca="false">2*(ij*BCCIJ)+(2*jj*BCCJJ)+BCS+jj*BCPTJJ+2*(ij*BCPTIJ)+BCPTII+BCk</f>
        <v>229.307147370662</v>
      </c>
      <c r="W15" s="5" t="n">
        <f aca="false">ij*BUTIJ+BUTII</f>
        <v>260.575649871465</v>
      </c>
      <c r="X15" s="5" t="n">
        <f aca="false">Revenue-Cost</f>
        <v>-162.388688075339</v>
      </c>
      <c r="Y15" s="5" t="n">
        <f aca="false">Size</f>
        <v>1</v>
      </c>
      <c r="Z15" s="6" t="n">
        <f aca="false">Welfare/(Size)</f>
        <v>98.186961796126</v>
      </c>
      <c r="AA15" s="6" t="n">
        <f aca="false">Profit/(Size)</f>
        <v>-162.388688075339</v>
      </c>
      <c r="AB15" s="6" t="n">
        <f aca="false">Utility/(Size)</f>
        <v>260.575649871465</v>
      </c>
      <c r="AD15" s="4" t="n">
        <f aca="false">(EXP(alpha*(zeta-2*a*psi))*((EXP(alpha*a*psi)-EXP(alpha*b*psi))^2))/((EXP(alpha*a*psi)-EXP(alpha*(b*psi)))*(alpha^2)*(psi^2))</f>
        <v>1.80951220538235</v>
      </c>
      <c r="AE15" s="4" t="n">
        <f aca="false">(EXP(alpha*(zeta+(2*b-a)*psi))*(-1+EXP(alpha*(-1)*Size*psi))*(EXP(alpha*(a*psi))-EXP(alpha*(b*psi))))/(((EXP(alpha*a*psi)-EXP(alpha*(b*psi)))^2)*(alpha^2)*(psi^2))</f>
        <v>11.1812690248781</v>
      </c>
      <c r="AF15" s="5" t="n">
        <f aca="false">BCS+Taxjj*BCPTJJ+2*(Taxij*BCPTIJ)+BCPTII</f>
        <v>42.0901311860437</v>
      </c>
      <c r="AG15" s="5" t="n">
        <f aca="false">Taxij*BUTIJ+BUTII</f>
        <v>350.751093217031</v>
      </c>
      <c r="AH15" s="2" t="n">
        <f aca="false">TaxCost+TaxUtility</f>
        <v>392.841224403075</v>
      </c>
      <c r="AI15" s="2" t="n">
        <f aca="false">TaxWelfare/Size</f>
        <v>392.841224403075</v>
      </c>
    </row>
    <row r="16" customFormat="false" ht="13" hidden="false" customHeight="false" outlineLevel="0" collapsed="false">
      <c r="A16" s="2" t="n">
        <v>0.034835777430003</v>
      </c>
      <c r="B16" s="2" t="n">
        <f aca="false">Tau</f>
        <v>0.034835777430003</v>
      </c>
      <c r="C16" s="2" t="n">
        <v>2</v>
      </c>
      <c r="D16" s="2" t="n">
        <v>0</v>
      </c>
      <c r="E16" s="2" t="n">
        <f aca="false">Size-a</f>
        <v>2</v>
      </c>
      <c r="F16" s="4" t="n">
        <f aca="false">(EXP(alpha*(Tau+OldTau+zeta-2*a*psi))*((EXP(alpha*a*psi)-EXP(alpha*b*psi))^2))/((EXP(alpha*a*psi)-EXP(alpha*(2*OldTau+b*psi)))*(alpha^2)*(psi^2))</f>
        <v>2.63374226735225</v>
      </c>
      <c r="G16" s="4" t="n">
        <f aca="false">(EXP(alpha*(zeta+(2*b-a)*psi))*(-1+EXP(alpha*(-1)*Size*psi))*(EXP(alpha*(2*(Tau+OldTau)+a*psi))-EXP(alpha*(2*(Tau+OldTau)+b*psi))))/(((EXP(alpha*a*psi)-EXP(alpha*(2*OldTau+b*psi)))^2)*(alpha^2)*(psi^2))</f>
        <v>5.88862636770887</v>
      </c>
      <c r="H16" s="5" t="n">
        <f aca="false">-Beta/alpha</f>
        <v>180</v>
      </c>
      <c r="I16" s="5" t="n">
        <f aca="false">(-EXP(alpha*zeta)*Beta*(-1+EXP(alpha*Size*psi)-Size*alpha*psi))/((alpha^3)*(psi^2))</f>
        <v>95.4469035152439</v>
      </c>
      <c r="J16" s="5" t="n">
        <f aca="false">Beta*Theta</f>
        <v>14.4</v>
      </c>
      <c r="K16" s="5" t="n">
        <f aca="false">Beta*Theta</f>
        <v>14.4</v>
      </c>
      <c r="L16" s="5" t="n">
        <v>0</v>
      </c>
      <c r="M16" s="5" t="n">
        <f aca="false">Gamma*Size</f>
        <v>0</v>
      </c>
      <c r="N16" s="5" t="n">
        <f aca="false">Size*Beta*Phi</f>
        <v>6.48</v>
      </c>
      <c r="O16" s="5" t="n">
        <f aca="false">-(EXP(alpha*a*psi)+EXP(alpha*b*psi)*(-1+Size*psi*alpha))*(Beta*Phi)/((alpha*psi)*(EXP(alpha*a*psi)-EXP(alpha*b*psi)))</f>
        <v>3.07824248045466</v>
      </c>
      <c r="P16" s="5" t="n">
        <f aca="false">(EXP(alpha*(zeta-a*psi))*Beta*Phi*(-EXP(alpha*a*psi)*(-2+(-1)*Size*alpha*psi)+EXP(alpha*b*psi)*(-2+Size*alpha*psi)))/((alpha^3)*(psi^3))</f>
        <v>1.08926665858103</v>
      </c>
      <c r="Q16" s="5" t="n">
        <f aca="false">Tau*Beta</f>
        <v>6.27043993740055</v>
      </c>
      <c r="R16" s="5" t="n">
        <f aca="false">Tau*Beta</f>
        <v>6.27043993740055</v>
      </c>
      <c r="S16" s="6" t="n">
        <f aca="false">Tau</f>
        <v>0.034835777430003</v>
      </c>
      <c r="T16" s="5" t="n">
        <f aca="false">Profit+Utility</f>
        <v>375.492136068764</v>
      </c>
      <c r="U16" s="5" t="n">
        <f aca="false">(2*ij*BRIJ)+2*jj*BRJJ</f>
        <v>106.878001301074</v>
      </c>
      <c r="V16" s="5" t="n">
        <f aca="false">2*(ij*BCCIJ)+(2*jj*BCCJJ)+BCS+jj*BCPTJJ+2*(ij*BCPTIJ)+BCPTII+BCk</f>
        <v>300.90637687096</v>
      </c>
      <c r="W16" s="5" t="n">
        <f aca="false">ij*BUTIJ+BUTII</f>
        <v>569.52051163865</v>
      </c>
      <c r="X16" s="5" t="n">
        <f aca="false">Revenue-Cost</f>
        <v>-194.028375569886</v>
      </c>
      <c r="Y16" s="5" t="n">
        <f aca="false">Size</f>
        <v>2</v>
      </c>
      <c r="Z16" s="6" t="n">
        <f aca="false">Welfare/(Size)</f>
        <v>187.746068034382</v>
      </c>
      <c r="AA16" s="6" t="n">
        <f aca="false">Profit/(Size)</f>
        <v>-97.0141877849431</v>
      </c>
      <c r="AB16" s="6" t="n">
        <f aca="false">Utility/(Size)</f>
        <v>284.760255819325</v>
      </c>
      <c r="AD16" s="4" t="n">
        <f aca="false">(EXP(alpha*(zeta-2*a*psi))*((EXP(alpha*a*psi)-EXP(alpha*b*psi))^2))/((EXP(alpha*a*psi)-EXP(alpha*(b*psi)))*(alpha^2)*(psi^2))</f>
        <v>3.36697379399344</v>
      </c>
      <c r="AE16" s="4" t="n">
        <f aca="false">(EXP(alpha*(zeta+(2*b-a)*psi))*(-1+EXP(alpha*(-1)*Size*psi))*(EXP(alpha*(a*psi))-EXP(alpha*(b*psi))))/(((EXP(alpha*a*psi)-EXP(alpha*(b*psi)))^2)*(alpha^2)*(psi^2))</f>
        <v>9.62380743626698</v>
      </c>
      <c r="AF16" s="5" t="n">
        <f aca="false">BCS+Taxjj*BCPTJJ+2*(Taxij*BCPTIJ)+BCPTII</f>
        <v>84.1802623720875</v>
      </c>
      <c r="AG16" s="5" t="n">
        <f aca="false">Taxij*BUTIJ+BUTII</f>
        <v>701.502186434063</v>
      </c>
      <c r="AH16" s="2" t="n">
        <f aca="false">TaxCost+TaxUtility</f>
        <v>785.68244880615</v>
      </c>
      <c r="AI16" s="2" t="n">
        <f aca="false">TaxWelfare/Size</f>
        <v>392.841224403075</v>
      </c>
    </row>
    <row r="17" customFormat="false" ht="13" hidden="false" customHeight="false" outlineLevel="0" collapsed="false">
      <c r="A17" s="2" t="n">
        <v>0.0597198746617749</v>
      </c>
      <c r="B17" s="2" t="n">
        <f aca="false">Tau</f>
        <v>0.0597198746617749</v>
      </c>
      <c r="C17" s="2" t="n">
        <v>5</v>
      </c>
      <c r="D17" s="2" t="n">
        <v>0</v>
      </c>
      <c r="E17" s="2" t="n">
        <f aca="false">Size-a</f>
        <v>5</v>
      </c>
      <c r="F17" s="4" t="n">
        <f aca="false">(EXP(alpha*(Tau+OldTau+zeta-2*a*psi))*((EXP(alpha*a*psi)-EXP(alpha*b*psi))^2))/((EXP(alpha*a*psi)-EXP(alpha*(2*OldTau+b*psi)))*(alpha^2)*(psi^2))</f>
        <v>5.52574773338691</v>
      </c>
      <c r="G17" s="4" t="n">
        <f aca="false">(EXP(alpha*(zeta+(2*b-a)*psi))*(-1+EXP(alpha*(-1)*Size*psi))*(EXP(alpha*(2*(Tau+OldTau)+a*psi))-EXP(alpha*(2*(Tau+OldTau)+b*psi))))/(((EXP(alpha*a*psi)-EXP(alpha*(2*OldTau+b*psi)))^2)*(alpha^2)*(psi^2))</f>
        <v>3.98805685900407</v>
      </c>
      <c r="H17" s="5" t="n">
        <f aca="false">-Beta/alpha</f>
        <v>180</v>
      </c>
      <c r="I17" s="5" t="n">
        <f aca="false">(-EXP(alpha*zeta)*Beta*(-1+EXP(alpha*Size*psi)-Size*alpha*psi))/((alpha^3)*(psi^2))</f>
        <v>519.968743125424</v>
      </c>
      <c r="J17" s="5" t="n">
        <f aca="false">Beta*Theta</f>
        <v>14.4</v>
      </c>
      <c r="K17" s="5" t="n">
        <f aca="false">Beta*Theta</f>
        <v>14.4</v>
      </c>
      <c r="L17" s="5" t="n">
        <v>0</v>
      </c>
      <c r="M17" s="5" t="n">
        <f aca="false">Gamma*Size</f>
        <v>0</v>
      </c>
      <c r="N17" s="5" t="n">
        <f aca="false">Size*Beta*Phi</f>
        <v>16.2</v>
      </c>
      <c r="O17" s="5" t="n">
        <f aca="false">-(EXP(alpha*a*psi)+EXP(alpha*b*psi)*(-1+Size*psi*alpha))*(Beta*Phi)/((alpha*psi)*(EXP(alpha*a*psi)-EXP(alpha*b*psi)))</f>
        <v>7.09686682268204</v>
      </c>
      <c r="P17" s="5" t="n">
        <f aca="false">(EXP(alpha*(zeta-a*psi))*Beta*Phi*(-EXP(alpha*a*psi)*(-2+(-1)*Size*alpha*psi)+EXP(alpha*b*psi)*(-2+Size*alpha*psi)))/((alpha^3)*(psi^3))</f>
        <v>13.7516932837258</v>
      </c>
      <c r="Q17" s="5" t="n">
        <f aca="false">Tau*Beta</f>
        <v>10.7495774391195</v>
      </c>
      <c r="R17" s="5" t="n">
        <f aca="false">Tau*Beta</f>
        <v>10.7495774391195</v>
      </c>
      <c r="S17" s="6" t="n">
        <f aca="false">Tau</f>
        <v>0.0597198746617749</v>
      </c>
      <c r="T17" s="5" t="n">
        <f aca="false">Profit+Utility</f>
        <v>1288.35531536856</v>
      </c>
      <c r="U17" s="5" t="n">
        <f aca="false">(2*ij*BRIJ)+2*jj*BRJJ</f>
        <v>204.538758413115</v>
      </c>
      <c r="V17" s="5" t="n">
        <f aca="false">2*(ij*BCCIJ)+(2*jj*BCCJJ)+BCS+jj*BCPTJJ+2*(ij*BCPTIJ)+BCPTII+BCk</f>
        <v>430.78677817962</v>
      </c>
      <c r="W17" s="5" t="n">
        <f aca="false">ij*BUTIJ+BUTII</f>
        <v>1514.60333513507</v>
      </c>
      <c r="X17" s="5" t="n">
        <f aca="false">Revenue-Cost</f>
        <v>-226.248019766505</v>
      </c>
      <c r="Y17" s="5" t="n">
        <f aca="false">Size</f>
        <v>5</v>
      </c>
      <c r="Z17" s="6" t="n">
        <f aca="false">Welfare/(Size)</f>
        <v>257.671063073712</v>
      </c>
      <c r="AA17" s="6" t="n">
        <f aca="false">Profit/(Size)</f>
        <v>-45.249603953301</v>
      </c>
      <c r="AB17" s="6" t="n">
        <f aca="false">Utility/(Size)</f>
        <v>302.920667027013</v>
      </c>
      <c r="AD17" s="4" t="n">
        <f aca="false">(EXP(alpha*(zeta-2*a*psi))*((EXP(alpha*a*psi)-EXP(alpha*b*psi))^2))/((EXP(alpha*a*psi)-EXP(alpha*(b*psi)))*(alpha^2)*(psi^2))</f>
        <v>6.85437068310963</v>
      </c>
      <c r="AE17" s="4" t="n">
        <f aca="false">(EXP(alpha*(zeta+(2*b-a)*psi))*(-1+EXP(alpha*(-1)*Size*psi))*(EXP(alpha*(a*psi))-EXP(alpha*(b*psi))))/(((EXP(alpha*a*psi)-EXP(alpha*(b*psi)))^2)*(alpha^2)*(psi^2))</f>
        <v>6.13641054715079</v>
      </c>
      <c r="AF17" s="5" t="n">
        <f aca="false">BCS+Taxjj*BCPTJJ+2*(Taxij*BCPTIJ)+BCPTII</f>
        <v>210.450655930219</v>
      </c>
      <c r="AG17" s="5" t="n">
        <f aca="false">Taxij*BUTIJ+BUTII</f>
        <v>1753.75546608516</v>
      </c>
      <c r="AH17" s="2" t="n">
        <f aca="false">TaxCost+TaxUtility</f>
        <v>1964.20612201538</v>
      </c>
      <c r="AI17" s="2" t="n">
        <f aca="false">TaxWelfare/Size</f>
        <v>392.841224403075</v>
      </c>
    </row>
    <row r="18" customFormat="false" ht="13" hidden="false" customHeight="false" outlineLevel="0" collapsed="false">
      <c r="A18" s="2" t="n">
        <v>0.092094559760614</v>
      </c>
      <c r="B18" s="2" t="n">
        <f aca="false">Tau</f>
        <v>0.092094559760614</v>
      </c>
      <c r="C18" s="2" t="n">
        <v>10</v>
      </c>
      <c r="D18" s="2" t="n">
        <v>0</v>
      </c>
      <c r="E18" s="2" t="n">
        <f aca="false">Size-a</f>
        <v>10</v>
      </c>
      <c r="F18" s="4" t="n">
        <f aca="false">(EXP(alpha*(Tau+OldTau+zeta-2*a*psi))*((EXP(alpha*a*psi)-EXP(alpha*b*psi))^2))/((EXP(alpha*a*psi)-EXP(alpha*(2*OldTau+b*psi)))*(alpha^2)*(psi^2))</f>
        <v>8.00753730970439</v>
      </c>
      <c r="G18" s="4" t="n">
        <f aca="false">(EXP(alpha*(zeta+(2*b-a)*psi))*(-1+EXP(alpha*(-1)*Size*psi))*(EXP(alpha*(2*(Tau+OldTau)+a*psi))-EXP(alpha*(2*(Tau+OldTau)+b*psi))))/(((EXP(alpha*a*psi)-EXP(alpha*(2*OldTau+b*psi)))^2)*(alpha^2)*(psi^2))</f>
        <v>1.82483846675435</v>
      </c>
      <c r="H18" s="5" t="n">
        <f aca="false">-Beta/alpha</f>
        <v>180</v>
      </c>
      <c r="I18" s="5" t="n">
        <f aca="false">(-EXP(alpha*zeta)*Beta*(-1+EXP(alpha*Size*psi)-Size*alpha*psi))/((alpha^3)*(psi^2))</f>
        <v>1690.92462806846</v>
      </c>
      <c r="J18" s="5" t="n">
        <f aca="false">Beta*Theta</f>
        <v>14.4</v>
      </c>
      <c r="K18" s="5" t="n">
        <f aca="false">Beta*Theta</f>
        <v>14.4</v>
      </c>
      <c r="L18" s="5" t="n">
        <v>0</v>
      </c>
      <c r="M18" s="5" t="n">
        <f aca="false">Gamma*Size</f>
        <v>0</v>
      </c>
      <c r="N18" s="5" t="n">
        <f aca="false">Size*Beta*Phi</f>
        <v>32.4</v>
      </c>
      <c r="O18" s="5" t="n">
        <f aca="false">-(EXP(alpha*a*psi)+EXP(alpha*b*psi)*(-1+Size*psi*alpha))*(Beta*Phi)/((alpha*psi)*(EXP(alpha*a*psi)-EXP(alpha*b*psi)))</f>
        <v>12.2941718960407</v>
      </c>
      <c r="P18" s="5" t="n">
        <f aca="false">(EXP(alpha*(zeta-a*psi))*Beta*Phi*(-EXP(alpha*a*psi)*(-2+(-1)*Size*alpha*psi)+EXP(alpha*b*psi)*(-2+Size*alpha*psi)))/((alpha^3)*(psi^3))</f>
        <v>78.836375998096</v>
      </c>
      <c r="Q18" s="5" t="n">
        <f aca="false">Tau*Beta</f>
        <v>16.5770207569105</v>
      </c>
      <c r="R18" s="5" t="n">
        <f aca="false">Tau*Beta</f>
        <v>16.5770207569105</v>
      </c>
      <c r="S18" s="6" t="n">
        <f aca="false">Tau</f>
        <v>0.092094559760614</v>
      </c>
      <c r="T18" s="5" t="n">
        <f aca="false">Profit+Utility</f>
        <v>2840.23869350557</v>
      </c>
      <c r="U18" s="5" t="n">
        <f aca="false">(2*ij*BRIJ)+2*jj*BRJJ</f>
        <v>325.982994672201</v>
      </c>
      <c r="V18" s="5" t="n">
        <f aca="false">2*(ij*BCCIJ)+(2*jj*BCCJJ)+BCS+jj*BCPTJJ+2*(ij*BCPTIJ)+BCPTII+BCk</f>
        <v>618.025644981878</v>
      </c>
      <c r="W18" s="5" t="n">
        <f aca="false">ij*BUTIJ+BUTII</f>
        <v>3132.28134381525</v>
      </c>
      <c r="X18" s="5" t="n">
        <f aca="false">Revenue-Cost</f>
        <v>-292.042650309677</v>
      </c>
      <c r="Y18" s="5" t="n">
        <f aca="false">Size</f>
        <v>10</v>
      </c>
      <c r="Z18" s="6" t="n">
        <f aca="false">Welfare/(Size)</f>
        <v>284.023869350557</v>
      </c>
      <c r="AA18" s="6" t="n">
        <f aca="false">Profit/(Size)</f>
        <v>-29.2042650309677</v>
      </c>
      <c r="AB18" s="6" t="n">
        <f aca="false">Utility/(Size)</f>
        <v>313.228134381525</v>
      </c>
      <c r="AD18" s="4" t="n">
        <f aca="false">(EXP(alpha*(zeta-2*a*psi))*((EXP(alpha*a*psi)-EXP(alpha*b*psi))^2))/((EXP(alpha*a*psi)-EXP(alpha*(b*psi)))*(alpha^2)*(psi^2))</f>
        <v>10.0921461338992</v>
      </c>
      <c r="AE18" s="4" t="n">
        <f aca="false">(EXP(alpha*(zeta+(2*b-a)*psi))*(-1+EXP(alpha*(-1)*Size*psi))*(EXP(alpha*(a*psi))-EXP(alpha*(b*psi))))/(((EXP(alpha*a*psi)-EXP(alpha*(b*psi)))^2)*(alpha^2)*(psi^2))</f>
        <v>2.89863509636122</v>
      </c>
      <c r="AF18" s="5" t="n">
        <f aca="false">BCS+Taxjj*BCPTJJ+2*(Taxij*BCPTIJ)+BCPTII</f>
        <v>420.901311860438</v>
      </c>
      <c r="AG18" s="5" t="n">
        <f aca="false">Taxij*BUTIJ+BUTII</f>
        <v>3507.51093217031</v>
      </c>
      <c r="AH18" s="2" t="n">
        <f aca="false">TaxCost+TaxUtility</f>
        <v>3928.41224403075</v>
      </c>
      <c r="AI18" s="2" t="n">
        <f aca="false">TaxWelfare/Size</f>
        <v>392.841224403075</v>
      </c>
    </row>
    <row r="19" customFormat="false" ht="13" hidden="false" customHeight="false" outlineLevel="0" collapsed="false">
      <c r="A19" s="2" t="n">
        <v>0.124035877827598</v>
      </c>
      <c r="B19" s="2" t="n">
        <f aca="false">Tau</f>
        <v>0.124035877827598</v>
      </c>
      <c r="C19" s="2" t="n">
        <v>20</v>
      </c>
      <c r="D19" s="2" t="n">
        <v>0</v>
      </c>
      <c r="E19" s="2" t="n">
        <f aca="false">Size-a</f>
        <v>20</v>
      </c>
      <c r="F19" s="4" t="n">
        <f aca="false">(EXP(alpha*(Tau+OldTau+zeta-2*a*psi))*((EXP(alpha*a*psi)-EXP(alpha*b*psi))^2))/((EXP(alpha*a*psi)-EXP(alpha*(2*OldTau+b*psi)))*(alpha^2)*(psi^2))</f>
        <v>9.52246414972572</v>
      </c>
      <c r="G19" s="4" t="n">
        <f aca="false">(EXP(alpha*(zeta+(2*b-a)*psi))*(-1+EXP(alpha*(-1)*Size*psi))*(EXP(alpha*(2*(Tau+OldTau)+a*psi))-EXP(alpha*(2*(Tau+OldTau)+b*psi))))/(((EXP(alpha*a*psi)-EXP(alpha*(2*OldTau+b*psi)))^2)*(alpha^2)*(psi^2))</f>
        <v>0.384891309033116</v>
      </c>
      <c r="H19" s="5" t="n">
        <f aca="false">-Beta/alpha</f>
        <v>180</v>
      </c>
      <c r="I19" s="5" t="n">
        <f aca="false">(-EXP(alpha*zeta)*Beta*(-1+EXP(alpha*Size*psi)-Size*alpha*psi))/((alpha^3)*(psi^2))</f>
        <v>4793.10036728108</v>
      </c>
      <c r="J19" s="5" t="n">
        <f aca="false">Beta*Theta</f>
        <v>14.4</v>
      </c>
      <c r="K19" s="5" t="n">
        <f aca="false">Beta*Theta</f>
        <v>14.4</v>
      </c>
      <c r="L19" s="5" t="n">
        <v>0</v>
      </c>
      <c r="M19" s="5" t="n">
        <f aca="false">Gamma*Size</f>
        <v>0</v>
      </c>
      <c r="N19" s="5" t="n">
        <f aca="false">Size*Beta*Phi</f>
        <v>64.8</v>
      </c>
      <c r="O19" s="5" t="n">
        <f aca="false">-(EXP(alpha*a*psi)+EXP(alpha*b*psi)*(-1+Size*psi*alpha))*(Beta*Phi)/((alpha*psi)*(EXP(alpha*a*psi)-EXP(alpha*b*psi)))</f>
        <v>18.2047588673666</v>
      </c>
      <c r="P19" s="5" t="n">
        <f aca="false">(EXP(alpha*(zeta-a*psi))*Beta*Phi*(-EXP(alpha*a*psi)*(-2+(-1)*Size*alpha*psi)+EXP(alpha*b*psi)*(-2+Size*alpha*psi)))/((alpha^3)*(psi^3))</f>
        <v>350.452349206022</v>
      </c>
      <c r="Q19" s="5" t="n">
        <f aca="false">Tau*Beta</f>
        <v>22.3264580089677</v>
      </c>
      <c r="R19" s="5" t="n">
        <f aca="false">Tau*Beta</f>
        <v>22.3264580089677</v>
      </c>
      <c r="S19" s="6" t="n">
        <f aca="false">Tau</f>
        <v>0.124035877827598</v>
      </c>
      <c r="T19" s="5" t="n">
        <f aca="false">Profit+Utility</f>
        <v>5942.10275491008</v>
      </c>
      <c r="U19" s="5" t="n">
        <f aca="false">(2*ij*BRIJ)+2*jj*BRJJ</f>
        <v>442.392311259792</v>
      </c>
      <c r="V19" s="5" t="n">
        <f aca="false">2*(ij*BCCIJ)+(2*jj*BCCJJ)+BCS+jj*BCPTJJ+2*(ij*BCPTIJ)+BCPTII+BCk</f>
        <v>1007.43347058142</v>
      </c>
      <c r="W19" s="5" t="n">
        <f aca="false">ij*BUTIJ+BUTII</f>
        <v>6507.14391423171</v>
      </c>
      <c r="X19" s="5" t="n">
        <f aca="false">Revenue-Cost</f>
        <v>-565.041159321631</v>
      </c>
      <c r="Y19" s="5" t="n">
        <f aca="false">Size</f>
        <v>20</v>
      </c>
      <c r="Z19" s="6" t="n">
        <f aca="false">Welfare/(Size)</f>
        <v>297.105137745504</v>
      </c>
      <c r="AA19" s="6" t="n">
        <f aca="false">Profit/(Size)</f>
        <v>-28.2520579660815</v>
      </c>
      <c r="AB19" s="6" t="n">
        <f aca="false">Utility/(Size)</f>
        <v>325.357195711585</v>
      </c>
      <c r="AD19" s="4" t="n">
        <f aca="false">(EXP(alpha*(zeta-2*a*psi))*((EXP(alpha*a*psi)-EXP(alpha*b*psi))^2))/((EXP(alpha*a*psi)-EXP(alpha*(b*psi)))*(alpha^2)*(psi^2))</f>
        <v>12.3440083169975</v>
      </c>
      <c r="AE19" s="4" t="n">
        <f aca="false">(EXP(alpha*(zeta+(2*b-a)*psi))*(-1+EXP(alpha*(-1)*Size*psi))*(EXP(alpha*(a*psi))-EXP(alpha*(b*psi))))/(((EXP(alpha*a*psi)-EXP(alpha*(b*psi)))^2)*(alpha^2)*(psi^2))</f>
        <v>0.646772913262939</v>
      </c>
      <c r="AF19" s="5" t="n">
        <f aca="false">BCS+Taxjj*BCPTJJ+2*(Taxij*BCPTIJ)+BCPTII</f>
        <v>841.802623720875</v>
      </c>
      <c r="AG19" s="5" t="n">
        <f aca="false">Taxij*BUTIJ+BUTII</f>
        <v>7015.02186434063</v>
      </c>
      <c r="AH19" s="2" t="n">
        <f aca="false">TaxCost+TaxUtility</f>
        <v>7856.8244880615</v>
      </c>
      <c r="AI19" s="2" t="n">
        <f aca="false">TaxWelfare/Size</f>
        <v>392.841224403075</v>
      </c>
    </row>
    <row r="20" customFormat="false" ht="13" hidden="false" customHeight="false" outlineLevel="0" collapsed="false">
      <c r="A20" s="2" t="n">
        <v>0.136780050560661</v>
      </c>
      <c r="B20" s="2" t="n">
        <f aca="false">Tau</f>
        <v>0.136780050560661</v>
      </c>
      <c r="C20" s="2" t="n">
        <v>50</v>
      </c>
      <c r="D20" s="2" t="n">
        <v>0</v>
      </c>
      <c r="E20" s="2" t="n">
        <f aca="false">Size-a</f>
        <v>50</v>
      </c>
      <c r="F20" s="4" t="n">
        <f aca="false">(EXP(alpha*(Tau+OldTau+zeta-2*a*psi))*((EXP(alpha*a*psi)-EXP(alpha*b*psi))^2))/((EXP(alpha*a*psi)-EXP(alpha*(2*OldTau+b*psi)))*(alpha^2)*(psi^2))</f>
        <v>9.87488035966467</v>
      </c>
      <c r="G20" s="4" t="n">
        <f aca="false">(EXP(alpha*(zeta+(2*b-a)*psi))*(-1+EXP(alpha*(-1)*Size*psi))*(EXP(alpha*(2*(Tau+OldTau)+a*psi))-EXP(alpha*(2*(Tau+OldTau)+b*psi))))/(((EXP(alpha*a*psi)-EXP(alpha*(2*OldTau+b*psi)))^2)*(alpha^2)*(psi^2))</f>
        <v>0.0041562373193729</v>
      </c>
      <c r="H20" s="5" t="n">
        <f aca="false">-Beta/alpha</f>
        <v>180</v>
      </c>
      <c r="I20" s="5" t="n">
        <f aca="false">(-EXP(alpha*zeta)*Beta*(-1+EXP(alpha*Size*psi)-Size*alpha*psi))/((alpha^3)*(psi^2))</f>
        <v>15200.5073390545</v>
      </c>
      <c r="J20" s="5" t="n">
        <f aca="false">Beta*Theta</f>
        <v>14.4</v>
      </c>
      <c r="K20" s="5" t="n">
        <f aca="false">Beta*Theta</f>
        <v>14.4</v>
      </c>
      <c r="L20" s="5" t="n">
        <v>0</v>
      </c>
      <c r="M20" s="5" t="n">
        <f aca="false">Gamma*Size</f>
        <v>0</v>
      </c>
      <c r="N20" s="5" t="n">
        <f aca="false">Size*Beta*Phi</f>
        <v>162</v>
      </c>
      <c r="O20" s="5" t="n">
        <f aca="false">-(EXP(alpha*a*psi)+EXP(alpha*b*psi)*(-1+Size*psi*alpha))*(Beta*Phi)/((alpha*psi)*(EXP(alpha*a*psi)-EXP(alpha*b*psi)))</f>
        <v>21.5103507484362</v>
      </c>
      <c r="P20" s="5" t="n">
        <f aca="false">(EXP(alpha*(zeta-a*psi))*Beta*Phi*(-EXP(alpha*a*psi)*(-2+(-1)*Size*alpha*psi)+EXP(alpha*b*psi)*(-2+Size*alpha*psi)))/((alpha^3)*(psi^3))</f>
        <v>1544.77917175571</v>
      </c>
      <c r="Q20" s="5" t="n">
        <f aca="false">Tau*Beta</f>
        <v>24.620409100919</v>
      </c>
      <c r="R20" s="5" t="n">
        <f aca="false">Tau*Beta</f>
        <v>24.620409100919</v>
      </c>
      <c r="S20" s="6" t="n">
        <f aca="false">Tau</f>
        <v>0.136780050560661</v>
      </c>
      <c r="T20" s="5" t="n">
        <f aca="false">Profit+Utility</f>
        <v>15209.6446324105</v>
      </c>
      <c r="U20" s="5" t="n">
        <f aca="false">(2*ij*BRIJ)+2*jj*BRJJ</f>
        <v>486.451845081395</v>
      </c>
      <c r="V20" s="5" t="n">
        <f aca="false">2*(ij*BCCIJ)+(2*jj*BCCJJ)+BCS+jj*BCPTJJ+2*(ij*BCPTIJ)+BCPTII+BCk</f>
        <v>2254.79301646506</v>
      </c>
      <c r="W20" s="5" t="n">
        <f aca="false">ij*BUTIJ+BUTII</f>
        <v>16977.9858037941</v>
      </c>
      <c r="X20" s="5" t="n">
        <f aca="false">Revenue-Cost</f>
        <v>-1768.34117138366</v>
      </c>
      <c r="Y20" s="5" t="n">
        <f aca="false">Size</f>
        <v>50</v>
      </c>
      <c r="Z20" s="6" t="n">
        <f aca="false">Welfare/(Size)</f>
        <v>304.192892648209</v>
      </c>
      <c r="AA20" s="6" t="n">
        <f aca="false">Profit/(Size)</f>
        <v>-35.3668234276732</v>
      </c>
      <c r="AB20" s="6" t="n">
        <f aca="false">Utility/(Size)</f>
        <v>339.559716075883</v>
      </c>
      <c r="AD20" s="4" t="n">
        <f aca="false">(EXP(alpha*(zeta-2*a*psi))*((EXP(alpha*a*psi)-EXP(alpha*b*psi))^2))/((EXP(alpha*a*psi)-EXP(alpha*(b*psi)))*(alpha^2)*(psi^2))</f>
        <v>12.983596232206</v>
      </c>
      <c r="AE20" s="4" t="n">
        <f aca="false">(EXP(alpha*(zeta+(2*b-a)*psi))*(-1+EXP(alpha*(-1)*Size*psi))*(EXP(alpha*(a*psi))-EXP(alpha*(b*psi))))/(((EXP(alpha*a*psi)-EXP(alpha*(b*psi)))^2)*(alpha^2)*(psi^2))</f>
        <v>0.00718499805446688</v>
      </c>
      <c r="AF20" s="5" t="n">
        <f aca="false">BCS+Taxjj*BCPTJJ+2*(Taxij*BCPTIJ)+BCPTII</f>
        <v>2104.50655930219</v>
      </c>
      <c r="AG20" s="5" t="n">
        <f aca="false">Taxij*BUTIJ+BUTII</f>
        <v>17537.5546608516</v>
      </c>
      <c r="AH20" s="2" t="n">
        <f aca="false">TaxCost+TaxUtility</f>
        <v>19642.0612201538</v>
      </c>
      <c r="AI20" s="2" t="n">
        <f aca="false">TaxWelfare/Size</f>
        <v>392.841224403075</v>
      </c>
    </row>
    <row r="21" customFormat="false" ht="13" hidden="false" customHeight="false" outlineLevel="0" collapsed="false">
      <c r="A21" s="2" t="n">
        <v>0.136999816369508</v>
      </c>
      <c r="B21" s="2" t="n">
        <f aca="false">Tau</f>
        <v>0.136999816369508</v>
      </c>
      <c r="C21" s="2" t="n">
        <v>100</v>
      </c>
      <c r="D21" s="2" t="n">
        <v>0</v>
      </c>
      <c r="E21" s="2" t="n">
        <f aca="false">Size-a</f>
        <v>100</v>
      </c>
      <c r="F21" s="4" t="n">
        <f aca="false">(EXP(alpha*(Tau+OldTau+zeta-2*a*psi))*((EXP(alpha*a*psi)-EXP(alpha*b*psi))^2))/((EXP(alpha*a*psi)-EXP(alpha*(2*OldTau+b*psi)))*(alpha^2)*(psi^2))</f>
        <v>9.87730753396804</v>
      </c>
      <c r="G21" s="4" t="n">
        <f aca="false">(EXP(alpha*(zeta+(2*b-a)*psi))*(-1+EXP(alpha*(-1)*Size*psi))*(EXP(alpha*(2*(Tau+OldTau)+a*psi))-EXP(alpha*(2*(Tau+OldTau)+b*psi))))/(((EXP(alpha*a*psi)-EXP(alpha*(2*OldTau+b*psi)))^2)*(alpha^2)*(psi^2))</f>
        <v>2.29733812472706E-006</v>
      </c>
      <c r="H21" s="5" t="n">
        <f aca="false">-Beta/alpha</f>
        <v>180</v>
      </c>
      <c r="I21" s="5" t="n">
        <f aca="false">(-EXP(alpha*zeta)*Beta*(-1+EXP(alpha*Size*psi)-Size*alpha*psi))/((alpha^3)*(psi^2))</f>
        <v>32736.7694155601</v>
      </c>
      <c r="J21" s="5" t="n">
        <f aca="false">Beta*Theta</f>
        <v>14.4</v>
      </c>
      <c r="K21" s="5" t="n">
        <f aca="false">Beta*Theta</f>
        <v>14.4</v>
      </c>
      <c r="L21" s="5" t="n">
        <v>0</v>
      </c>
      <c r="M21" s="5" t="n">
        <f aca="false">Gamma*Size</f>
        <v>0</v>
      </c>
      <c r="N21" s="5" t="n">
        <f aca="false">Size*Beta*Phi</f>
        <v>324</v>
      </c>
      <c r="O21" s="5" t="n">
        <f aca="false">-(EXP(alpha*a*psi)+EXP(alpha*b*psi)*(-1+Size*psi*alpha))*(Beta*Phi)/((alpha*psi)*(EXP(alpha*a*psi)-EXP(alpha*b*psi)))</f>
        <v>21.5999008876178</v>
      </c>
      <c r="P21" s="5" t="n">
        <f aca="false">(EXP(alpha*(zeta-a*psi))*Beta*Phi*(-EXP(alpha*a*psi)*(-2+(-1)*Size*alpha*psi)+EXP(alpha*b*psi)*(-2+Size*alpha*psi)))/((alpha^3)*(psi^3))</f>
        <v>3647.81282867692</v>
      </c>
      <c r="Q21" s="5" t="n">
        <f aca="false">Tau*Beta</f>
        <v>24.6599669465115</v>
      </c>
      <c r="R21" s="5" t="n">
        <f aca="false">Tau*Beta</f>
        <v>24.6599669465115</v>
      </c>
      <c r="S21" s="6" t="n">
        <f aca="false">Tau</f>
        <v>0.136999816369508</v>
      </c>
      <c r="T21" s="5" t="n">
        <f aca="false">Profit+Utility</f>
        <v>30642.8552158987</v>
      </c>
      <c r="U21" s="5" t="n">
        <f aca="false">(2*ij*BRIJ)+2*jj*BRJJ</f>
        <v>487.148267920926</v>
      </c>
      <c r="V21" s="5" t="n">
        <f aca="false">2*(ij*BCCIJ)+(2*jj*BCCJJ)+BCS+jj*BCPTJJ+2*(ij*BCPTIJ)+BCPTII+BCk</f>
        <v>4358.97782369655</v>
      </c>
      <c r="W21" s="5" t="n">
        <f aca="false">ij*BUTIJ+BUTII</f>
        <v>34514.6847716743</v>
      </c>
      <c r="X21" s="5" t="n">
        <f aca="false">Revenue-Cost</f>
        <v>-3871.82955577563</v>
      </c>
      <c r="Y21" s="5" t="n">
        <f aca="false">Size</f>
        <v>100</v>
      </c>
      <c r="Z21" s="6" t="n">
        <f aca="false">Welfare/(Size)</f>
        <v>306.428552158987</v>
      </c>
      <c r="AA21" s="6" t="n">
        <f aca="false">Profit/(Size)</f>
        <v>-38.7182955577563</v>
      </c>
      <c r="AB21" s="6" t="n">
        <f aca="false">Utility/(Size)</f>
        <v>345.146847716743</v>
      </c>
      <c r="AD21" s="4" t="n">
        <f aca="false">(EXP(alpha*(zeta-2*a*psi))*((EXP(alpha*a*psi)-EXP(alpha*b*psi))^2))/((EXP(alpha*a*psi)-EXP(alpha*(b*psi)))*(alpha^2)*(psi^2))</f>
        <v>12.9907772563503</v>
      </c>
      <c r="AE21" s="4" t="n">
        <f aca="false">(EXP(alpha*(zeta+(2*b-a)*psi))*(-1+EXP(alpha*(-1)*Size*psi))*(EXP(alpha*(a*psi))-EXP(alpha*(b*psi))))/(((EXP(alpha*a*psi)-EXP(alpha*(b*psi)))^2)*(alpha^2)*(psi^2))</f>
        <v>3.97391012346822E-006</v>
      </c>
      <c r="AF21" s="5" t="n">
        <f aca="false">BCS+Taxjj*BCPTJJ+2*(Taxij*BCPTIJ)+BCPTII</f>
        <v>4209.01311860438</v>
      </c>
      <c r="AG21" s="5" t="n">
        <f aca="false">Taxij*BUTIJ+BUTII</f>
        <v>35075.1093217031</v>
      </c>
      <c r="AH21" s="2" t="n">
        <f aca="false">TaxCost+TaxUtility</f>
        <v>39284.1224403075</v>
      </c>
      <c r="AI21" s="2" t="n">
        <f aca="false">TaxWelfare/Size</f>
        <v>392.841224403075</v>
      </c>
    </row>
    <row r="22" customFormat="false" ht="13" hidden="false" customHeight="false" outlineLevel="0" collapsed="false">
      <c r="A22" s="2" t="n">
        <v>0.137000547533634</v>
      </c>
      <c r="B22" s="2" t="n">
        <f aca="false">Tau</f>
        <v>0.137000547533634</v>
      </c>
      <c r="C22" s="2" t="n">
        <v>200</v>
      </c>
      <c r="D22" s="2" t="n">
        <v>0</v>
      </c>
      <c r="E22" s="2" t="n">
        <f aca="false">Size-a</f>
        <v>200</v>
      </c>
      <c r="F22" s="4" t="n">
        <f aca="false">(EXP(alpha*(Tau+OldTau+zeta-2*a*psi))*((EXP(alpha*a*psi)-EXP(alpha*b*psi))^2))/((EXP(alpha*a*psi)-EXP(alpha*(2*OldTau+b*psi)))*(alpha^2)*(psi^2))</f>
        <v>9.87729683575249</v>
      </c>
      <c r="G22" s="4" t="n">
        <f aca="false">(EXP(alpha*(zeta+(2*b-a)*psi))*(-1+EXP(alpha*(-1)*Size*psi))*(EXP(alpha*(2*(Tau+OldTau)+a*psi))-EXP(alpha*(2*(Tau+OldTau)+b*psi))))/(((EXP(alpha*a*psi)-EXP(alpha*(2*OldTau+b*psi)))^2)*(alpha^2)*(psi^2))</f>
        <v>7.02759111045014E-013</v>
      </c>
      <c r="H22" s="5" t="n">
        <f aca="false">-Beta/alpha</f>
        <v>180</v>
      </c>
      <c r="I22" s="5" t="n">
        <f aca="false">(-EXP(alpha*zeta)*Beta*(-1+EXP(alpha*Size*psi)-Size*alpha*psi))/((alpha^3)*(psi^2))</f>
        <v>67811.8780219596</v>
      </c>
      <c r="J22" s="5" t="n">
        <f aca="false">Beta*Theta</f>
        <v>14.4</v>
      </c>
      <c r="K22" s="5" t="n">
        <f aca="false">Beta*Theta</f>
        <v>14.4</v>
      </c>
      <c r="L22" s="5" t="n">
        <v>0</v>
      </c>
      <c r="M22" s="5" t="n">
        <f aca="false">Gamma*Size</f>
        <v>0</v>
      </c>
      <c r="N22" s="5" t="n">
        <f aca="false">Size*Beta*Phi</f>
        <v>648</v>
      </c>
      <c r="O22" s="5" t="n">
        <f aca="false">-(EXP(alpha*a*psi)+EXP(alpha*b*psi)*(-1+Size*psi*alpha))*(Beta*Phi)/((alpha*psi)*(EXP(alpha*a*psi)-EXP(alpha*b*psi)))</f>
        <v>21.5999999999394</v>
      </c>
      <c r="P22" s="5" t="n">
        <f aca="false">(EXP(alpha*(zeta-a*psi))*Beta*Phi*(-EXP(alpha*a*psi)*(-2+(-1)*Size*alpha*psi)+EXP(alpha*b*psi)*(-2+Size*alpha*psi)))/((alpha^3)*(psi^3))</f>
        <v>7856.82448806234</v>
      </c>
      <c r="Q22" s="5" t="n">
        <f aca="false">Tau*Beta</f>
        <v>24.6600985560541</v>
      </c>
      <c r="R22" s="5" t="n">
        <f aca="false">Tau*Beta</f>
        <v>24.6600985560541</v>
      </c>
      <c r="S22" s="6" t="n">
        <f aca="false">Tau</f>
        <v>0.137000547533634</v>
      </c>
      <c r="T22" s="5" t="n">
        <f aca="false">Profit+Utility</f>
        <v>61508.9518190334</v>
      </c>
      <c r="U22" s="5" t="n">
        <f aca="false">(2*ij*BRIJ)+2*jj*BRJJ</f>
        <v>487.150226874151</v>
      </c>
      <c r="V22" s="5" t="n">
        <f aca="false">2*(ij*BCCIJ)+(2*jj*BCCJJ)+BCS+jj*BCPTJJ+2*(ij*BCPTIJ)+BCPTII+BCk</f>
        <v>8567.9898602358</v>
      </c>
      <c r="W22" s="5" t="n">
        <f aca="false">ij*BUTIJ+BUTII</f>
        <v>69589.7914523951</v>
      </c>
      <c r="X22" s="5" t="n">
        <f aca="false">Revenue-Cost</f>
        <v>-8080.83963336165</v>
      </c>
      <c r="Y22" s="5" t="n">
        <f aca="false">Size</f>
        <v>200</v>
      </c>
      <c r="Z22" s="6" t="n">
        <f aca="false">Welfare/(Size)</f>
        <v>307.544759095167</v>
      </c>
      <c r="AA22" s="6" t="n">
        <f aca="false">Profit/(Size)</f>
        <v>-40.4041981668082</v>
      </c>
      <c r="AB22" s="6" t="n">
        <f aca="false">Utility/(Size)</f>
        <v>347.948957261975</v>
      </c>
      <c r="AD22" s="4" t="n">
        <f aca="false">(EXP(alpha*(zeta-2*a*psi))*((EXP(alpha*a*psi)-EXP(alpha*b*psi))^2))/((EXP(alpha*a*psi)-EXP(alpha*(b*psi)))*(alpha^2)*(psi^2))</f>
        <v>12.9907812302592</v>
      </c>
      <c r="AE22" s="4" t="n">
        <f aca="false">(EXP(alpha*(zeta+(2*b-a)*psi))*(-1+EXP(alpha*(-1)*Size*psi))*(EXP(alpha*(a*psi))-EXP(alpha*(b*psi))))/(((EXP(alpha*a*psi)-EXP(alpha*(b*psi)))^2)*(alpha^2)*(psi^2))</f>
        <v>1.21562832823463E-012</v>
      </c>
      <c r="AF22" s="5" t="n">
        <f aca="false">BCS+Taxjj*BCPTJJ+2*(Taxij*BCPTIJ)+BCPTII</f>
        <v>8418.02623720875</v>
      </c>
      <c r="AG22" s="5" t="n">
        <f aca="false">Taxij*BUTIJ+BUTII</f>
        <v>70150.2186434063</v>
      </c>
      <c r="AH22" s="2" t="n">
        <f aca="false">TaxCost+TaxUtility</f>
        <v>78568.244880615</v>
      </c>
      <c r="AI22" s="2" t="n">
        <f aca="false">TaxWelfare/Size</f>
        <v>392.841224403075</v>
      </c>
    </row>
    <row r="23" customFormat="false" ht="13" hidden="false" customHeight="false" outlineLevel="0" collapsed="false">
      <c r="A23" s="2" t="n">
        <v>0.137000547533634</v>
      </c>
      <c r="B23" s="2" t="n">
        <f aca="false">Tau</f>
        <v>0.137000547533634</v>
      </c>
      <c r="C23" s="2" t="n">
        <v>500</v>
      </c>
      <c r="D23" s="2" t="n">
        <v>0</v>
      </c>
      <c r="E23" s="2" t="n">
        <f aca="false">Size-a</f>
        <v>500</v>
      </c>
      <c r="F23" s="4" t="n">
        <f aca="false">(EXP(alpha*(Tau+OldTau+zeta-2*a*psi))*((EXP(alpha*a*psi)-EXP(alpha*b*psi))^2))/((EXP(alpha*a*psi)-EXP(alpha*(2*OldTau+b*psi)))*(alpha^2)*(psi^2))</f>
        <v>9.87729683575363</v>
      </c>
      <c r="G23" s="4" t="n">
        <f aca="false">(EXP(alpha*(zeta+(2*b-a)*psi))*(-1+EXP(alpha*(-1)*Size*psi))*(EXP(alpha*(2*(Tau+OldTau)+a*psi))-EXP(alpha*(2*(Tau+OldTau)+b*psi))))/(((EXP(alpha*a*psi)-EXP(alpha*(2*OldTau+b*psi)))^2)*(alpha^2)*(psi^2))</f>
        <v>2.01166101301683E-032</v>
      </c>
      <c r="H23" s="5" t="n">
        <f aca="false">-Beta/alpha</f>
        <v>180</v>
      </c>
      <c r="I23" s="5" t="n">
        <f aca="false">(-EXP(alpha*zeta)*Beta*(-1+EXP(alpha*Size*psi)-Size*alpha*psi))/((alpha^3)*(psi^2))</f>
        <v>173037.205987069</v>
      </c>
      <c r="J23" s="5" t="n">
        <f aca="false">Beta*Theta</f>
        <v>14.4</v>
      </c>
      <c r="K23" s="5" t="n">
        <f aca="false">Beta*Theta</f>
        <v>14.4</v>
      </c>
      <c r="L23" s="5" t="n">
        <v>0</v>
      </c>
      <c r="M23" s="5" t="n">
        <f aca="false">Gamma*Size</f>
        <v>0</v>
      </c>
      <c r="N23" s="5" t="n">
        <f aca="false">Size*Beta*Phi</f>
        <v>1620</v>
      </c>
      <c r="O23" s="5" t="n">
        <f aca="false">-(EXP(alpha*a*psi)+EXP(alpha*b*psi)*(-1+Size*psi*alpha))*(Beta*Phi)/((alpha*psi)*(EXP(alpha*a*psi)-EXP(alpha*b*psi)))</f>
        <v>21.6</v>
      </c>
      <c r="P23" s="5" t="n">
        <f aca="false">(EXP(alpha*(zeta-a*psi))*Beta*Phi*(-EXP(alpha*a*psi)*(-2+(-1)*Size*alpha*psi)+EXP(alpha*b*psi)*(-2+Size*alpha*psi)))/((alpha^3)*(psi^3))</f>
        <v>20483.8638438746</v>
      </c>
      <c r="Q23" s="5" t="n">
        <f aca="false">Tau*Beta</f>
        <v>24.6600985560541</v>
      </c>
      <c r="R23" s="5" t="n">
        <f aca="false">Tau*Beta</f>
        <v>24.6600985560541</v>
      </c>
      <c r="S23" s="6" t="n">
        <f aca="false">Tau</f>
        <v>0.137000547533634</v>
      </c>
      <c r="T23" s="5" t="n">
        <f aca="false">Profit+Utility</f>
        <v>154107.24042833</v>
      </c>
      <c r="U23" s="5" t="n">
        <f aca="false">(2*ij*BRIJ)+2*jj*BRJJ</f>
        <v>487.150226874173</v>
      </c>
      <c r="V23" s="5" t="n">
        <f aca="false">2*(ij*BCCIJ)+(2*jj*BCCJJ)+BCS+jj*BCPTJJ+2*(ij*BCPTIJ)+BCPTII+BCk</f>
        <v>21195.0292160489</v>
      </c>
      <c r="W23" s="5" t="n">
        <f aca="false">ij*BUTIJ+BUTII</f>
        <v>174815.119417504</v>
      </c>
      <c r="X23" s="5" t="n">
        <f aca="false">Revenue-Cost</f>
        <v>-20707.8789891747</v>
      </c>
      <c r="Y23" s="5" t="n">
        <f aca="false">Size</f>
        <v>500</v>
      </c>
      <c r="Z23" s="6" t="n">
        <f aca="false">Welfare/(Size)</f>
        <v>308.214480856659</v>
      </c>
      <c r="AA23" s="6" t="n">
        <f aca="false">Profit/(Size)</f>
        <v>-41.4157579783494</v>
      </c>
      <c r="AB23" s="6" t="n">
        <f aca="false">Utility/(Size)</f>
        <v>349.630238835009</v>
      </c>
      <c r="AD23" s="4" t="n">
        <f aca="false">(EXP(alpha*(zeta-2*a*psi))*((EXP(alpha*a*psi)-EXP(alpha*b*psi))^2))/((EXP(alpha*a*psi)-EXP(alpha*(b*psi)))*(alpha^2)*(psi^2))</f>
        <v>12.9907812302604</v>
      </c>
      <c r="AE23" s="4" t="n">
        <f aca="false">(EXP(alpha*(zeta+(2*b-a)*psi))*(-1+EXP(alpha*(-1)*Size*psi))*(EXP(alpha*(a*psi))-EXP(alpha*(b*psi))))/(((EXP(alpha*a*psi)-EXP(alpha*(b*psi)))^2)*(alpha^2)*(psi^2))</f>
        <v>3.47975867661385E-032</v>
      </c>
      <c r="AF23" s="5" t="n">
        <f aca="false">BCS+Taxjj*BCPTJJ+2*(Taxij*BCPTIJ)+BCPTII</f>
        <v>21045.0655930219</v>
      </c>
      <c r="AG23" s="5" t="n">
        <f aca="false">Taxij*BUTIJ+BUTII</f>
        <v>175375.546608516</v>
      </c>
      <c r="AH23" s="2" t="n">
        <f aca="false">TaxCost+TaxUtility</f>
        <v>196420.612201538</v>
      </c>
      <c r="AI23" s="2" t="n">
        <f aca="false">TaxWelfare/Size</f>
        <v>392.841224403075</v>
      </c>
    </row>
    <row r="24" customFormat="false" ht="13" hidden="false" customHeight="false" outlineLevel="0" collapsed="false">
      <c r="A24" s="2" t="n">
        <v>0.137000547533634</v>
      </c>
      <c r="B24" s="2" t="n">
        <f aca="false">Tau</f>
        <v>0.137000547533634</v>
      </c>
      <c r="C24" s="2" t="n">
        <v>1000</v>
      </c>
      <c r="D24" s="2" t="n">
        <v>0</v>
      </c>
      <c r="E24" s="2" t="n">
        <f aca="false">Size-a</f>
        <v>1000</v>
      </c>
      <c r="F24" s="4" t="n">
        <f aca="false">(EXP(alpha*(Tau+OldTau+zeta-2*a*psi))*((EXP(alpha*a*psi)-EXP(alpha*b*psi))^2))/((EXP(alpha*a*psi)-EXP(alpha*(2*OldTau+b*psi)))*(alpha^2)*(psi^2))</f>
        <v>9.87729683575363</v>
      </c>
      <c r="G24" s="4" t="n">
        <f aca="false">(EXP(alpha*(zeta+(2*b-a)*psi))*(-1+EXP(alpha*(-1)*Size*psi))*(EXP(alpha*(2*(Tau+OldTau)+a*psi))-EXP(alpha*(2*(Tau+OldTau)+b*psi))))/(((EXP(alpha*a*psi)-EXP(alpha*(2*OldTau+b*psi)))^2)*(alpha^2)*(psi^2))</f>
        <v>5.38850954409502E-065</v>
      </c>
      <c r="H24" s="5" t="n">
        <f aca="false">-Beta/alpha</f>
        <v>180</v>
      </c>
      <c r="I24" s="5" t="n">
        <f aca="false">(-EXP(alpha*zeta)*Beta*(-1+EXP(alpha*Size*psi)-Size*alpha*psi))/((alpha^3)*(psi^2))</f>
        <v>348412.752595584</v>
      </c>
      <c r="J24" s="5" t="n">
        <f aca="false">Beta*Theta</f>
        <v>14.4</v>
      </c>
      <c r="K24" s="5" t="n">
        <f aca="false">Beta*Theta</f>
        <v>14.4</v>
      </c>
      <c r="L24" s="5" t="n">
        <v>0</v>
      </c>
      <c r="M24" s="5" t="n">
        <f aca="false">Gamma*Size</f>
        <v>0</v>
      </c>
      <c r="N24" s="5" t="n">
        <f aca="false">Size*Beta*Phi</f>
        <v>3240</v>
      </c>
      <c r="O24" s="5" t="n">
        <f aca="false">-(EXP(alpha*a*psi)+EXP(alpha*b*psi)*(-1+Size*psi*alpha))*(Beta*Phi)/((alpha*psi)*(EXP(alpha*a*psi)-EXP(alpha*b*psi)))</f>
        <v>21.6</v>
      </c>
      <c r="P24" s="5" t="n">
        <f aca="false">(EXP(alpha*(zeta-a*psi))*Beta*Phi*(-EXP(alpha*a*psi)*(-2+(-1)*Size*alpha*psi)+EXP(alpha*b*psi)*(-2+Size*alpha*psi)))/((alpha^3)*(psi^3))</f>
        <v>41528.9294368965</v>
      </c>
      <c r="Q24" s="5" t="n">
        <f aca="false">Tau*Beta</f>
        <v>24.6600985560541</v>
      </c>
      <c r="R24" s="5" t="n">
        <f aca="false">Tau*Beta</f>
        <v>24.6600985560541</v>
      </c>
      <c r="S24" s="6" t="n">
        <f aca="false">Tau</f>
        <v>0.137000547533634</v>
      </c>
      <c r="T24" s="5" t="n">
        <f aca="false">Profit+Utility</f>
        <v>308437.721443824</v>
      </c>
      <c r="U24" s="5" t="n">
        <f aca="false">(2*ij*BRIJ)+2*jj*BRJJ</f>
        <v>487.150226874173</v>
      </c>
      <c r="V24" s="5" t="n">
        <f aca="false">2*(ij*BCCIJ)+(2*jj*BCCJJ)+BCS+jj*BCPTJJ+2*(ij*BCPTIJ)+BCPTII+BCk</f>
        <v>42240.0948090708</v>
      </c>
      <c r="W24" s="5" t="n">
        <f aca="false">ij*BUTIJ+BUTII</f>
        <v>350190.66602602</v>
      </c>
      <c r="X24" s="5" t="n">
        <f aca="false">Revenue-Cost</f>
        <v>-41752.9445821966</v>
      </c>
      <c r="Y24" s="5" t="n">
        <f aca="false">Size</f>
        <v>1000</v>
      </c>
      <c r="Z24" s="6" t="n">
        <f aca="false">Welfare/(Size)</f>
        <v>308.437721443824</v>
      </c>
      <c r="AA24" s="6" t="n">
        <f aca="false">Profit/(Size)</f>
        <v>-41.7529445821966</v>
      </c>
      <c r="AB24" s="6" t="n">
        <f aca="false">Utility/(Size)</f>
        <v>350.19066602602</v>
      </c>
      <c r="AD24" s="4" t="n">
        <f aca="false">(EXP(alpha*(zeta-2*a*psi))*((EXP(alpha*a*psi)-EXP(alpha*b*psi))^2))/((EXP(alpha*a*psi)-EXP(alpha*(b*psi)))*(alpha^2)*(psi^2))</f>
        <v>12.9907812302604</v>
      </c>
      <c r="AE24" s="4" t="n">
        <f aca="false">(EXP(alpha*(zeta+(2*b-a)*psi))*(-1+EXP(alpha*(-1)*Size*psi))*(EXP(alpha*(a*psi))-EXP(alpha*(b*psi))))/(((EXP(alpha*a*psi)-EXP(alpha*(b*psi)))^2)*(alpha^2)*(psi^2))</f>
        <v>9.32101020934996E-065</v>
      </c>
      <c r="AF24" s="5" t="n">
        <f aca="false">BCS+Taxjj*BCPTJJ+2*(Taxij*BCPTIJ)+BCPTII</f>
        <v>42090.1311860438</v>
      </c>
      <c r="AG24" s="5" t="n">
        <f aca="false">Taxij*BUTIJ+BUTII</f>
        <v>350751.093217031</v>
      </c>
      <c r="AH24" s="2" t="n">
        <f aca="false">TaxCost+TaxUtility</f>
        <v>392841.224403075</v>
      </c>
      <c r="AI24" s="2" t="n">
        <f aca="false">TaxWelfare/Size</f>
        <v>392.841224403075</v>
      </c>
    </row>
    <row r="25" customFormat="false" ht="13" hidden="false" customHeight="false" outlineLevel="0" collapsed="false">
      <c r="F25" s="4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  <c r="T25" s="5"/>
      <c r="U25" s="5"/>
      <c r="V25" s="5"/>
      <c r="W25" s="5"/>
      <c r="X25" s="5"/>
      <c r="Y25" s="5"/>
      <c r="Z25" s="6"/>
      <c r="AA25" s="6"/>
      <c r="AB25" s="6"/>
      <c r="AD25" s="4"/>
      <c r="AE25" s="4"/>
      <c r="AF25" s="5"/>
      <c r="AG25" s="5"/>
    </row>
    <row r="26" customFormat="false" ht="13" hidden="false" customHeight="false" outlineLevel="0" collapsed="false">
      <c r="A26" s="8" t="s">
        <v>153</v>
      </c>
    </row>
    <row r="27" customFormat="false" ht="13" hidden="false" customHeight="false" outlineLevel="0" collapsed="false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3" t="s">
        <v>18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27</v>
      </c>
      <c r="P27" s="2" t="s">
        <v>28</v>
      </c>
      <c r="Q27" s="2" t="s">
        <v>29</v>
      </c>
      <c r="R27" s="2" t="s">
        <v>30</v>
      </c>
      <c r="S27" s="2" t="s">
        <v>31</v>
      </c>
      <c r="T27" s="2" t="s">
        <v>32</v>
      </c>
      <c r="U27" s="2" t="s">
        <v>33</v>
      </c>
      <c r="V27" s="2" t="s">
        <v>34</v>
      </c>
      <c r="W27" s="2" t="s">
        <v>35</v>
      </c>
      <c r="X27" s="2" t="s">
        <v>36</v>
      </c>
      <c r="Y27" s="2" t="s">
        <v>37</v>
      </c>
      <c r="Z27" s="2" t="s">
        <v>38</v>
      </c>
      <c r="AA27" s="2" t="s">
        <v>39</v>
      </c>
      <c r="AB27" s="2" t="s">
        <v>40</v>
      </c>
      <c r="AF27" s="2" t="s">
        <v>148</v>
      </c>
      <c r="AG27" s="2" t="s">
        <v>149</v>
      </c>
      <c r="AH27" s="2" t="s">
        <v>150</v>
      </c>
      <c r="AI27" s="2" t="s">
        <v>151</v>
      </c>
    </row>
    <row r="28" customFormat="false" ht="13" hidden="false" customHeight="false" outlineLevel="0" collapsed="false">
      <c r="A28" s="2" t="n">
        <v>0.00898115642025986</v>
      </c>
      <c r="B28" s="2" t="n">
        <f aca="false">Tau</f>
        <v>0.00898115642025986</v>
      </c>
      <c r="C28" s="2" t="n">
        <v>1</v>
      </c>
      <c r="D28" s="2" t="n">
        <v>0</v>
      </c>
      <c r="E28" s="2" t="n">
        <f aca="false">Size-a</f>
        <v>1</v>
      </c>
      <c r="F28" s="4" t="n">
        <f aca="false">(EXP(alpha*(Tau+OldTau+zeta-2*a*psi))*((EXP(alpha*a*psi)-EXP(alpha*b*psi))^2))/((EXP(alpha*a*psi)-EXP(alpha*(2*OldTau+b*psi)))*(alpha^2)*(psi^2))</f>
        <v>1.60116893840697</v>
      </c>
      <c r="G28" s="4" t="n">
        <f aca="false">(EXP(alpha*(zeta+(2*b-a)*psi))*(-1+EXP(alpha*(-1)*Size*psi))*(EXP(alpha*(2*(Tau+OldTau)+a*psi))-EXP(alpha*(2*(Tau+OldTau)+b*psi))))/(((EXP(alpha*a*psi)-EXP(alpha*(2*OldTau+b*psi)))^2)*(alpha^2)*(psi^2))</f>
        <v>8.75472232821925</v>
      </c>
      <c r="H28" s="5" t="n">
        <f aca="false">-Beta/alpha</f>
        <v>180</v>
      </c>
      <c r="I28" s="5" t="n">
        <f aca="false">(-EXP(alpha*zeta)*Beta*(-1+EXP(alpha*Size*psi)-Size*alpha*psi))/((alpha^3)*(psi^2))</f>
        <v>25.0388962482082</v>
      </c>
      <c r="J28" s="5" t="n">
        <v>0</v>
      </c>
      <c r="K28" s="5" t="n">
        <v>0</v>
      </c>
      <c r="L28" s="5" t="n">
        <f aca="false">kappa</f>
        <v>90</v>
      </c>
      <c r="M28" s="5" t="n">
        <f aca="false">Gamma*Size</f>
        <v>0</v>
      </c>
      <c r="N28" s="5" t="n">
        <f aca="false">Size*Beta*Phi</f>
        <v>3.24</v>
      </c>
      <c r="O28" s="5" t="n">
        <f aca="false">-(EXP(alpha*a*psi)+EXP(alpha*b*psi)*(-1+Size*psi*alpha))*(Beta*Phi)/((alpha*psi)*(EXP(alpha*a*psi)-EXP(alpha*b*psi)))</f>
        <v>1.57951517936842</v>
      </c>
      <c r="P28" s="5" t="n">
        <f aca="false">(EXP(alpha*(zeta-a*psi))*Beta*Phi*(-EXP(alpha*a*psi)*(-2+(-1)*Size*alpha*psi)+EXP(alpha*b*psi)*(-2+Size*alpha*psi)))/((alpha^3)*(psi^3))</f>
        <v>0.146515554131081</v>
      </c>
      <c r="Q28" s="5" t="n">
        <f aca="false">Tau*Beta</f>
        <v>1.61660815564678</v>
      </c>
      <c r="R28" s="5" t="n">
        <f aca="false">Tau*Beta</f>
        <v>1.61660815564678</v>
      </c>
      <c r="S28" s="6" t="n">
        <f aca="false">Tau</f>
        <v>0.00898115642025986</v>
      </c>
      <c r="T28" s="5" t="n">
        <f aca="false">Profit+Utility</f>
        <v>223.162184539246</v>
      </c>
      <c r="U28" s="5" t="n">
        <f aca="false">(2*ij*BRIJ)+2*jj*BRJJ</f>
        <v>33.4828365612383</v>
      </c>
      <c r="V28" s="5" t="n">
        <f aca="false">2*(ij*BCCIJ)+(2*jj*BCCJJ)+BCS+jj*BCPTJJ+2*(ij*BCPTIJ)+BCPTII+BCk</f>
        <v>123.569957183456</v>
      </c>
      <c r="W28" s="5" t="n">
        <f aca="false">ij*BUTIJ+BUTII</f>
        <v>313.249305161463</v>
      </c>
      <c r="X28" s="5" t="n">
        <f aca="false">Revenue-Cost</f>
        <v>-90.0871206222172</v>
      </c>
      <c r="Y28" s="5" t="n">
        <f aca="false">Size</f>
        <v>1</v>
      </c>
      <c r="Z28" s="6" t="n">
        <f aca="false">Welfare/(Size)</f>
        <v>223.162184539246</v>
      </c>
      <c r="AA28" s="6" t="n">
        <f aca="false">Profit/(Size)</f>
        <v>-90.0871206222172</v>
      </c>
      <c r="AB28" s="6" t="n">
        <f aca="false">Utility/(Size)</f>
        <v>313.249305161463</v>
      </c>
      <c r="AD28" s="4" t="n">
        <f aca="false">(EXP(alpha*(zeta-2*a*psi))*((EXP(alpha*a*psi)-EXP(alpha*b*psi))^2))/((EXP(alpha*a*psi)-EXP(alpha*(b*psi)))*(alpha^2)*(psi^2))</f>
        <v>1.80951220538235</v>
      </c>
      <c r="AE28" s="4" t="n">
        <f aca="false">(EXP(alpha*(zeta+(2*b-a)*psi))*(-1+EXP(alpha*(-1)*Size*psi))*(EXP(alpha*(a*psi))-EXP(alpha*(b*psi))))/(((EXP(alpha*a*psi)-EXP(alpha*(b*psi)))^2)*(alpha^2)*(psi^2))</f>
        <v>11.1812690248781</v>
      </c>
      <c r="AF28" s="5" t="n">
        <f aca="false">BCS+Taxjj*BCPTJJ+2*(Taxij*BCPTIJ)+BCPTII</f>
        <v>42.0901311860437</v>
      </c>
      <c r="AG28" s="5" t="n">
        <f aca="false">Taxij*BUTIJ+BUTII</f>
        <v>350.751093217031</v>
      </c>
      <c r="AH28" s="2" t="n">
        <f aca="false">TaxCost+TaxUtility</f>
        <v>392.841224403075</v>
      </c>
      <c r="AI28" s="2" t="n">
        <f aca="false">TaxWelfare/Size</f>
        <v>392.841224403075</v>
      </c>
    </row>
    <row r="29" customFormat="false" ht="13" hidden="false" customHeight="false" outlineLevel="0" collapsed="false">
      <c r="A29" s="2" t="n">
        <v>0.0178505614325708</v>
      </c>
      <c r="B29" s="2" t="n">
        <f aca="false">Tau</f>
        <v>0.0178505614325708</v>
      </c>
      <c r="C29" s="2" t="n">
        <v>2</v>
      </c>
      <c r="D29" s="2" t="n">
        <v>0</v>
      </c>
      <c r="E29" s="2" t="n">
        <f aca="false">Size-a</f>
        <v>2</v>
      </c>
      <c r="F29" s="4" t="n">
        <f aca="false">(EXP(alpha*(Tau+OldTau+zeta-2*a*psi))*((EXP(alpha*a*psi)-EXP(alpha*b*psi))^2))/((EXP(alpha*a*psi)-EXP(alpha*(2*OldTau+b*psi)))*(alpha^2)*(psi^2))</f>
        <v>2.95288004232326</v>
      </c>
      <c r="G29" s="4" t="n">
        <f aca="false">(EXP(alpha*(zeta+(2*b-a)*psi))*(-1+EXP(alpha*(-1)*Size*psi))*(EXP(alpha*(2*(Tau+OldTau)+a*psi))-EXP(alpha*(2*(Tau+OldTau)+b*psi))))/(((EXP(alpha*a*psi)-EXP(alpha*(2*OldTau+b*psi)))^2)*(alpha^2)*(psi^2))</f>
        <v>7.4021701084306</v>
      </c>
      <c r="H29" s="5" t="n">
        <f aca="false">-Beta/alpha</f>
        <v>180</v>
      </c>
      <c r="I29" s="5" t="n">
        <f aca="false">(-EXP(alpha*zeta)*Beta*(-1+EXP(alpha*Size*psi)-Size*alpha*psi))/((alpha^3)*(psi^2))</f>
        <v>95.4469035152439</v>
      </c>
      <c r="J29" s="5" t="n">
        <v>0</v>
      </c>
      <c r="K29" s="5" t="n">
        <v>0</v>
      </c>
      <c r="L29" s="5" t="n">
        <f aca="false">kappa</f>
        <v>90</v>
      </c>
      <c r="M29" s="5" t="n">
        <f aca="false">Gamma*Size</f>
        <v>0</v>
      </c>
      <c r="N29" s="5" t="n">
        <f aca="false">Size*Beta*Phi</f>
        <v>6.48</v>
      </c>
      <c r="O29" s="5" t="n">
        <f aca="false">-(EXP(alpha*a*psi)+EXP(alpha*b*psi)*(-1+Size*psi*alpha))*(Beta*Phi)/((alpha*psi)*(EXP(alpha*a*psi)-EXP(alpha*b*psi)))</f>
        <v>3.07824248045466</v>
      </c>
      <c r="P29" s="5" t="n">
        <f aca="false">(EXP(alpha*(zeta-a*psi))*Beta*Phi*(-EXP(alpha*a*psi)*(-2+(-1)*Size*alpha*psi)+EXP(alpha*b*psi)*(-2+Size*alpha*psi)))/((alpha^3)*(psi^3))</f>
        <v>1.08926665858103</v>
      </c>
      <c r="Q29" s="5" t="n">
        <f aca="false">Tau*Beta</f>
        <v>3.21310105786275</v>
      </c>
      <c r="R29" s="5" t="n">
        <f aca="false">Tau*Beta</f>
        <v>3.21310105786275</v>
      </c>
      <c r="S29" s="6" t="n">
        <f aca="false">Tau</f>
        <v>0.0178505614325708</v>
      </c>
      <c r="T29" s="5" t="n">
        <f aca="false">Profit+Utility</f>
        <v>536.274265787504</v>
      </c>
      <c r="U29" s="5" t="n">
        <f aca="false">(2*ij*BRIJ)+2*jj*BRJJ</f>
        <v>66.543645187218</v>
      </c>
      <c r="V29" s="5" t="n">
        <f aca="false">2*(ij*BCCIJ)+(2*jj*BCCJJ)+BCS+jj*BCPTJJ+2*(ij*BCPTIJ)+BCPTII+BCk</f>
        <v>157.234690533144</v>
      </c>
      <c r="W29" s="5" t="n">
        <f aca="false">ij*BUTIJ+BUTII</f>
        <v>626.96531113343</v>
      </c>
      <c r="X29" s="5" t="n">
        <f aca="false">Revenue-Cost</f>
        <v>-90.6910453459257</v>
      </c>
      <c r="Y29" s="5" t="n">
        <f aca="false">Size</f>
        <v>2</v>
      </c>
      <c r="Z29" s="6" t="n">
        <f aca="false">Welfare/(Size)</f>
        <v>268.137132893752</v>
      </c>
      <c r="AA29" s="6" t="n">
        <f aca="false">Profit/(Size)</f>
        <v>-45.3455226729629</v>
      </c>
      <c r="AB29" s="6" t="n">
        <f aca="false">Utility/(Size)</f>
        <v>313.482655566715</v>
      </c>
      <c r="AD29" s="4" t="n">
        <f aca="false">(EXP(alpha*(zeta-2*a*psi))*((EXP(alpha*a*psi)-EXP(alpha*b*psi))^2))/((EXP(alpha*a*psi)-EXP(alpha*(b*psi)))*(alpha^2)*(psi^2))</f>
        <v>3.36697379399344</v>
      </c>
      <c r="AE29" s="4" t="n">
        <f aca="false">(EXP(alpha*(zeta+(2*b-a)*psi))*(-1+EXP(alpha*(-1)*Size*psi))*(EXP(alpha*(a*psi))-EXP(alpha*(b*psi))))/(((EXP(alpha*a*psi)-EXP(alpha*(b*psi)))^2)*(alpha^2)*(psi^2))</f>
        <v>9.62380743626698</v>
      </c>
      <c r="AF29" s="5" t="n">
        <f aca="false">BCS+Taxjj*BCPTJJ+2*(Taxij*BCPTIJ)+BCPTII</f>
        <v>84.1802623720875</v>
      </c>
      <c r="AG29" s="5" t="n">
        <f aca="false">Taxij*BUTIJ+BUTII</f>
        <v>701.502186434063</v>
      </c>
      <c r="AH29" s="2" t="n">
        <f aca="false">TaxCost+TaxUtility</f>
        <v>785.68244880615</v>
      </c>
      <c r="AI29" s="2" t="n">
        <f aca="false">TaxWelfare/Size</f>
        <v>392.841224403075</v>
      </c>
    </row>
    <row r="30" customFormat="false" ht="13" hidden="false" customHeight="false" outlineLevel="0" collapsed="false">
      <c r="A30" s="2" t="n">
        <v>0.0427983670230575</v>
      </c>
      <c r="B30" s="2" t="n">
        <f aca="false">Tau</f>
        <v>0.0427983670230575</v>
      </c>
      <c r="C30" s="2" t="n">
        <v>5</v>
      </c>
      <c r="D30" s="2" t="n">
        <v>0</v>
      </c>
      <c r="E30" s="2" t="n">
        <f aca="false">Size-a</f>
        <v>5</v>
      </c>
      <c r="F30" s="4" t="n">
        <f aca="false">(EXP(alpha*(Tau+OldTau+zeta-2*a*psi))*((EXP(alpha*a*psi)-EXP(alpha*b*psi))^2))/((EXP(alpha*a*psi)-EXP(alpha*(2*OldTau+b*psi)))*(alpha^2)*(psi^2))</f>
        <v>5.86157697080031</v>
      </c>
      <c r="G30" s="4" t="n">
        <f aca="false">(EXP(alpha*(zeta+(2*b-a)*psi))*(-1+EXP(alpha*(-1)*Size*psi))*(EXP(alpha*(2*(Tau+OldTau)+a*psi))-EXP(alpha*(2*(Tau+OldTau)+b*psi))))/(((EXP(alpha*a*psi)-EXP(alpha*(2*OldTau+b*psi)))^2)*(alpha^2)*(psi^2))</f>
        <v>4.4875383977123</v>
      </c>
      <c r="H30" s="5" t="n">
        <f aca="false">-Beta/alpha</f>
        <v>180</v>
      </c>
      <c r="I30" s="5" t="n">
        <f aca="false">(-EXP(alpha*zeta)*Beta*(-1+EXP(alpha*Size*psi)-Size*alpha*psi))/((alpha^3)*(psi^2))</f>
        <v>519.968743125424</v>
      </c>
      <c r="J30" s="5" t="n">
        <v>0</v>
      </c>
      <c r="K30" s="5" t="n">
        <v>0</v>
      </c>
      <c r="L30" s="5" t="n">
        <f aca="false">kappa</f>
        <v>90</v>
      </c>
      <c r="M30" s="5" t="n">
        <f aca="false">Gamma*Size</f>
        <v>0</v>
      </c>
      <c r="N30" s="5" t="n">
        <f aca="false">Size*Beta*Phi</f>
        <v>16.2</v>
      </c>
      <c r="O30" s="5" t="n">
        <f aca="false">-(EXP(alpha*a*psi)+EXP(alpha*b*psi)*(-1+Size*psi*alpha))*(Beta*Phi)/((alpha*psi)*(EXP(alpha*a*psi)-EXP(alpha*b*psi)))</f>
        <v>7.09686682268204</v>
      </c>
      <c r="P30" s="5" t="n">
        <f aca="false">(EXP(alpha*(zeta-a*psi))*Beta*Phi*(-EXP(alpha*a*psi)*(-2+(-1)*Size*alpha*psi)+EXP(alpha*b*psi)*(-2+Size*alpha*psi)))/((alpha^3)*(psi^3))</f>
        <v>13.7516932837258</v>
      </c>
      <c r="Q30" s="5" t="n">
        <f aca="false">Tau*Beta</f>
        <v>7.70370606415035</v>
      </c>
      <c r="R30" s="5" t="n">
        <f aca="false">Tau*Beta</f>
        <v>7.70370606415035</v>
      </c>
      <c r="S30" s="6" t="n">
        <f aca="false">Tau</f>
        <v>0.0427983670230575</v>
      </c>
      <c r="T30" s="5" t="n">
        <f aca="false">Profit+Utility</f>
        <v>1474.85820592348</v>
      </c>
      <c r="U30" s="5" t="n">
        <f aca="false">(2*ij*BRIJ)+2*jj*BRJJ</f>
        <v>159.453085646004</v>
      </c>
      <c r="V30" s="5" t="n">
        <f aca="false">2*(ij*BCCIJ)+(2*jj*BCCJJ)+BCS+jj*BCPTJJ+2*(ij*BCPTIJ)+BCPTII+BCk</f>
        <v>259.647477592005</v>
      </c>
      <c r="W30" s="5" t="n">
        <f aca="false">ij*BUTIJ+BUTII</f>
        <v>1575.05259786948</v>
      </c>
      <c r="X30" s="5" t="n">
        <f aca="false">Revenue-Cost</f>
        <v>-100.194391946</v>
      </c>
      <c r="Y30" s="5" t="n">
        <f aca="false">Size</f>
        <v>5</v>
      </c>
      <c r="Z30" s="6" t="n">
        <f aca="false">Welfare/(Size)</f>
        <v>294.971641184696</v>
      </c>
      <c r="AA30" s="6" t="n">
        <f aca="false">Profit/(Size)</f>
        <v>-20.0388783892</v>
      </c>
      <c r="AB30" s="6" t="n">
        <f aca="false">Utility/(Size)</f>
        <v>315.010519573896</v>
      </c>
      <c r="AD30" s="4" t="n">
        <f aca="false">(EXP(alpha*(zeta-2*a*psi))*((EXP(alpha*a*psi)-EXP(alpha*b*psi))^2))/((EXP(alpha*a*psi)-EXP(alpha*(b*psi)))*(alpha^2)*(psi^2))</f>
        <v>6.85437068310963</v>
      </c>
      <c r="AE30" s="4" t="n">
        <f aca="false">(EXP(alpha*(zeta+(2*b-a)*psi))*(-1+EXP(alpha*(-1)*Size*psi))*(EXP(alpha*(a*psi))-EXP(alpha*(b*psi))))/(((EXP(alpha*a*psi)-EXP(alpha*(b*psi)))^2)*(alpha^2)*(psi^2))</f>
        <v>6.13641054715079</v>
      </c>
      <c r="AF30" s="5" t="n">
        <f aca="false">BCS+Taxjj*BCPTJJ+2*(Taxij*BCPTIJ)+BCPTII</f>
        <v>210.450655930219</v>
      </c>
      <c r="AG30" s="5" t="n">
        <f aca="false">Taxij*BUTIJ+BUTII</f>
        <v>1753.75546608516</v>
      </c>
      <c r="AH30" s="2" t="n">
        <f aca="false">TaxCost+TaxUtility</f>
        <v>1964.20612201538</v>
      </c>
      <c r="AI30" s="2" t="n">
        <f aca="false">TaxWelfare/Size</f>
        <v>392.841224403075</v>
      </c>
    </row>
    <row r="31" customFormat="false" ht="13" hidden="false" customHeight="false" outlineLevel="0" collapsed="false">
      <c r="A31" s="2" t="n">
        <v>0.0752894943692236</v>
      </c>
      <c r="B31" s="2" t="n">
        <f aca="false">Tau</f>
        <v>0.0752894943692236</v>
      </c>
      <c r="C31" s="2" t="n">
        <v>10</v>
      </c>
      <c r="D31" s="2" t="n">
        <v>0</v>
      </c>
      <c r="E31" s="2" t="n">
        <f aca="false">Size-a</f>
        <v>10</v>
      </c>
      <c r="F31" s="4" t="n">
        <f aca="false">(EXP(alpha*(Tau+OldTau+zeta-2*a*psi))*((EXP(alpha*a*psi)-EXP(alpha*b*psi))^2))/((EXP(alpha*a*psi)-EXP(alpha*(2*OldTau+b*psi)))*(alpha^2)*(psi^2))</f>
        <v>8.34625952314493</v>
      </c>
      <c r="G31" s="4" t="n">
        <f aca="false">(EXP(alpha*(zeta+(2*b-a)*psi))*(-1+EXP(alpha*(-1)*Size*psi))*(EXP(alpha*(2*(Tau+OldTau)+a*psi))-EXP(alpha*(2*(Tau+OldTau)+b*psi))))/(((EXP(alpha*a*psi)-EXP(alpha*(2*OldTau+b*psi)))^2)*(alpha^2)*(psi^2))</f>
        <v>1.98248657445339</v>
      </c>
      <c r="H31" s="5" t="n">
        <f aca="false">-Beta/alpha</f>
        <v>180</v>
      </c>
      <c r="I31" s="5" t="n">
        <f aca="false">(-EXP(alpha*zeta)*Beta*(-1+EXP(alpha*Size*psi)-Size*alpha*psi))/((alpha^3)*(psi^2))</f>
        <v>1690.92462806846</v>
      </c>
      <c r="J31" s="5" t="n">
        <v>0</v>
      </c>
      <c r="K31" s="5" t="n">
        <v>0</v>
      </c>
      <c r="L31" s="5" t="n">
        <f aca="false">kappa</f>
        <v>90</v>
      </c>
      <c r="M31" s="5" t="n">
        <f aca="false">Gamma*Size</f>
        <v>0</v>
      </c>
      <c r="N31" s="5" t="n">
        <f aca="false">Size*Beta*Phi</f>
        <v>32.4</v>
      </c>
      <c r="O31" s="5" t="n">
        <f aca="false">-(EXP(alpha*a*psi)+EXP(alpha*b*psi)*(-1+Size*psi*alpha))*(Beta*Phi)/((alpha*psi)*(EXP(alpha*a*psi)-EXP(alpha*b*psi)))</f>
        <v>12.2941718960407</v>
      </c>
      <c r="P31" s="5" t="n">
        <f aca="false">(EXP(alpha*(zeta-a*psi))*Beta*Phi*(-EXP(alpha*a*psi)*(-2+(-1)*Size*alpha*psi)+EXP(alpha*b*psi)*(-2+Size*alpha*psi)))/((alpha^3)*(psi^3))</f>
        <v>78.836375998096</v>
      </c>
      <c r="Q31" s="5" t="n">
        <f aca="false">Tau*Beta</f>
        <v>13.5521089864602</v>
      </c>
      <c r="R31" s="5" t="n">
        <f aca="false">Tau*Beta</f>
        <v>13.5521089864602</v>
      </c>
      <c r="S31" s="6" t="n">
        <f aca="false">Tau</f>
        <v>0.0752894943692236</v>
      </c>
      <c r="T31" s="5" t="n">
        <f aca="false">Profit+Utility</f>
        <v>3034.9142883074</v>
      </c>
      <c r="U31" s="5" t="n">
        <f aca="false">(2*ij*BRIJ)+2*jj*BRJJ</f>
        <v>279.952585616257</v>
      </c>
      <c r="V31" s="5" t="n">
        <f aca="false">2*(ij*BCCIJ)+(2*jj*BCCJJ)+BCS+jj*BCPTJJ+2*(ij*BCPTIJ)+BCPTII+BCk</f>
        <v>438.289639543406</v>
      </c>
      <c r="W31" s="5" t="n">
        <f aca="false">ij*BUTIJ+BUTII</f>
        <v>3193.25134223455</v>
      </c>
      <c r="X31" s="5" t="n">
        <f aca="false">Revenue-Cost</f>
        <v>-158.33705392715</v>
      </c>
      <c r="Y31" s="5" t="n">
        <f aca="false">Size</f>
        <v>10</v>
      </c>
      <c r="Z31" s="6" t="n">
        <f aca="false">Welfare/(Size)</f>
        <v>303.49142883074</v>
      </c>
      <c r="AA31" s="6" t="n">
        <f aca="false">Profit/(Size)</f>
        <v>-15.833705392715</v>
      </c>
      <c r="AB31" s="6" t="n">
        <f aca="false">Utility/(Size)</f>
        <v>319.325134223455</v>
      </c>
      <c r="AD31" s="4" t="n">
        <f aca="false">(EXP(alpha*(zeta-2*a*psi))*((EXP(alpha*a*psi)-EXP(alpha*b*psi))^2))/((EXP(alpha*a*psi)-EXP(alpha*(b*psi)))*(alpha^2)*(psi^2))</f>
        <v>10.0921461338992</v>
      </c>
      <c r="AE31" s="4" t="n">
        <f aca="false">(EXP(alpha*(zeta+(2*b-a)*psi))*(-1+EXP(alpha*(-1)*Size*psi))*(EXP(alpha*(a*psi))-EXP(alpha*(b*psi))))/(((EXP(alpha*a*psi)-EXP(alpha*(b*psi)))^2)*(alpha^2)*(psi^2))</f>
        <v>2.89863509636122</v>
      </c>
      <c r="AF31" s="5" t="n">
        <f aca="false">BCS+Taxjj*BCPTJJ+2*(Taxij*BCPTIJ)+BCPTII</f>
        <v>420.901311860438</v>
      </c>
      <c r="AG31" s="5" t="n">
        <f aca="false">Taxij*BUTIJ+BUTII</f>
        <v>3507.51093217031</v>
      </c>
      <c r="AH31" s="2" t="n">
        <f aca="false">TaxCost+TaxUtility</f>
        <v>3928.41224403075</v>
      </c>
      <c r="AI31" s="2" t="n">
        <f aca="false">TaxWelfare/Size</f>
        <v>392.841224403075</v>
      </c>
    </row>
    <row r="32" customFormat="false" ht="13" hidden="false" customHeight="false" outlineLevel="0" collapsed="false">
      <c r="A32" s="2" t="n">
        <v>0.107287438280546</v>
      </c>
      <c r="B32" s="2" t="n">
        <f aca="false">Tau</f>
        <v>0.107287438280546</v>
      </c>
      <c r="C32" s="2" t="n">
        <v>20</v>
      </c>
      <c r="D32" s="2" t="n">
        <v>0</v>
      </c>
      <c r="E32" s="2" t="n">
        <f aca="false">Size-a</f>
        <v>20</v>
      </c>
      <c r="F32" s="4" t="n">
        <f aca="false">(EXP(alpha*(Tau+OldTau+zeta-2*a*psi))*((EXP(alpha*a*psi)-EXP(alpha*b*psi))^2))/((EXP(alpha*a*psi)-EXP(alpha*(2*OldTau+b*psi)))*(alpha^2)*(psi^2))</f>
        <v>9.8604157603033</v>
      </c>
      <c r="G32" s="4" t="n">
        <f aca="false">(EXP(alpha*(zeta+(2*b-a)*psi))*(-1+EXP(alpha*(-1)*Size*psi))*(EXP(alpha*(2*(Tau+OldTau)+a*psi))-EXP(alpha*(2*(Tau+OldTau)+b*psi))))/(((EXP(alpha*a*psi)-EXP(alpha*(2*OldTau+b*psi)))^2)*(alpha^2)*(psi^2))</f>
        <v>0.412695626437854</v>
      </c>
      <c r="H32" s="5" t="n">
        <f aca="false">-Beta/alpha</f>
        <v>180</v>
      </c>
      <c r="I32" s="5" t="n">
        <f aca="false">(-EXP(alpha*zeta)*Beta*(-1+EXP(alpha*Size*psi)-Size*alpha*psi))/((alpha^3)*(psi^2))</f>
        <v>4793.10036728108</v>
      </c>
      <c r="J32" s="5" t="n">
        <v>0</v>
      </c>
      <c r="K32" s="5" t="n">
        <v>0</v>
      </c>
      <c r="L32" s="5" t="n">
        <f aca="false">kappa</f>
        <v>90</v>
      </c>
      <c r="M32" s="5" t="n">
        <f aca="false">Gamma*Size</f>
        <v>0</v>
      </c>
      <c r="N32" s="5" t="n">
        <f aca="false">Size*Beta*Phi</f>
        <v>64.8</v>
      </c>
      <c r="O32" s="5" t="n">
        <f aca="false">-(EXP(alpha*a*psi)+EXP(alpha*b*psi)*(-1+Size*psi*alpha))*(Beta*Phi)/((alpha*psi)*(EXP(alpha*a*psi)-EXP(alpha*b*psi)))</f>
        <v>18.2047588673666</v>
      </c>
      <c r="P32" s="5" t="n">
        <f aca="false">(EXP(alpha*(zeta-a*psi))*Beta*Phi*(-EXP(alpha*a*psi)*(-2+(-1)*Size*alpha*psi)+EXP(alpha*b*psi)*(-2+Size*alpha*psi)))/((alpha^3)*(psi^3))</f>
        <v>350.452349206022</v>
      </c>
      <c r="Q32" s="5" t="n">
        <f aca="false">Tau*Beta</f>
        <v>19.3117388904983</v>
      </c>
      <c r="R32" s="5" t="n">
        <f aca="false">Tau*Beta</f>
        <v>19.3117388904983</v>
      </c>
      <c r="S32" s="6" t="n">
        <f aca="false">Tau</f>
        <v>0.107287438280546</v>
      </c>
      <c r="T32" s="5" t="n">
        <f aca="false">Profit+Utility</f>
        <v>6138.55048522737</v>
      </c>
      <c r="U32" s="5" t="n">
        <f aca="false">(2*ij*BRIJ)+2*jj*BRJJ</f>
        <v>396.783289387499</v>
      </c>
      <c r="V32" s="5" t="n">
        <f aca="false">2*(ij*BCCIJ)+(2*jj*BCCJJ)+BCS+jj*BCPTJJ+2*(ij*BCPTIJ)+BCPTII+BCk</f>
        <v>826.208008295801</v>
      </c>
      <c r="W32" s="5" t="n">
        <f aca="false">ij*BUTIJ+BUTII</f>
        <v>6567.97520413567</v>
      </c>
      <c r="X32" s="5" t="n">
        <f aca="false">Revenue-Cost</f>
        <v>-429.424718908302</v>
      </c>
      <c r="Y32" s="5" t="n">
        <f aca="false">Size</f>
        <v>20</v>
      </c>
      <c r="Z32" s="6" t="n">
        <f aca="false">Welfare/(Size)</f>
        <v>306.927524261369</v>
      </c>
      <c r="AA32" s="6" t="n">
        <f aca="false">Profit/(Size)</f>
        <v>-21.4712359454151</v>
      </c>
      <c r="AB32" s="6" t="n">
        <f aca="false">Utility/(Size)</f>
        <v>328.398760206784</v>
      </c>
      <c r="AD32" s="4" t="n">
        <f aca="false">(EXP(alpha*(zeta-2*a*psi))*((EXP(alpha*a*psi)-EXP(alpha*b*psi))^2))/((EXP(alpha*a*psi)-EXP(alpha*(b*psi)))*(alpha^2)*(psi^2))</f>
        <v>12.3440083169975</v>
      </c>
      <c r="AE32" s="4" t="n">
        <f aca="false">(EXP(alpha*(zeta+(2*b-a)*psi))*(-1+EXP(alpha*(-1)*Size*psi))*(EXP(alpha*(a*psi))-EXP(alpha*(b*psi))))/(((EXP(alpha*a*psi)-EXP(alpha*(b*psi)))^2)*(alpha^2)*(psi^2))</f>
        <v>0.646772913262939</v>
      </c>
      <c r="AF32" s="5" t="n">
        <f aca="false">BCS+Taxjj*BCPTJJ+2*(Taxij*BCPTIJ)+BCPTII</f>
        <v>841.802623720875</v>
      </c>
      <c r="AG32" s="5" t="n">
        <f aca="false">Taxij*BUTIJ+BUTII</f>
        <v>7015.02186434063</v>
      </c>
      <c r="AH32" s="2" t="n">
        <f aca="false">TaxCost+TaxUtility</f>
        <v>7856.8244880615</v>
      </c>
      <c r="AI32" s="2" t="n">
        <f aca="false">TaxWelfare/Size</f>
        <v>392.841224403075</v>
      </c>
    </row>
    <row r="33" customFormat="false" ht="13" hidden="false" customHeight="false" outlineLevel="0" collapsed="false">
      <c r="A33" s="2" t="n">
        <v>0.11986059037608</v>
      </c>
      <c r="B33" s="2" t="n">
        <f aca="false">Tau</f>
        <v>0.11986059037608</v>
      </c>
      <c r="C33" s="2" t="n">
        <v>50</v>
      </c>
      <c r="D33" s="2" t="n">
        <v>0</v>
      </c>
      <c r="E33" s="2" t="n">
        <f aca="false">Size-a</f>
        <v>50</v>
      </c>
      <c r="F33" s="4" t="n">
        <f aca="false">(EXP(alpha*(Tau+OldTau+zeta-2*a*psi))*((EXP(alpha*a*psi)-EXP(alpha*b*psi))^2))/((EXP(alpha*a*psi)-EXP(alpha*(2*OldTau+b*psi)))*(alpha^2)*(psi^2))</f>
        <v>10.2149016669689</v>
      </c>
      <c r="G33" s="4" t="n">
        <f aca="false">(EXP(alpha*(zeta+(2*b-a)*psi))*(-1+EXP(alpha*(-1)*Size*psi))*(EXP(alpha*(2*(Tau+OldTau)+a*psi))-EXP(alpha*(2*(Tau+OldTau)+b*psi))))/(((EXP(alpha*a*psi)-EXP(alpha*(2*OldTau+b*psi)))^2)*(alpha^2)*(psi^2))</f>
        <v>0.00444738813424321</v>
      </c>
      <c r="H33" s="5" t="n">
        <f aca="false">-Beta/alpha</f>
        <v>180</v>
      </c>
      <c r="I33" s="5" t="n">
        <f aca="false">(-EXP(alpha*zeta)*Beta*(-1+EXP(alpha*Size*psi)-Size*alpha*psi))/((alpha^3)*(psi^2))</f>
        <v>15200.5073390545</v>
      </c>
      <c r="J33" s="5" t="n">
        <v>0</v>
      </c>
      <c r="K33" s="5" t="n">
        <v>0</v>
      </c>
      <c r="L33" s="5" t="n">
        <f aca="false">kappa</f>
        <v>90</v>
      </c>
      <c r="M33" s="5" t="n">
        <f aca="false">Gamma*Size</f>
        <v>0</v>
      </c>
      <c r="N33" s="5" t="n">
        <f aca="false">Size*Beta*Phi</f>
        <v>162</v>
      </c>
      <c r="O33" s="5" t="n">
        <f aca="false">-(EXP(alpha*a*psi)+EXP(alpha*b*psi)*(-1+Size*psi*alpha))*(Beta*Phi)/((alpha*psi)*(EXP(alpha*a*psi)-EXP(alpha*b*psi)))</f>
        <v>21.5103507484362</v>
      </c>
      <c r="P33" s="5" t="n">
        <f aca="false">(EXP(alpha*(zeta-a*psi))*Beta*Phi*(-EXP(alpha*a*psi)*(-2+(-1)*Size*alpha*psi)+EXP(alpha*b*psi)*(-2+Size*alpha*psi)))/((alpha^3)*(psi^3))</f>
        <v>1544.77917175571</v>
      </c>
      <c r="Q33" s="5" t="n">
        <f aca="false">Tau*Beta</f>
        <v>21.5749062676943</v>
      </c>
      <c r="R33" s="5" t="n">
        <f aca="false">Tau*Beta</f>
        <v>21.5749062676943</v>
      </c>
      <c r="S33" s="6" t="n">
        <f aca="false">Tau</f>
        <v>0.11986059037608</v>
      </c>
      <c r="T33" s="5" t="n">
        <f aca="false">Profit+Utility</f>
        <v>15405.2007510023</v>
      </c>
      <c r="U33" s="5" t="n">
        <f aca="false">(2*ij*BRIJ)+2*jj*BRJJ</f>
        <v>440.9629959614</v>
      </c>
      <c r="V33" s="5" t="n">
        <f aca="false">2*(ij*BCCIJ)+(2*jj*BCCJJ)+BCS+jj*BCPTJJ+2*(ij*BCPTIJ)+BCPTII+BCk</f>
        <v>2074.95188406803</v>
      </c>
      <c r="W33" s="5" t="n">
        <f aca="false">ij*BUTIJ+BUTII</f>
        <v>17039.1896391089</v>
      </c>
      <c r="X33" s="5" t="n">
        <f aca="false">Revenue-Cost</f>
        <v>-1633.98888810663</v>
      </c>
      <c r="Y33" s="5" t="n">
        <f aca="false">Size</f>
        <v>50</v>
      </c>
      <c r="Z33" s="6" t="n">
        <f aca="false">Welfare/(Size)</f>
        <v>308.104015020045</v>
      </c>
      <c r="AA33" s="6" t="n">
        <f aca="false">Profit/(Size)</f>
        <v>-32.6797777621327</v>
      </c>
      <c r="AB33" s="6" t="n">
        <f aca="false">Utility/(Size)</f>
        <v>340.783792782178</v>
      </c>
      <c r="AD33" s="4" t="n">
        <f aca="false">(EXP(alpha*(zeta-2*a*psi))*((EXP(alpha*a*psi)-EXP(alpha*b*psi))^2))/((EXP(alpha*a*psi)-EXP(alpha*(b*psi)))*(alpha^2)*(psi^2))</f>
        <v>12.983596232206</v>
      </c>
      <c r="AE33" s="4" t="n">
        <f aca="false">(EXP(alpha*(zeta+(2*b-a)*psi))*(-1+EXP(alpha*(-1)*Size*psi))*(EXP(alpha*(a*psi))-EXP(alpha*(b*psi))))/(((EXP(alpha*a*psi)-EXP(alpha*(b*psi)))^2)*(alpha^2)*(psi^2))</f>
        <v>0.00718499805446688</v>
      </c>
      <c r="AF33" s="5" t="n">
        <f aca="false">BCS+Taxjj*BCPTJJ+2*(Taxij*BCPTIJ)+BCPTII</f>
        <v>2104.50655930219</v>
      </c>
      <c r="AG33" s="5" t="n">
        <f aca="false">Taxij*BUTIJ+BUTII</f>
        <v>17537.5546608516</v>
      </c>
      <c r="AH33" s="2" t="n">
        <f aca="false">TaxCost+TaxUtility</f>
        <v>19642.0612201538</v>
      </c>
      <c r="AI33" s="2" t="n">
        <f aca="false">TaxWelfare/Size</f>
        <v>392.841224403075</v>
      </c>
    </row>
    <row r="34" customFormat="false" ht="13" hidden="false" customHeight="false" outlineLevel="0" collapsed="false">
      <c r="A34" s="2" t="n">
        <v>0.120071044278305</v>
      </c>
      <c r="B34" s="2" t="n">
        <f aca="false">Tau</f>
        <v>0.120071044278305</v>
      </c>
      <c r="C34" s="2" t="n">
        <v>100</v>
      </c>
      <c r="D34" s="2" t="n">
        <v>0</v>
      </c>
      <c r="E34" s="2" t="n">
        <f aca="false">Size-a</f>
        <v>100</v>
      </c>
      <c r="F34" s="4" t="n">
        <f aca="false">(EXP(alpha*(Tau+OldTau+zeta-2*a*psi))*((EXP(alpha*a*psi)-EXP(alpha*b*psi))^2))/((EXP(alpha*a*psi)-EXP(alpha*(2*OldTau+b*psi)))*(alpha^2)*(psi^2))</f>
        <v>10.21745477286</v>
      </c>
      <c r="G34" s="4" t="n">
        <f aca="false">(EXP(alpha*(zeta+(2*b-a)*psi))*(-1+EXP(alpha*(-1)*Size*psi))*(EXP(alpha*(2*(Tau+OldTau)+a*psi))-EXP(alpha*(2*(Tau+OldTau)+b*psi))))/(((EXP(alpha*a*psi)-EXP(alpha*(2*OldTau+b*psi)))^2)*(alpha^2)*(psi^2))</f>
        <v>2.45829057457267E-006</v>
      </c>
      <c r="H34" s="5" t="n">
        <f aca="false">-Beta/alpha</f>
        <v>180</v>
      </c>
      <c r="I34" s="5" t="n">
        <f aca="false">(-EXP(alpha*zeta)*Beta*(-1+EXP(alpha*Size*psi)-Size*alpha*psi))/((alpha^3)*(psi^2))</f>
        <v>32736.7694155601</v>
      </c>
      <c r="J34" s="5" t="n">
        <v>0</v>
      </c>
      <c r="K34" s="5" t="n">
        <v>0</v>
      </c>
      <c r="L34" s="5" t="n">
        <f aca="false">kappa</f>
        <v>90</v>
      </c>
      <c r="M34" s="5" t="n">
        <f aca="false">Gamma*Size</f>
        <v>0</v>
      </c>
      <c r="N34" s="5" t="n">
        <f aca="false">Size*Beta*Phi</f>
        <v>324</v>
      </c>
      <c r="O34" s="5" t="n">
        <f aca="false">-(EXP(alpha*a*psi)+EXP(alpha*b*psi)*(-1+Size*psi*alpha))*(Beta*Phi)/((alpha*psi)*(EXP(alpha*a*psi)-EXP(alpha*b*psi)))</f>
        <v>21.5999008876178</v>
      </c>
      <c r="P34" s="5" t="n">
        <f aca="false">(EXP(alpha*(zeta-a*psi))*Beta*Phi*(-EXP(alpha*a*psi)*(-2+(-1)*Size*alpha*psi)+EXP(alpha*b*psi)*(-2+Size*alpha*psi)))/((alpha^3)*(psi^3))</f>
        <v>3647.81282867692</v>
      </c>
      <c r="Q34" s="5" t="n">
        <f aca="false">Tau*Beta</f>
        <v>21.6127879700949</v>
      </c>
      <c r="R34" s="5" t="n">
        <f aca="false">Tau*Beta</f>
        <v>21.6127879700949</v>
      </c>
      <c r="S34" s="6" t="n">
        <f aca="false">Tau</f>
        <v>0.120071044278305</v>
      </c>
      <c r="T34" s="5" t="n">
        <f aca="false">Profit+Utility</f>
        <v>30838.3611021376</v>
      </c>
      <c r="U34" s="5" t="n">
        <f aca="false">(2*ij*BRIJ)+2*jj*BRJJ</f>
        <v>441.655473460741</v>
      </c>
      <c r="V34" s="5" t="n">
        <f aca="false">2*(ij*BCCIJ)+(2*jj*BCCJJ)+BCS+jj*BCPTJJ+2*(ij*BCPTIJ)+BCPTII+BCk</f>
        <v>4179.20564599806</v>
      </c>
      <c r="W34" s="5" t="n">
        <f aca="false">ij*BUTIJ+BUTII</f>
        <v>34575.9112746749</v>
      </c>
      <c r="X34" s="5" t="n">
        <f aca="false">Revenue-Cost</f>
        <v>-3737.55017253732</v>
      </c>
      <c r="Y34" s="5" t="n">
        <f aca="false">Size</f>
        <v>100</v>
      </c>
      <c r="Z34" s="6" t="n">
        <f aca="false">Welfare/(Size)</f>
        <v>308.383611021376</v>
      </c>
      <c r="AA34" s="6" t="n">
        <f aca="false">Profit/(Size)</f>
        <v>-37.3755017253732</v>
      </c>
      <c r="AB34" s="6" t="n">
        <f aca="false">Utility/(Size)</f>
        <v>345.759112746749</v>
      </c>
      <c r="AD34" s="4" t="n">
        <f aca="false">(EXP(alpha*(zeta-2*a*psi))*((EXP(alpha*a*psi)-EXP(alpha*b*psi))^2))/((EXP(alpha*a*psi)-EXP(alpha*(b*psi)))*(alpha^2)*(psi^2))</f>
        <v>12.9907772563503</v>
      </c>
      <c r="AE34" s="4" t="n">
        <f aca="false">(EXP(alpha*(zeta+(2*b-a)*psi))*(-1+EXP(alpha*(-1)*Size*psi))*(EXP(alpha*(a*psi))-EXP(alpha*(b*psi))))/(((EXP(alpha*a*psi)-EXP(alpha*(b*psi)))^2)*(alpha^2)*(psi^2))</f>
        <v>3.97391012346822E-006</v>
      </c>
      <c r="AF34" s="5" t="n">
        <f aca="false">BCS+Taxjj*BCPTJJ+2*(Taxij*BCPTIJ)+BCPTII</f>
        <v>4209.01311860438</v>
      </c>
      <c r="AG34" s="5" t="n">
        <f aca="false">Taxij*BUTIJ+BUTII</f>
        <v>35075.1093217031</v>
      </c>
      <c r="AH34" s="2" t="n">
        <f aca="false">TaxCost+TaxUtility</f>
        <v>39284.1224403075</v>
      </c>
      <c r="AI34" s="2" t="n">
        <f aca="false">TaxWelfare/Size</f>
        <v>392.841224403075</v>
      </c>
    </row>
    <row r="35" customFormat="false" ht="13" hidden="false" customHeight="false" outlineLevel="0" collapsed="false">
      <c r="A35" s="2" t="n">
        <v>0.120071218370888</v>
      </c>
      <c r="B35" s="2" t="n">
        <f aca="false">Tau</f>
        <v>0.120071218370888</v>
      </c>
      <c r="C35" s="2" t="n">
        <v>200</v>
      </c>
      <c r="D35" s="2" t="n">
        <v>0</v>
      </c>
      <c r="E35" s="2" t="n">
        <f aca="false">Size-a</f>
        <v>200</v>
      </c>
      <c r="F35" s="4" t="n">
        <f aca="false">(EXP(alpha*(Tau+OldTau+zeta-2*a*psi))*((EXP(alpha*a*psi)-EXP(alpha*b*psi))^2))/((EXP(alpha*a*psi)-EXP(alpha*(2*OldTau+b*psi)))*(alpha^2)*(psi^2))</f>
        <v>10.2174550080896</v>
      </c>
      <c r="G35" s="4" t="n">
        <f aca="false">(EXP(alpha*(zeta+(2*b-a)*psi))*(-1+EXP(alpha*(-1)*Size*psi))*(EXP(alpha*(2*(Tau+OldTau)+a*psi))-EXP(alpha*(2*(Tau+OldTau)+b*psi))))/(((EXP(alpha*a*psi)-EXP(alpha*(2*OldTau+b*psi)))^2)*(alpha^2)*(psi^2))</f>
        <v>7.51996365780045E-013</v>
      </c>
      <c r="H35" s="5" t="n">
        <f aca="false">-Beta/alpha</f>
        <v>180</v>
      </c>
      <c r="I35" s="5" t="n">
        <f aca="false">(-EXP(alpha*zeta)*Beta*(-1+EXP(alpha*Size*psi)-Size*alpha*psi))/((alpha^3)*(psi^2))</f>
        <v>67811.8780219596</v>
      </c>
      <c r="J35" s="5" t="n">
        <v>0</v>
      </c>
      <c r="K35" s="5" t="n">
        <v>0</v>
      </c>
      <c r="L35" s="5" t="n">
        <f aca="false">kappa</f>
        <v>90</v>
      </c>
      <c r="M35" s="5" t="n">
        <f aca="false">Gamma*Size</f>
        <v>0</v>
      </c>
      <c r="N35" s="5" t="n">
        <f aca="false">Size*Beta*Phi</f>
        <v>648</v>
      </c>
      <c r="O35" s="5" t="n">
        <f aca="false">-(EXP(alpha*a*psi)+EXP(alpha*b*psi)*(-1+Size*psi*alpha))*(Beta*Phi)/((alpha*psi)*(EXP(alpha*a*psi)-EXP(alpha*b*psi)))</f>
        <v>21.5999999999394</v>
      </c>
      <c r="P35" s="5" t="n">
        <f aca="false">(EXP(alpha*(zeta-a*psi))*Beta*Phi*(-EXP(alpha*a*psi)*(-2+(-1)*Size*alpha*psi)+EXP(alpha*b*psi)*(-2+Size*alpha*psi)))/((alpha^3)*(psi^3))</f>
        <v>7856.82448806234</v>
      </c>
      <c r="Q35" s="5" t="n">
        <f aca="false">Tau*Beta</f>
        <v>21.6128193067598</v>
      </c>
      <c r="R35" s="5" t="n">
        <f aca="false">Tau*Beta</f>
        <v>21.6128193067598</v>
      </c>
      <c r="S35" s="6" t="n">
        <f aca="false">Tau</f>
        <v>0.120071218370888</v>
      </c>
      <c r="T35" s="5" t="n">
        <f aca="false">Profit+Utility</f>
        <v>61704.4573967343</v>
      </c>
      <c r="U35" s="5" t="n">
        <f aca="false">(2*ij*BRIJ)+2*jj*BRJJ</f>
        <v>441.656017729609</v>
      </c>
      <c r="V35" s="5" t="n">
        <f aca="false">2*(ij*BCCIJ)+(2*jj*BCCJJ)+BCS+jj*BCPTJJ+2*(ij*BCPTIJ)+BCPTII+BCk</f>
        <v>8388.21854441106</v>
      </c>
      <c r="W35" s="5" t="n">
        <f aca="false">ij*BUTIJ+BUTII</f>
        <v>69651.0199234157</v>
      </c>
      <c r="X35" s="5" t="n">
        <f aca="false">Revenue-Cost</f>
        <v>-7946.56252668145</v>
      </c>
      <c r="Y35" s="5" t="n">
        <f aca="false">Size</f>
        <v>200</v>
      </c>
      <c r="Z35" s="6" t="n">
        <f aca="false">Welfare/(Size)</f>
        <v>308.522286983671</v>
      </c>
      <c r="AA35" s="6" t="n">
        <f aca="false">Profit/(Size)</f>
        <v>-39.7328126334073</v>
      </c>
      <c r="AB35" s="6" t="n">
        <f aca="false">Utility/(Size)</f>
        <v>348.255099617079</v>
      </c>
      <c r="AD35" s="4" t="n">
        <f aca="false">(EXP(alpha*(zeta-2*a*psi))*((EXP(alpha*a*psi)-EXP(alpha*b*psi))^2))/((EXP(alpha*a*psi)-EXP(alpha*(b*psi)))*(alpha^2)*(psi^2))</f>
        <v>12.9907812302592</v>
      </c>
      <c r="AE35" s="4" t="n">
        <f aca="false">(EXP(alpha*(zeta+(2*b-a)*psi))*(-1+EXP(alpha*(-1)*Size*psi))*(EXP(alpha*(a*psi))-EXP(alpha*(b*psi))))/(((EXP(alpha*a*psi)-EXP(alpha*(b*psi)))^2)*(alpha^2)*(psi^2))</f>
        <v>1.21562832823463E-012</v>
      </c>
      <c r="AF35" s="5" t="n">
        <f aca="false">BCS+Taxjj*BCPTJJ+2*(Taxij*BCPTIJ)+BCPTII</f>
        <v>8418.02623720875</v>
      </c>
      <c r="AG35" s="5" t="n">
        <f aca="false">Taxij*BUTIJ+BUTII</f>
        <v>70150.2186434063</v>
      </c>
      <c r="AH35" s="2" t="n">
        <f aca="false">TaxCost+TaxUtility</f>
        <v>78568.244880615</v>
      </c>
      <c r="AI35" s="2" t="n">
        <f aca="false">TaxWelfare/Size</f>
        <v>392.841224403075</v>
      </c>
    </row>
    <row r="36" customFormat="false" ht="13" hidden="false" customHeight="false" outlineLevel="0" collapsed="false">
      <c r="A36" s="2" t="n">
        <v>0.120071218370888</v>
      </c>
      <c r="B36" s="2" t="n">
        <f aca="false">Tau</f>
        <v>0.120071218370888</v>
      </c>
      <c r="C36" s="2" t="n">
        <v>500</v>
      </c>
      <c r="D36" s="2" t="n">
        <v>0</v>
      </c>
      <c r="E36" s="2" t="n">
        <f aca="false">Size-a</f>
        <v>500</v>
      </c>
      <c r="F36" s="4" t="n">
        <f aca="false">(EXP(alpha*(Tau+OldTau+zeta-2*a*psi))*((EXP(alpha*a*psi)-EXP(alpha*b*psi))^2))/((EXP(alpha*a*psi)-EXP(alpha*(2*OldTau+b*psi)))*(alpha^2)*(psi^2))</f>
        <v>10.2174550080908</v>
      </c>
      <c r="G36" s="4" t="n">
        <f aca="false">(EXP(alpha*(zeta+(2*b-a)*psi))*(-1+EXP(alpha*(-1)*Size*psi))*(EXP(alpha*(2*(Tau+OldTau)+a*psi))-EXP(alpha*(2*(Tau+OldTau)+b*psi))))/(((EXP(alpha*a*psi)-EXP(alpha*(2*OldTau+b*psi)))^2)*(alpha^2)*(psi^2))</f>
        <v>2.1526035695511E-032</v>
      </c>
      <c r="H36" s="5" t="n">
        <f aca="false">-Beta/alpha</f>
        <v>180</v>
      </c>
      <c r="I36" s="5" t="n">
        <f aca="false">(-EXP(alpha*zeta)*Beta*(-1+EXP(alpha*Size*psi)-Size*alpha*psi))/((alpha^3)*(psi^2))</f>
        <v>173037.205987069</v>
      </c>
      <c r="J36" s="5" t="n">
        <v>0</v>
      </c>
      <c r="K36" s="5" t="n">
        <v>0</v>
      </c>
      <c r="L36" s="5" t="n">
        <f aca="false">kappa</f>
        <v>90</v>
      </c>
      <c r="M36" s="5" t="n">
        <f aca="false">Gamma*Size</f>
        <v>0</v>
      </c>
      <c r="N36" s="5" t="n">
        <f aca="false">Size*Beta*Phi</f>
        <v>1620</v>
      </c>
      <c r="O36" s="5" t="n">
        <f aca="false">-(EXP(alpha*a*psi)+EXP(alpha*b*psi)*(-1+Size*psi*alpha))*(Beta*Phi)/((alpha*psi)*(EXP(alpha*a*psi)-EXP(alpha*b*psi)))</f>
        <v>21.6</v>
      </c>
      <c r="P36" s="5" t="n">
        <f aca="false">(EXP(alpha*(zeta-a*psi))*Beta*Phi*(-EXP(alpha*a*psi)*(-2+(-1)*Size*alpha*psi)+EXP(alpha*b*psi)*(-2+Size*alpha*psi)))/((alpha^3)*(psi^3))</f>
        <v>20483.8638438746</v>
      </c>
      <c r="Q36" s="5" t="n">
        <f aca="false">Tau*Beta</f>
        <v>21.6128193067598</v>
      </c>
      <c r="R36" s="5" t="n">
        <f aca="false">Tau*Beta</f>
        <v>21.6128193067598</v>
      </c>
      <c r="S36" s="6" t="n">
        <f aca="false">Tau</f>
        <v>0.120071218370888</v>
      </c>
      <c r="T36" s="5" t="n">
        <f aca="false">Profit+Utility</f>
        <v>154302.746006031</v>
      </c>
      <c r="U36" s="5" t="n">
        <f aca="false">(2*ij*BRIJ)+2*jj*BRJJ</f>
        <v>441.656017729627</v>
      </c>
      <c r="V36" s="5" t="n">
        <f aca="false">2*(ij*BCCIJ)+(2*jj*BCCJJ)+BCS+jj*BCPTJJ+2*(ij*BCPTIJ)+BCPTII+BCk</f>
        <v>21015.2579002241</v>
      </c>
      <c r="W36" s="5" t="n">
        <f aca="false">ij*BUTIJ+BUTII</f>
        <v>174876.347888525</v>
      </c>
      <c r="X36" s="5" t="n">
        <f aca="false">Revenue-Cost</f>
        <v>-20573.6018824945</v>
      </c>
      <c r="Y36" s="5" t="n">
        <f aca="false">Size</f>
        <v>500</v>
      </c>
      <c r="Z36" s="6" t="n">
        <f aca="false">Welfare/(Size)</f>
        <v>308.605492012061</v>
      </c>
      <c r="AA36" s="6" t="n">
        <f aca="false">Profit/(Size)</f>
        <v>-41.147203764989</v>
      </c>
      <c r="AB36" s="6" t="n">
        <f aca="false">Utility/(Size)</f>
        <v>349.75269577705</v>
      </c>
      <c r="AD36" s="4" t="n">
        <f aca="false">(EXP(alpha*(zeta-2*a*psi))*((EXP(alpha*a*psi)-EXP(alpha*b*psi))^2))/((EXP(alpha*a*psi)-EXP(alpha*(b*psi)))*(alpha^2)*(psi^2))</f>
        <v>12.9907812302604</v>
      </c>
      <c r="AE36" s="4" t="n">
        <f aca="false">(EXP(alpha*(zeta+(2*b-a)*psi))*(-1+EXP(alpha*(-1)*Size*psi))*(EXP(alpha*(a*psi))-EXP(alpha*(b*psi))))/(((EXP(alpha*a*psi)-EXP(alpha*(b*psi)))^2)*(alpha^2)*(psi^2))</f>
        <v>3.47975867661385E-032</v>
      </c>
      <c r="AF36" s="5" t="n">
        <f aca="false">BCS+Taxjj*BCPTJJ+2*(Taxij*BCPTIJ)+BCPTII</f>
        <v>21045.0655930219</v>
      </c>
      <c r="AG36" s="5" t="n">
        <f aca="false">Taxij*BUTIJ+BUTII</f>
        <v>175375.546608516</v>
      </c>
      <c r="AH36" s="2" t="n">
        <f aca="false">TaxCost+TaxUtility</f>
        <v>196420.612201538</v>
      </c>
      <c r="AI36" s="2" t="n">
        <f aca="false">TaxWelfare/Size</f>
        <v>392.841224403075</v>
      </c>
    </row>
    <row r="37" customFormat="false" ht="13" hidden="false" customHeight="false" outlineLevel="0" collapsed="false">
      <c r="A37" s="2" t="n">
        <v>0.120071218370888</v>
      </c>
      <c r="B37" s="2" t="n">
        <f aca="false">Tau</f>
        <v>0.120071218370888</v>
      </c>
      <c r="C37" s="2" t="n">
        <v>1000</v>
      </c>
      <c r="D37" s="2" t="n">
        <v>0</v>
      </c>
      <c r="E37" s="2" t="n">
        <f aca="false">Size-a</f>
        <v>1000</v>
      </c>
      <c r="F37" s="4" t="n">
        <f aca="false">(EXP(alpha*(Tau+OldTau+zeta-2*a*psi))*((EXP(alpha*a*psi)-EXP(alpha*b*psi))^2))/((EXP(alpha*a*psi)-EXP(alpha*(2*OldTau+b*psi)))*(alpha^2)*(psi^2))</f>
        <v>10.2174550080908</v>
      </c>
      <c r="G37" s="4" t="n">
        <f aca="false">(EXP(alpha*(zeta+(2*b-a)*psi))*(-1+EXP(alpha*(-1)*Size*psi))*(EXP(alpha*(2*(Tau+OldTau)+a*psi))-EXP(alpha*(2*(Tau+OldTau)+b*psi))))/(((EXP(alpha*a*psi)-EXP(alpha*(2*OldTau+b*psi)))^2)*(alpha^2)*(psi^2))</f>
        <v>5.76604348551941E-065</v>
      </c>
      <c r="H37" s="5" t="n">
        <f aca="false">-Beta/alpha</f>
        <v>180</v>
      </c>
      <c r="I37" s="5" t="n">
        <f aca="false">(-EXP(alpha*zeta)*Beta*(-1+EXP(alpha*Size*psi)-Size*alpha*psi))/((alpha^3)*(psi^2))</f>
        <v>348412.752595584</v>
      </c>
      <c r="J37" s="5" t="n">
        <v>0</v>
      </c>
      <c r="K37" s="5" t="n">
        <v>0</v>
      </c>
      <c r="L37" s="5" t="n">
        <f aca="false">kappa</f>
        <v>90</v>
      </c>
      <c r="M37" s="5" t="n">
        <f aca="false">Gamma*Size</f>
        <v>0</v>
      </c>
      <c r="N37" s="5" t="n">
        <f aca="false">Size*Beta*Phi</f>
        <v>3240</v>
      </c>
      <c r="O37" s="5" t="n">
        <f aca="false">-(EXP(alpha*a*psi)+EXP(alpha*b*psi)*(-1+Size*psi*alpha))*(Beta*Phi)/((alpha*psi)*(EXP(alpha*a*psi)-EXP(alpha*b*psi)))</f>
        <v>21.6</v>
      </c>
      <c r="P37" s="5" t="n">
        <f aca="false">(EXP(alpha*(zeta-a*psi))*Beta*Phi*(-EXP(alpha*a*psi)*(-2+(-1)*Size*alpha*psi)+EXP(alpha*b*psi)*(-2+Size*alpha*psi)))/((alpha^3)*(psi^3))</f>
        <v>41528.9294368965</v>
      </c>
      <c r="Q37" s="5" t="n">
        <f aca="false">Tau*Beta</f>
        <v>21.6128193067598</v>
      </c>
      <c r="R37" s="5" t="n">
        <f aca="false">Tau*Beta</f>
        <v>21.6128193067598</v>
      </c>
      <c r="S37" s="6" t="n">
        <f aca="false">Tau</f>
        <v>0.120071218370888</v>
      </c>
      <c r="T37" s="5" t="n">
        <f aca="false">Profit+Utility</f>
        <v>308633.227021524</v>
      </c>
      <c r="U37" s="5" t="n">
        <f aca="false">(2*ij*BRIJ)+2*jj*BRJJ</f>
        <v>441.656017729627</v>
      </c>
      <c r="V37" s="5" t="n">
        <f aca="false">2*(ij*BCCIJ)+(2*jj*BCCJJ)+BCS+jj*BCPTJJ+2*(ij*BCPTIJ)+BCPTII+BCk</f>
        <v>42060.323493246</v>
      </c>
      <c r="W37" s="5" t="n">
        <f aca="false">ij*BUTIJ+BUTII</f>
        <v>350251.894497041</v>
      </c>
      <c r="X37" s="5" t="n">
        <f aca="false">Revenue-Cost</f>
        <v>-41618.6674755164</v>
      </c>
      <c r="Y37" s="5" t="n">
        <f aca="false">Size</f>
        <v>1000</v>
      </c>
      <c r="Z37" s="6" t="n">
        <f aca="false">Welfare/(Size)</f>
        <v>308.633227021524</v>
      </c>
      <c r="AA37" s="6" t="n">
        <f aca="false">Profit/(Size)</f>
        <v>-41.6186674755164</v>
      </c>
      <c r="AB37" s="6" t="n">
        <f aca="false">Utility/(Size)</f>
        <v>350.251894497041</v>
      </c>
      <c r="AD37" s="4" t="n">
        <f aca="false">(EXP(alpha*(zeta-2*a*psi))*((EXP(alpha*a*psi)-EXP(alpha*b*psi))^2))/((EXP(alpha*a*psi)-EXP(alpha*(b*psi)))*(alpha^2)*(psi^2))</f>
        <v>12.9907812302604</v>
      </c>
      <c r="AE37" s="4" t="n">
        <f aca="false">(EXP(alpha*(zeta+(2*b-a)*psi))*(-1+EXP(alpha*(-1)*Size*psi))*(EXP(alpha*(a*psi))-EXP(alpha*(b*psi))))/(((EXP(alpha*a*psi)-EXP(alpha*(b*psi)))^2)*(alpha^2)*(psi^2))</f>
        <v>9.32101020934996E-065</v>
      </c>
      <c r="AF37" s="5" t="n">
        <f aca="false">BCS+Taxjj*BCPTJJ+2*(Taxij*BCPTIJ)+BCPTII</f>
        <v>42090.1311860438</v>
      </c>
      <c r="AG37" s="5" t="n">
        <f aca="false">Taxij*BUTIJ+BUTII</f>
        <v>350751.093217031</v>
      </c>
      <c r="AH37" s="2" t="n">
        <f aca="false">TaxCost+TaxUtility</f>
        <v>392841.224403075</v>
      </c>
      <c r="AI37" s="2" t="n">
        <f aca="false">TaxWelfare/Size</f>
        <v>392.841224403075</v>
      </c>
    </row>
    <row r="38" customFormat="false" ht="13" hidden="false" customHeight="false" outlineLevel="0" collapsed="false">
      <c r="F38" s="4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6"/>
      <c r="T38" s="5"/>
      <c r="U38" s="5"/>
      <c r="V38" s="5"/>
      <c r="W38" s="5"/>
      <c r="X38" s="5"/>
      <c r="Y38" s="5"/>
      <c r="Z38" s="6"/>
      <c r="AA38" s="6"/>
      <c r="AB38" s="6"/>
      <c r="AD38" s="4"/>
      <c r="AE38" s="4"/>
      <c r="AF38" s="5"/>
      <c r="AG38" s="5"/>
    </row>
    <row r="39" customFormat="false" ht="13" hidden="false" customHeight="false" outlineLevel="0" collapsed="false">
      <c r="A39" s="8" t="s">
        <v>154</v>
      </c>
    </row>
    <row r="40" customFormat="false" ht="13" hidden="false" customHeight="false" outlineLevel="0" collapsed="false">
      <c r="A40" s="2" t="s">
        <v>13</v>
      </c>
      <c r="B40" s="2" t="s">
        <v>14</v>
      </c>
      <c r="C40" s="2" t="s">
        <v>15</v>
      </c>
      <c r="D40" s="2" t="s">
        <v>16</v>
      </c>
      <c r="E40" s="2" t="s">
        <v>17</v>
      </c>
      <c r="F40" s="3" t="s">
        <v>18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27</v>
      </c>
      <c r="P40" s="2" t="s">
        <v>28</v>
      </c>
      <c r="Q40" s="2" t="s">
        <v>29</v>
      </c>
      <c r="R40" s="2" t="s">
        <v>30</v>
      </c>
      <c r="S40" s="2" t="s">
        <v>31</v>
      </c>
      <c r="T40" s="2" t="s">
        <v>32</v>
      </c>
      <c r="U40" s="2" t="s">
        <v>33</v>
      </c>
      <c r="V40" s="2" t="s">
        <v>34</v>
      </c>
      <c r="W40" s="2" t="s">
        <v>35</v>
      </c>
      <c r="X40" s="2" t="s">
        <v>36</v>
      </c>
      <c r="Y40" s="2" t="s">
        <v>37</v>
      </c>
      <c r="Z40" s="2" t="s">
        <v>38</v>
      </c>
      <c r="AA40" s="2" t="s">
        <v>39</v>
      </c>
      <c r="AB40" s="2" t="s">
        <v>40</v>
      </c>
      <c r="AF40" s="2" t="s">
        <v>148</v>
      </c>
      <c r="AG40" s="2" t="s">
        <v>149</v>
      </c>
      <c r="AH40" s="2" t="s">
        <v>150</v>
      </c>
      <c r="AI40" s="2" t="s">
        <v>151</v>
      </c>
    </row>
    <row r="41" customFormat="false" ht="13" hidden="false" customHeight="false" outlineLevel="0" collapsed="false">
      <c r="A41" s="2" t="n">
        <v>0.00898115642025986</v>
      </c>
      <c r="B41" s="2" t="n">
        <f aca="false">Tau</f>
        <v>0.00898115642025986</v>
      </c>
      <c r="C41" s="2" t="n">
        <v>1</v>
      </c>
      <c r="D41" s="2" t="n">
        <v>0</v>
      </c>
      <c r="E41" s="2" t="n">
        <f aca="false">Size-a</f>
        <v>1</v>
      </c>
      <c r="F41" s="4" t="n">
        <f aca="false">(EXP(alpha*(Tau+OldTau+zeta-2*a*psi))*((EXP(alpha*a*psi)-EXP(alpha*b*psi))^2))/((EXP(alpha*a*psi)-EXP(alpha*(2*OldTau+b*psi)))*(alpha^2)*(psi^2))</f>
        <v>1.60116893840697</v>
      </c>
      <c r="G41" s="4" t="n">
        <f aca="false">(EXP(alpha*(zeta+(2*b-a)*psi))*(-1+EXP(alpha*(-1)*Size*psi))*(EXP(alpha*(2*(Tau+OldTau)+a*psi))-EXP(alpha*(2*(Tau+OldTau)+b*psi))))/(((EXP(alpha*a*psi)-EXP(alpha*(2*OldTau+b*psi)))^2)*(alpha^2)*(psi^2))</f>
        <v>8.75472232821925</v>
      </c>
      <c r="H41" s="5" t="n">
        <f aca="false">-Beta/alpha</f>
        <v>180</v>
      </c>
      <c r="I41" s="5" t="n">
        <f aca="false">(-EXP(alpha*zeta)*Beta*(-1+EXP(alpha*Size*psi)-Size*alpha*psi))/((alpha^3)*(psi^2))</f>
        <v>25.0388962482082</v>
      </c>
      <c r="J41" s="5" t="n">
        <v>0</v>
      </c>
      <c r="K41" s="5" t="n">
        <v>0</v>
      </c>
      <c r="L41" s="5" t="n">
        <v>45</v>
      </c>
      <c r="M41" s="5" t="n">
        <f aca="false">Gamma*Size</f>
        <v>0</v>
      </c>
      <c r="N41" s="5" t="n">
        <f aca="false">Size*Beta*Phi</f>
        <v>3.24</v>
      </c>
      <c r="O41" s="5" t="n">
        <f aca="false">-(EXP(alpha*a*psi)+EXP(alpha*b*psi)*(-1+Size*psi*alpha))*(Beta*Phi)/((alpha*psi)*(EXP(alpha*a*psi)-EXP(alpha*b*psi)))</f>
        <v>1.57951517936842</v>
      </c>
      <c r="P41" s="5" t="n">
        <f aca="false">(EXP(alpha*(zeta-a*psi))*Beta*Phi*(-EXP(alpha*a*psi)*(-2+(-1)*Size*alpha*psi)+EXP(alpha*b*psi)*(-2+Size*alpha*psi)))/((alpha^3)*(psi^3))</f>
        <v>0.146515554131081</v>
      </c>
      <c r="Q41" s="5" t="n">
        <f aca="false">Tau*Beta</f>
        <v>1.61660815564678</v>
      </c>
      <c r="R41" s="5" t="n">
        <f aca="false">Tau*Beta</f>
        <v>1.61660815564678</v>
      </c>
      <c r="S41" s="6" t="n">
        <f aca="false">Tau</f>
        <v>0.00898115642025986</v>
      </c>
      <c r="T41" s="5" t="n">
        <f aca="false">Profit+Utility</f>
        <v>268.162184539246</v>
      </c>
      <c r="U41" s="5" t="n">
        <f aca="false">(2*ij*BRIJ)+2*jj*BRJJ</f>
        <v>33.4828365612383</v>
      </c>
      <c r="V41" s="5" t="n">
        <f aca="false">2*(ij*BCCIJ)+(2*jj*BCCJJ)+BCS+jj*BCPTJJ+2*(ij*BCPTIJ)+BCPTII+BCk</f>
        <v>78.5699571834555</v>
      </c>
      <c r="W41" s="5" t="n">
        <f aca="false">ij*BUTIJ+BUTII</f>
        <v>313.249305161463</v>
      </c>
      <c r="X41" s="5" t="n">
        <f aca="false">Revenue-Cost</f>
        <v>-45.0871206222172</v>
      </c>
      <c r="Y41" s="5" t="n">
        <f aca="false">Size</f>
        <v>1</v>
      </c>
      <c r="Z41" s="6" t="n">
        <f aca="false">Welfare/(Size)</f>
        <v>268.162184539246</v>
      </c>
      <c r="AA41" s="6" t="n">
        <f aca="false">Profit/(Size)</f>
        <v>-45.0871206222172</v>
      </c>
      <c r="AB41" s="6" t="n">
        <f aca="false">Utility/(Size)</f>
        <v>313.249305161463</v>
      </c>
      <c r="AD41" s="4" t="n">
        <f aca="false">(EXP(alpha*(zeta-2*a*psi))*((EXP(alpha*a*psi)-EXP(alpha*b*psi))^2))/((EXP(alpha*a*psi)-EXP(alpha*(b*psi)))*(alpha^2)*(psi^2))</f>
        <v>1.80951220538235</v>
      </c>
      <c r="AE41" s="4" t="n">
        <f aca="false">(EXP(alpha*(zeta+(2*b-a)*psi))*(-1+EXP(alpha*(-1)*Size*psi))*(EXP(alpha*(a*psi))-EXP(alpha*(b*psi))))/(((EXP(alpha*a*psi)-EXP(alpha*(b*psi)))^2)*(alpha^2)*(psi^2))</f>
        <v>11.1812690248781</v>
      </c>
      <c r="AF41" s="5" t="n">
        <f aca="false">BCS+Taxjj*BCPTJJ+2*(Taxij*BCPTIJ)+BCPTII</f>
        <v>42.0901311860437</v>
      </c>
      <c r="AG41" s="5" t="n">
        <f aca="false">Taxij*BUTIJ+BUTII</f>
        <v>350.751093217031</v>
      </c>
      <c r="AH41" s="2" t="n">
        <f aca="false">TaxCost+TaxUtility</f>
        <v>392.841224403075</v>
      </c>
      <c r="AI41" s="2" t="n">
        <f aca="false">TaxWelfare/Size</f>
        <v>392.841224403075</v>
      </c>
    </row>
    <row r="42" customFormat="false" ht="13" hidden="false" customHeight="false" outlineLevel="0" collapsed="false">
      <c r="A42" s="2" t="n">
        <v>0.0178505614325708</v>
      </c>
      <c r="B42" s="2" t="n">
        <f aca="false">Tau</f>
        <v>0.0178505614325708</v>
      </c>
      <c r="C42" s="2" t="n">
        <v>2</v>
      </c>
      <c r="D42" s="2" t="n">
        <v>0</v>
      </c>
      <c r="E42" s="2" t="n">
        <f aca="false">Size-a</f>
        <v>2</v>
      </c>
      <c r="F42" s="4" t="n">
        <f aca="false">(EXP(alpha*(Tau+OldTau+zeta-2*a*psi))*((EXP(alpha*a*psi)-EXP(alpha*b*psi))^2))/((EXP(alpha*a*psi)-EXP(alpha*(2*OldTau+b*psi)))*(alpha^2)*(psi^2))</f>
        <v>2.95288004232326</v>
      </c>
      <c r="G42" s="4" t="n">
        <f aca="false">(EXP(alpha*(zeta+(2*b-a)*psi))*(-1+EXP(alpha*(-1)*Size*psi))*(EXP(alpha*(2*(Tau+OldTau)+a*psi))-EXP(alpha*(2*(Tau+OldTau)+b*psi))))/(((EXP(alpha*a*psi)-EXP(alpha*(2*OldTau+b*psi)))^2)*(alpha^2)*(psi^2))</f>
        <v>7.4021701084306</v>
      </c>
      <c r="H42" s="5" t="n">
        <f aca="false">-Beta/alpha</f>
        <v>180</v>
      </c>
      <c r="I42" s="5" t="n">
        <f aca="false">(-EXP(alpha*zeta)*Beta*(-1+EXP(alpha*Size*psi)-Size*alpha*psi))/((alpha^3)*(psi^2))</f>
        <v>95.4469035152439</v>
      </c>
      <c r="J42" s="5" t="n">
        <v>0</v>
      </c>
      <c r="K42" s="5" t="n">
        <v>0</v>
      </c>
      <c r="L42" s="5" t="n">
        <v>45</v>
      </c>
      <c r="M42" s="5" t="n">
        <f aca="false">Gamma*Size</f>
        <v>0</v>
      </c>
      <c r="N42" s="5" t="n">
        <f aca="false">Size*Beta*Phi</f>
        <v>6.48</v>
      </c>
      <c r="O42" s="5" t="n">
        <f aca="false">-(EXP(alpha*a*psi)+EXP(alpha*b*psi)*(-1+Size*psi*alpha))*(Beta*Phi)/((alpha*psi)*(EXP(alpha*a*psi)-EXP(alpha*b*psi)))</f>
        <v>3.07824248045466</v>
      </c>
      <c r="P42" s="5" t="n">
        <f aca="false">(EXP(alpha*(zeta-a*psi))*Beta*Phi*(-EXP(alpha*a*psi)*(-2+(-1)*Size*alpha*psi)+EXP(alpha*b*psi)*(-2+Size*alpha*psi)))/((alpha^3)*(psi^3))</f>
        <v>1.08926665858103</v>
      </c>
      <c r="Q42" s="5" t="n">
        <f aca="false">Tau*Beta</f>
        <v>3.21310105786275</v>
      </c>
      <c r="R42" s="5" t="n">
        <f aca="false">Tau*Beta</f>
        <v>3.21310105786275</v>
      </c>
      <c r="S42" s="6" t="n">
        <f aca="false">Tau</f>
        <v>0.0178505614325708</v>
      </c>
      <c r="T42" s="5" t="n">
        <f aca="false">Profit+Utility</f>
        <v>581.274265787504</v>
      </c>
      <c r="U42" s="5" t="n">
        <f aca="false">(2*ij*BRIJ)+2*jj*BRJJ</f>
        <v>66.543645187218</v>
      </c>
      <c r="V42" s="5" t="n">
        <f aca="false">2*(ij*BCCIJ)+(2*jj*BCCJJ)+BCS+jj*BCPTJJ+2*(ij*BCPTIJ)+BCPTII+BCk</f>
        <v>112.234690533144</v>
      </c>
      <c r="W42" s="5" t="n">
        <f aca="false">ij*BUTIJ+BUTII</f>
        <v>626.96531113343</v>
      </c>
      <c r="X42" s="5" t="n">
        <f aca="false">Revenue-Cost</f>
        <v>-45.6910453459257</v>
      </c>
      <c r="Y42" s="5" t="n">
        <f aca="false">Size</f>
        <v>2</v>
      </c>
      <c r="Z42" s="6" t="n">
        <f aca="false">Welfare/(Size)</f>
        <v>290.637132893752</v>
      </c>
      <c r="AA42" s="6" t="n">
        <f aca="false">Profit/(Size)</f>
        <v>-22.8455226729629</v>
      </c>
      <c r="AB42" s="6" t="n">
        <f aca="false">Utility/(Size)</f>
        <v>313.482655566715</v>
      </c>
      <c r="AD42" s="4" t="n">
        <f aca="false">(EXP(alpha*(zeta-2*a*psi))*((EXP(alpha*a*psi)-EXP(alpha*b*psi))^2))/((EXP(alpha*a*psi)-EXP(alpha*(b*psi)))*(alpha^2)*(psi^2))</f>
        <v>3.36697379399344</v>
      </c>
      <c r="AE42" s="4" t="n">
        <f aca="false">(EXP(alpha*(zeta+(2*b-a)*psi))*(-1+EXP(alpha*(-1)*Size*psi))*(EXP(alpha*(a*psi))-EXP(alpha*(b*psi))))/(((EXP(alpha*a*psi)-EXP(alpha*(b*psi)))^2)*(alpha^2)*(psi^2))</f>
        <v>9.62380743626698</v>
      </c>
      <c r="AF42" s="5" t="n">
        <f aca="false">BCS+Taxjj*BCPTJJ+2*(Taxij*BCPTIJ)+BCPTII</f>
        <v>84.1802623720875</v>
      </c>
      <c r="AG42" s="5" t="n">
        <f aca="false">Taxij*BUTIJ+BUTII</f>
        <v>701.502186434063</v>
      </c>
      <c r="AH42" s="2" t="n">
        <f aca="false">TaxCost+TaxUtility</f>
        <v>785.68244880615</v>
      </c>
      <c r="AI42" s="2" t="n">
        <f aca="false">TaxWelfare/Size</f>
        <v>392.841224403075</v>
      </c>
    </row>
    <row r="43" customFormat="false" ht="13" hidden="false" customHeight="false" outlineLevel="0" collapsed="false">
      <c r="A43" s="2" t="n">
        <v>0.0427983670230575</v>
      </c>
      <c r="B43" s="2" t="n">
        <f aca="false">Tau</f>
        <v>0.0427983670230575</v>
      </c>
      <c r="C43" s="2" t="n">
        <v>5</v>
      </c>
      <c r="D43" s="2" t="n">
        <v>0</v>
      </c>
      <c r="E43" s="2" t="n">
        <f aca="false">Size-a</f>
        <v>5</v>
      </c>
      <c r="F43" s="4" t="n">
        <f aca="false">(EXP(alpha*(Tau+OldTau+zeta-2*a*psi))*((EXP(alpha*a*psi)-EXP(alpha*b*psi))^2))/((EXP(alpha*a*psi)-EXP(alpha*(2*OldTau+b*psi)))*(alpha^2)*(psi^2))</f>
        <v>5.86157697080031</v>
      </c>
      <c r="G43" s="4" t="n">
        <f aca="false">(EXP(alpha*(zeta+(2*b-a)*psi))*(-1+EXP(alpha*(-1)*Size*psi))*(EXP(alpha*(2*(Tau+OldTau)+a*psi))-EXP(alpha*(2*(Tau+OldTau)+b*psi))))/(((EXP(alpha*a*psi)-EXP(alpha*(2*OldTau+b*psi)))^2)*(alpha^2)*(psi^2))</f>
        <v>4.4875383977123</v>
      </c>
      <c r="H43" s="5" t="n">
        <f aca="false">-Beta/alpha</f>
        <v>180</v>
      </c>
      <c r="I43" s="5" t="n">
        <f aca="false">(-EXP(alpha*zeta)*Beta*(-1+EXP(alpha*Size*psi)-Size*alpha*psi))/((alpha^3)*(psi^2))</f>
        <v>519.968743125424</v>
      </c>
      <c r="J43" s="5" t="n">
        <v>0</v>
      </c>
      <c r="K43" s="5" t="n">
        <v>0</v>
      </c>
      <c r="L43" s="5" t="n">
        <v>45</v>
      </c>
      <c r="M43" s="5" t="n">
        <f aca="false">Gamma*Size</f>
        <v>0</v>
      </c>
      <c r="N43" s="5" t="n">
        <f aca="false">Size*Beta*Phi</f>
        <v>16.2</v>
      </c>
      <c r="O43" s="5" t="n">
        <f aca="false">-(EXP(alpha*a*psi)+EXP(alpha*b*psi)*(-1+Size*psi*alpha))*(Beta*Phi)/((alpha*psi)*(EXP(alpha*a*psi)-EXP(alpha*b*psi)))</f>
        <v>7.09686682268204</v>
      </c>
      <c r="P43" s="5" t="n">
        <f aca="false">(EXP(alpha*(zeta-a*psi))*Beta*Phi*(-EXP(alpha*a*psi)*(-2+(-1)*Size*alpha*psi)+EXP(alpha*b*psi)*(-2+Size*alpha*psi)))/((alpha^3)*(psi^3))</f>
        <v>13.7516932837258</v>
      </c>
      <c r="Q43" s="5" t="n">
        <f aca="false">Tau*Beta</f>
        <v>7.70370606415035</v>
      </c>
      <c r="R43" s="5" t="n">
        <f aca="false">Tau*Beta</f>
        <v>7.70370606415035</v>
      </c>
      <c r="S43" s="6" t="n">
        <f aca="false">Tau</f>
        <v>0.0427983670230575</v>
      </c>
      <c r="T43" s="5" t="n">
        <f aca="false">Profit+Utility</f>
        <v>1519.85820592348</v>
      </c>
      <c r="U43" s="5" t="n">
        <f aca="false">(2*ij*BRIJ)+2*jj*BRJJ</f>
        <v>159.453085646004</v>
      </c>
      <c r="V43" s="5" t="n">
        <f aca="false">2*(ij*BCCIJ)+(2*jj*BCCJJ)+BCS+jj*BCPTJJ+2*(ij*BCPTIJ)+BCPTII+BCk</f>
        <v>214.647477592005</v>
      </c>
      <c r="W43" s="5" t="n">
        <f aca="false">ij*BUTIJ+BUTII</f>
        <v>1575.05259786948</v>
      </c>
      <c r="X43" s="5" t="n">
        <f aca="false">Revenue-Cost</f>
        <v>-55.1943919460002</v>
      </c>
      <c r="Y43" s="5" t="n">
        <f aca="false">Size</f>
        <v>5</v>
      </c>
      <c r="Z43" s="6" t="n">
        <f aca="false">Welfare/(Size)</f>
        <v>303.971641184696</v>
      </c>
      <c r="AA43" s="6" t="n">
        <f aca="false">Profit/(Size)</f>
        <v>-11.0388783892</v>
      </c>
      <c r="AB43" s="6" t="n">
        <f aca="false">Utility/(Size)</f>
        <v>315.010519573896</v>
      </c>
      <c r="AD43" s="4" t="n">
        <f aca="false">(EXP(alpha*(zeta-2*a*psi))*((EXP(alpha*a*psi)-EXP(alpha*b*psi))^2))/((EXP(alpha*a*psi)-EXP(alpha*(b*psi)))*(alpha^2)*(psi^2))</f>
        <v>6.85437068310963</v>
      </c>
      <c r="AE43" s="4" t="n">
        <f aca="false">(EXP(alpha*(zeta+(2*b-a)*psi))*(-1+EXP(alpha*(-1)*Size*psi))*(EXP(alpha*(a*psi))-EXP(alpha*(b*psi))))/(((EXP(alpha*a*psi)-EXP(alpha*(b*psi)))^2)*(alpha^2)*(psi^2))</f>
        <v>6.13641054715079</v>
      </c>
      <c r="AF43" s="5" t="n">
        <f aca="false">BCS+Taxjj*BCPTJJ+2*(Taxij*BCPTIJ)+BCPTII</f>
        <v>210.450655930219</v>
      </c>
      <c r="AG43" s="5" t="n">
        <f aca="false">Taxij*BUTIJ+BUTII</f>
        <v>1753.75546608516</v>
      </c>
      <c r="AH43" s="2" t="n">
        <f aca="false">TaxCost+TaxUtility</f>
        <v>1964.20612201538</v>
      </c>
      <c r="AI43" s="2" t="n">
        <f aca="false">TaxWelfare/Size</f>
        <v>392.841224403075</v>
      </c>
    </row>
    <row r="44" customFormat="false" ht="13" hidden="false" customHeight="false" outlineLevel="0" collapsed="false">
      <c r="A44" s="2" t="n">
        <v>0.0752894943692236</v>
      </c>
      <c r="B44" s="2" t="n">
        <f aca="false">Tau</f>
        <v>0.0752894943692236</v>
      </c>
      <c r="C44" s="2" t="n">
        <v>10</v>
      </c>
      <c r="D44" s="2" t="n">
        <v>0</v>
      </c>
      <c r="E44" s="2" t="n">
        <f aca="false">Size-a</f>
        <v>10</v>
      </c>
      <c r="F44" s="4" t="n">
        <f aca="false">(EXP(alpha*(Tau+OldTau+zeta-2*a*psi))*((EXP(alpha*a*psi)-EXP(alpha*b*psi))^2))/((EXP(alpha*a*psi)-EXP(alpha*(2*OldTau+b*psi)))*(alpha^2)*(psi^2))</f>
        <v>8.34625952314493</v>
      </c>
      <c r="G44" s="4" t="n">
        <f aca="false">(EXP(alpha*(zeta+(2*b-a)*psi))*(-1+EXP(alpha*(-1)*Size*psi))*(EXP(alpha*(2*(Tau+OldTau)+a*psi))-EXP(alpha*(2*(Tau+OldTau)+b*psi))))/(((EXP(alpha*a*psi)-EXP(alpha*(2*OldTau+b*psi)))^2)*(alpha^2)*(psi^2))</f>
        <v>1.98248657445339</v>
      </c>
      <c r="H44" s="5" t="n">
        <f aca="false">-Beta/alpha</f>
        <v>180</v>
      </c>
      <c r="I44" s="5" t="n">
        <f aca="false">(-EXP(alpha*zeta)*Beta*(-1+EXP(alpha*Size*psi)-Size*alpha*psi))/((alpha^3)*(psi^2))</f>
        <v>1690.92462806846</v>
      </c>
      <c r="J44" s="5" t="n">
        <v>0</v>
      </c>
      <c r="K44" s="5" t="n">
        <v>0</v>
      </c>
      <c r="L44" s="5" t="n">
        <v>45</v>
      </c>
      <c r="M44" s="5" t="n">
        <f aca="false">Gamma*Size</f>
        <v>0</v>
      </c>
      <c r="N44" s="5" t="n">
        <f aca="false">Size*Beta*Phi</f>
        <v>32.4</v>
      </c>
      <c r="O44" s="5" t="n">
        <f aca="false">-(EXP(alpha*a*psi)+EXP(alpha*b*psi)*(-1+Size*psi*alpha))*(Beta*Phi)/((alpha*psi)*(EXP(alpha*a*psi)-EXP(alpha*b*psi)))</f>
        <v>12.2941718960407</v>
      </c>
      <c r="P44" s="5" t="n">
        <f aca="false">(EXP(alpha*(zeta-a*psi))*Beta*Phi*(-EXP(alpha*a*psi)*(-2+(-1)*Size*alpha*psi)+EXP(alpha*b*psi)*(-2+Size*alpha*psi)))/((alpha^3)*(psi^3))</f>
        <v>78.836375998096</v>
      </c>
      <c r="Q44" s="5" t="n">
        <f aca="false">Tau*Beta</f>
        <v>13.5521089864602</v>
      </c>
      <c r="R44" s="5" t="n">
        <f aca="false">Tau*Beta</f>
        <v>13.5521089864602</v>
      </c>
      <c r="S44" s="6" t="n">
        <f aca="false">Tau</f>
        <v>0.0752894943692236</v>
      </c>
      <c r="T44" s="5" t="n">
        <f aca="false">Profit+Utility</f>
        <v>3079.9142883074</v>
      </c>
      <c r="U44" s="5" t="n">
        <f aca="false">(2*ij*BRIJ)+2*jj*BRJJ</f>
        <v>279.952585616257</v>
      </c>
      <c r="V44" s="5" t="n">
        <f aca="false">2*(ij*BCCIJ)+(2*jj*BCCJJ)+BCS+jj*BCPTJJ+2*(ij*BCPTIJ)+BCPTII+BCk</f>
        <v>393.289639543406</v>
      </c>
      <c r="W44" s="5" t="n">
        <f aca="false">ij*BUTIJ+BUTII</f>
        <v>3193.25134223455</v>
      </c>
      <c r="X44" s="5" t="n">
        <f aca="false">Revenue-Cost</f>
        <v>-113.33705392715</v>
      </c>
      <c r="Y44" s="5" t="n">
        <f aca="false">Size</f>
        <v>10</v>
      </c>
      <c r="Z44" s="6" t="n">
        <f aca="false">Welfare/(Size)</f>
        <v>307.99142883074</v>
      </c>
      <c r="AA44" s="6" t="n">
        <f aca="false">Profit/(Size)</f>
        <v>-11.333705392715</v>
      </c>
      <c r="AB44" s="6" t="n">
        <f aca="false">Utility/(Size)</f>
        <v>319.325134223455</v>
      </c>
      <c r="AD44" s="4" t="n">
        <f aca="false">(EXP(alpha*(zeta-2*a*psi))*((EXP(alpha*a*psi)-EXP(alpha*b*psi))^2))/((EXP(alpha*a*psi)-EXP(alpha*(b*psi)))*(alpha^2)*(psi^2))</f>
        <v>10.0921461338992</v>
      </c>
      <c r="AE44" s="4" t="n">
        <f aca="false">(EXP(alpha*(zeta+(2*b-a)*psi))*(-1+EXP(alpha*(-1)*Size*psi))*(EXP(alpha*(a*psi))-EXP(alpha*(b*psi))))/(((EXP(alpha*a*psi)-EXP(alpha*(b*psi)))^2)*(alpha^2)*(psi^2))</f>
        <v>2.89863509636122</v>
      </c>
      <c r="AF44" s="5" t="n">
        <f aca="false">BCS+Taxjj*BCPTJJ+2*(Taxij*BCPTIJ)+BCPTII</f>
        <v>420.901311860438</v>
      </c>
      <c r="AG44" s="5" t="n">
        <f aca="false">Taxij*BUTIJ+BUTII</f>
        <v>3507.51093217031</v>
      </c>
      <c r="AH44" s="2" t="n">
        <f aca="false">TaxCost+TaxUtility</f>
        <v>3928.41224403075</v>
      </c>
      <c r="AI44" s="2" t="n">
        <f aca="false">TaxWelfare/Size</f>
        <v>392.841224403075</v>
      </c>
    </row>
    <row r="45" customFormat="false" ht="13" hidden="false" customHeight="false" outlineLevel="0" collapsed="false">
      <c r="A45" s="2" t="n">
        <v>0.107287438280546</v>
      </c>
      <c r="B45" s="2" t="n">
        <f aca="false">Tau</f>
        <v>0.107287438280546</v>
      </c>
      <c r="C45" s="2" t="n">
        <v>20</v>
      </c>
      <c r="D45" s="2" t="n">
        <v>0</v>
      </c>
      <c r="E45" s="2" t="n">
        <f aca="false">Size-a</f>
        <v>20</v>
      </c>
      <c r="F45" s="4" t="n">
        <f aca="false">(EXP(alpha*(Tau+OldTau+zeta-2*a*psi))*((EXP(alpha*a*psi)-EXP(alpha*b*psi))^2))/((EXP(alpha*a*psi)-EXP(alpha*(2*OldTau+b*psi)))*(alpha^2)*(psi^2))</f>
        <v>9.8604157603033</v>
      </c>
      <c r="G45" s="4" t="n">
        <f aca="false">(EXP(alpha*(zeta+(2*b-a)*psi))*(-1+EXP(alpha*(-1)*Size*psi))*(EXP(alpha*(2*(Tau+OldTau)+a*psi))-EXP(alpha*(2*(Tau+OldTau)+b*psi))))/(((EXP(alpha*a*psi)-EXP(alpha*(2*OldTau+b*psi)))^2)*(alpha^2)*(psi^2))</f>
        <v>0.412695626437854</v>
      </c>
      <c r="H45" s="5" t="n">
        <f aca="false">-Beta/alpha</f>
        <v>180</v>
      </c>
      <c r="I45" s="5" t="n">
        <f aca="false">(-EXP(alpha*zeta)*Beta*(-1+EXP(alpha*Size*psi)-Size*alpha*psi))/((alpha^3)*(psi^2))</f>
        <v>4793.10036728108</v>
      </c>
      <c r="J45" s="5" t="n">
        <v>0</v>
      </c>
      <c r="K45" s="5" t="n">
        <v>0</v>
      </c>
      <c r="L45" s="5" t="n">
        <v>45</v>
      </c>
      <c r="M45" s="5" t="n">
        <f aca="false">Gamma*Size</f>
        <v>0</v>
      </c>
      <c r="N45" s="5" t="n">
        <f aca="false">Size*Beta*Phi</f>
        <v>64.8</v>
      </c>
      <c r="O45" s="5" t="n">
        <f aca="false">-(EXP(alpha*a*psi)+EXP(alpha*b*psi)*(-1+Size*psi*alpha))*(Beta*Phi)/((alpha*psi)*(EXP(alpha*a*psi)-EXP(alpha*b*psi)))</f>
        <v>18.2047588673666</v>
      </c>
      <c r="P45" s="5" t="n">
        <f aca="false">(EXP(alpha*(zeta-a*psi))*Beta*Phi*(-EXP(alpha*a*psi)*(-2+(-1)*Size*alpha*psi)+EXP(alpha*b*psi)*(-2+Size*alpha*psi)))/((alpha^3)*(psi^3))</f>
        <v>350.452349206022</v>
      </c>
      <c r="Q45" s="5" t="n">
        <f aca="false">Tau*Beta</f>
        <v>19.3117388904983</v>
      </c>
      <c r="R45" s="5" t="n">
        <f aca="false">Tau*Beta</f>
        <v>19.3117388904983</v>
      </c>
      <c r="S45" s="6" t="n">
        <f aca="false">Tau</f>
        <v>0.107287438280546</v>
      </c>
      <c r="T45" s="5" t="n">
        <f aca="false">Profit+Utility</f>
        <v>6183.55048522737</v>
      </c>
      <c r="U45" s="5" t="n">
        <f aca="false">(2*ij*BRIJ)+2*jj*BRJJ</f>
        <v>396.783289387499</v>
      </c>
      <c r="V45" s="5" t="n">
        <f aca="false">2*(ij*BCCIJ)+(2*jj*BCCJJ)+BCS+jj*BCPTJJ+2*(ij*BCPTIJ)+BCPTII+BCk</f>
        <v>781.208008295801</v>
      </c>
      <c r="W45" s="5" t="n">
        <f aca="false">ij*BUTIJ+BUTII</f>
        <v>6567.97520413567</v>
      </c>
      <c r="X45" s="5" t="n">
        <f aca="false">Revenue-Cost</f>
        <v>-384.424718908302</v>
      </c>
      <c r="Y45" s="5" t="n">
        <f aca="false">Size</f>
        <v>20</v>
      </c>
      <c r="Z45" s="6" t="n">
        <f aca="false">Welfare/(Size)</f>
        <v>309.177524261369</v>
      </c>
      <c r="AA45" s="6" t="n">
        <f aca="false">Profit/(Size)</f>
        <v>-19.2212359454151</v>
      </c>
      <c r="AB45" s="6" t="n">
        <f aca="false">Utility/(Size)</f>
        <v>328.398760206784</v>
      </c>
      <c r="AD45" s="4" t="n">
        <f aca="false">(EXP(alpha*(zeta-2*a*psi))*((EXP(alpha*a*psi)-EXP(alpha*b*psi))^2))/((EXP(alpha*a*psi)-EXP(alpha*(b*psi)))*(alpha^2)*(psi^2))</f>
        <v>12.3440083169975</v>
      </c>
      <c r="AE45" s="4" t="n">
        <f aca="false">(EXP(alpha*(zeta+(2*b-a)*psi))*(-1+EXP(alpha*(-1)*Size*psi))*(EXP(alpha*(a*psi))-EXP(alpha*(b*psi))))/(((EXP(alpha*a*psi)-EXP(alpha*(b*psi)))^2)*(alpha^2)*(psi^2))</f>
        <v>0.646772913262939</v>
      </c>
      <c r="AF45" s="5" t="n">
        <f aca="false">BCS+Taxjj*BCPTJJ+2*(Taxij*BCPTIJ)+BCPTII</f>
        <v>841.802623720875</v>
      </c>
      <c r="AG45" s="5" t="n">
        <f aca="false">Taxij*BUTIJ+BUTII</f>
        <v>7015.02186434063</v>
      </c>
      <c r="AH45" s="2" t="n">
        <f aca="false">TaxCost+TaxUtility</f>
        <v>7856.8244880615</v>
      </c>
      <c r="AI45" s="2" t="n">
        <f aca="false">TaxWelfare/Size</f>
        <v>392.841224403075</v>
      </c>
    </row>
    <row r="46" customFormat="false" ht="13" hidden="false" customHeight="false" outlineLevel="0" collapsed="false">
      <c r="A46" s="2" t="n">
        <v>0.11986059037608</v>
      </c>
      <c r="B46" s="2" t="n">
        <f aca="false">Tau</f>
        <v>0.11986059037608</v>
      </c>
      <c r="C46" s="2" t="n">
        <v>50</v>
      </c>
      <c r="D46" s="2" t="n">
        <v>0</v>
      </c>
      <c r="E46" s="2" t="n">
        <f aca="false">Size-a</f>
        <v>50</v>
      </c>
      <c r="F46" s="4" t="n">
        <f aca="false">(EXP(alpha*(Tau+OldTau+zeta-2*a*psi))*((EXP(alpha*a*psi)-EXP(alpha*b*psi))^2))/((EXP(alpha*a*psi)-EXP(alpha*(2*OldTau+b*psi)))*(alpha^2)*(psi^2))</f>
        <v>10.2149016669689</v>
      </c>
      <c r="G46" s="4" t="n">
        <f aca="false">(EXP(alpha*(zeta+(2*b-a)*psi))*(-1+EXP(alpha*(-1)*Size*psi))*(EXP(alpha*(2*(Tau+OldTau)+a*psi))-EXP(alpha*(2*(Tau+OldTau)+b*psi))))/(((EXP(alpha*a*psi)-EXP(alpha*(2*OldTau+b*psi)))^2)*(alpha^2)*(psi^2))</f>
        <v>0.00444738813424321</v>
      </c>
      <c r="H46" s="5" t="n">
        <f aca="false">-Beta/alpha</f>
        <v>180</v>
      </c>
      <c r="I46" s="5" t="n">
        <f aca="false">(-EXP(alpha*zeta)*Beta*(-1+EXP(alpha*Size*psi)-Size*alpha*psi))/((alpha^3)*(psi^2))</f>
        <v>15200.5073390545</v>
      </c>
      <c r="J46" s="5" t="n">
        <v>0</v>
      </c>
      <c r="K46" s="5" t="n">
        <v>0</v>
      </c>
      <c r="L46" s="5" t="n">
        <v>45</v>
      </c>
      <c r="M46" s="5" t="n">
        <f aca="false">Gamma*Size</f>
        <v>0</v>
      </c>
      <c r="N46" s="5" t="n">
        <f aca="false">Size*Beta*Phi</f>
        <v>162</v>
      </c>
      <c r="O46" s="5" t="n">
        <f aca="false">-(EXP(alpha*a*psi)+EXP(alpha*b*psi)*(-1+Size*psi*alpha))*(Beta*Phi)/((alpha*psi)*(EXP(alpha*a*psi)-EXP(alpha*b*psi)))</f>
        <v>21.5103507484362</v>
      </c>
      <c r="P46" s="5" t="n">
        <f aca="false">(EXP(alpha*(zeta-a*psi))*Beta*Phi*(-EXP(alpha*a*psi)*(-2+(-1)*Size*alpha*psi)+EXP(alpha*b*psi)*(-2+Size*alpha*psi)))/((alpha^3)*(psi^3))</f>
        <v>1544.77917175571</v>
      </c>
      <c r="Q46" s="5" t="n">
        <f aca="false">Tau*Beta</f>
        <v>21.5749062676943</v>
      </c>
      <c r="R46" s="5" t="n">
        <f aca="false">Tau*Beta</f>
        <v>21.5749062676943</v>
      </c>
      <c r="S46" s="6" t="n">
        <f aca="false">Tau</f>
        <v>0.11986059037608</v>
      </c>
      <c r="T46" s="5" t="n">
        <f aca="false">Profit+Utility</f>
        <v>15450.2007510023</v>
      </c>
      <c r="U46" s="5" t="n">
        <f aca="false">(2*ij*BRIJ)+2*jj*BRJJ</f>
        <v>440.9629959614</v>
      </c>
      <c r="V46" s="5" t="n">
        <f aca="false">2*(ij*BCCIJ)+(2*jj*BCCJJ)+BCS+jj*BCPTJJ+2*(ij*BCPTIJ)+BCPTII+BCk</f>
        <v>2029.95188406803</v>
      </c>
      <c r="W46" s="5" t="n">
        <f aca="false">ij*BUTIJ+BUTII</f>
        <v>17039.1896391089</v>
      </c>
      <c r="X46" s="5" t="n">
        <f aca="false">Revenue-Cost</f>
        <v>-1588.98888810663</v>
      </c>
      <c r="Y46" s="5" t="n">
        <f aca="false">Size</f>
        <v>50</v>
      </c>
      <c r="Z46" s="6" t="n">
        <f aca="false">Welfare/(Size)</f>
        <v>309.004015020045</v>
      </c>
      <c r="AA46" s="6" t="n">
        <f aca="false">Profit/(Size)</f>
        <v>-31.7797777621327</v>
      </c>
      <c r="AB46" s="6" t="n">
        <f aca="false">Utility/(Size)</f>
        <v>340.783792782178</v>
      </c>
      <c r="AD46" s="4" t="n">
        <f aca="false">(EXP(alpha*(zeta-2*a*psi))*((EXP(alpha*a*psi)-EXP(alpha*b*psi))^2))/((EXP(alpha*a*psi)-EXP(alpha*(b*psi)))*(alpha^2)*(psi^2))</f>
        <v>12.983596232206</v>
      </c>
      <c r="AE46" s="4" t="n">
        <f aca="false">(EXP(alpha*(zeta+(2*b-a)*psi))*(-1+EXP(alpha*(-1)*Size*psi))*(EXP(alpha*(a*psi))-EXP(alpha*(b*psi))))/(((EXP(alpha*a*psi)-EXP(alpha*(b*psi)))^2)*(alpha^2)*(psi^2))</f>
        <v>0.00718499805446688</v>
      </c>
      <c r="AF46" s="5" t="n">
        <f aca="false">BCS+Taxjj*BCPTJJ+2*(Taxij*BCPTIJ)+BCPTII</f>
        <v>2104.50655930219</v>
      </c>
      <c r="AG46" s="5" t="n">
        <f aca="false">Taxij*BUTIJ+BUTII</f>
        <v>17537.5546608516</v>
      </c>
      <c r="AH46" s="2" t="n">
        <f aca="false">TaxCost+TaxUtility</f>
        <v>19642.0612201538</v>
      </c>
      <c r="AI46" s="2" t="n">
        <f aca="false">TaxWelfare/Size</f>
        <v>392.841224403075</v>
      </c>
    </row>
    <row r="47" customFormat="false" ht="13" hidden="false" customHeight="false" outlineLevel="0" collapsed="false">
      <c r="A47" s="2" t="n">
        <v>0.120071044278305</v>
      </c>
      <c r="B47" s="2" t="n">
        <f aca="false">Tau</f>
        <v>0.120071044278305</v>
      </c>
      <c r="C47" s="2" t="n">
        <v>100</v>
      </c>
      <c r="D47" s="2" t="n">
        <v>0</v>
      </c>
      <c r="E47" s="2" t="n">
        <f aca="false">Size-a</f>
        <v>100</v>
      </c>
      <c r="F47" s="4" t="n">
        <f aca="false">(EXP(alpha*(Tau+OldTau+zeta-2*a*psi))*((EXP(alpha*a*psi)-EXP(alpha*b*psi))^2))/((EXP(alpha*a*psi)-EXP(alpha*(2*OldTau+b*psi)))*(alpha^2)*(psi^2))</f>
        <v>10.21745477286</v>
      </c>
      <c r="G47" s="4" t="n">
        <f aca="false">(EXP(alpha*(zeta+(2*b-a)*psi))*(-1+EXP(alpha*(-1)*Size*psi))*(EXP(alpha*(2*(Tau+OldTau)+a*psi))-EXP(alpha*(2*(Tau+OldTau)+b*psi))))/(((EXP(alpha*a*psi)-EXP(alpha*(2*OldTau+b*psi)))^2)*(alpha^2)*(psi^2))</f>
        <v>2.45829057457267E-006</v>
      </c>
      <c r="H47" s="5" t="n">
        <f aca="false">-Beta/alpha</f>
        <v>180</v>
      </c>
      <c r="I47" s="5" t="n">
        <f aca="false">(-EXP(alpha*zeta)*Beta*(-1+EXP(alpha*Size*psi)-Size*alpha*psi))/((alpha^3)*(psi^2))</f>
        <v>32736.7694155601</v>
      </c>
      <c r="J47" s="5" t="n">
        <v>0</v>
      </c>
      <c r="K47" s="5" t="n">
        <v>0</v>
      </c>
      <c r="L47" s="5" t="n">
        <v>45</v>
      </c>
      <c r="M47" s="5" t="n">
        <f aca="false">Gamma*Size</f>
        <v>0</v>
      </c>
      <c r="N47" s="5" t="n">
        <f aca="false">Size*Beta*Phi</f>
        <v>324</v>
      </c>
      <c r="O47" s="5" t="n">
        <f aca="false">-(EXP(alpha*a*psi)+EXP(alpha*b*psi)*(-1+Size*psi*alpha))*(Beta*Phi)/((alpha*psi)*(EXP(alpha*a*psi)-EXP(alpha*b*psi)))</f>
        <v>21.5999008876178</v>
      </c>
      <c r="P47" s="5" t="n">
        <f aca="false">(EXP(alpha*(zeta-a*psi))*Beta*Phi*(-EXP(alpha*a*psi)*(-2+(-1)*Size*alpha*psi)+EXP(alpha*b*psi)*(-2+Size*alpha*psi)))/((alpha^3)*(psi^3))</f>
        <v>3647.81282867692</v>
      </c>
      <c r="Q47" s="5" t="n">
        <f aca="false">Tau*Beta</f>
        <v>21.6127879700949</v>
      </c>
      <c r="R47" s="5" t="n">
        <f aca="false">Tau*Beta</f>
        <v>21.6127879700949</v>
      </c>
      <c r="S47" s="6" t="n">
        <f aca="false">Tau</f>
        <v>0.120071044278305</v>
      </c>
      <c r="T47" s="5" t="n">
        <f aca="false">Profit+Utility</f>
        <v>30883.3611021376</v>
      </c>
      <c r="U47" s="5" t="n">
        <f aca="false">(2*ij*BRIJ)+2*jj*BRJJ</f>
        <v>441.655473460741</v>
      </c>
      <c r="V47" s="5" t="n">
        <f aca="false">2*(ij*BCCIJ)+(2*jj*BCCJJ)+BCS+jj*BCPTJJ+2*(ij*BCPTIJ)+BCPTII+BCk</f>
        <v>4134.20564599806</v>
      </c>
      <c r="W47" s="5" t="n">
        <f aca="false">ij*BUTIJ+BUTII</f>
        <v>34575.9112746749</v>
      </c>
      <c r="X47" s="5" t="n">
        <f aca="false">Revenue-Cost</f>
        <v>-3692.55017253732</v>
      </c>
      <c r="Y47" s="5" t="n">
        <f aca="false">Size</f>
        <v>100</v>
      </c>
      <c r="Z47" s="6" t="n">
        <f aca="false">Welfare/(Size)</f>
        <v>308.833611021376</v>
      </c>
      <c r="AA47" s="6" t="n">
        <f aca="false">Profit/(Size)</f>
        <v>-36.9255017253732</v>
      </c>
      <c r="AB47" s="6" t="n">
        <f aca="false">Utility/(Size)</f>
        <v>345.759112746749</v>
      </c>
      <c r="AD47" s="4" t="n">
        <f aca="false">(EXP(alpha*(zeta-2*a*psi))*((EXP(alpha*a*psi)-EXP(alpha*b*psi))^2))/((EXP(alpha*a*psi)-EXP(alpha*(b*psi)))*(alpha^2)*(psi^2))</f>
        <v>12.9907772563503</v>
      </c>
      <c r="AE47" s="4" t="n">
        <f aca="false">(EXP(alpha*(zeta+(2*b-a)*psi))*(-1+EXP(alpha*(-1)*Size*psi))*(EXP(alpha*(a*psi))-EXP(alpha*(b*psi))))/(((EXP(alpha*a*psi)-EXP(alpha*(b*psi)))^2)*(alpha^2)*(psi^2))</f>
        <v>3.97391012346822E-006</v>
      </c>
      <c r="AF47" s="5" t="n">
        <f aca="false">BCS+Taxjj*BCPTJJ+2*(Taxij*BCPTIJ)+BCPTII</f>
        <v>4209.01311860438</v>
      </c>
      <c r="AG47" s="5" t="n">
        <f aca="false">Taxij*BUTIJ+BUTII</f>
        <v>35075.1093217031</v>
      </c>
      <c r="AH47" s="2" t="n">
        <f aca="false">TaxCost+TaxUtility</f>
        <v>39284.1224403075</v>
      </c>
      <c r="AI47" s="2" t="n">
        <f aca="false">TaxWelfare/Size</f>
        <v>392.841224403075</v>
      </c>
    </row>
    <row r="48" customFormat="false" ht="13" hidden="false" customHeight="false" outlineLevel="0" collapsed="false">
      <c r="A48" s="2" t="n">
        <v>0.120071218370888</v>
      </c>
      <c r="B48" s="2" t="n">
        <f aca="false">Tau</f>
        <v>0.120071218370888</v>
      </c>
      <c r="C48" s="2" t="n">
        <v>200</v>
      </c>
      <c r="D48" s="2" t="n">
        <v>0</v>
      </c>
      <c r="E48" s="2" t="n">
        <f aca="false">Size-a</f>
        <v>200</v>
      </c>
      <c r="F48" s="4" t="n">
        <f aca="false">(EXP(alpha*(Tau+OldTau+zeta-2*a*psi))*((EXP(alpha*a*psi)-EXP(alpha*b*psi))^2))/((EXP(alpha*a*psi)-EXP(alpha*(2*OldTau+b*psi)))*(alpha^2)*(psi^2))</f>
        <v>10.2174550080896</v>
      </c>
      <c r="G48" s="4" t="n">
        <f aca="false">(EXP(alpha*(zeta+(2*b-a)*psi))*(-1+EXP(alpha*(-1)*Size*psi))*(EXP(alpha*(2*(Tau+OldTau)+a*psi))-EXP(alpha*(2*(Tau+OldTau)+b*psi))))/(((EXP(alpha*a*psi)-EXP(alpha*(2*OldTau+b*psi)))^2)*(alpha^2)*(psi^2))</f>
        <v>7.51996365780045E-013</v>
      </c>
      <c r="H48" s="5" t="n">
        <f aca="false">-Beta/alpha</f>
        <v>180</v>
      </c>
      <c r="I48" s="5" t="n">
        <f aca="false">(-EXP(alpha*zeta)*Beta*(-1+EXP(alpha*Size*psi)-Size*alpha*psi))/((alpha^3)*(psi^2))</f>
        <v>67811.8780219596</v>
      </c>
      <c r="J48" s="5" t="n">
        <v>0</v>
      </c>
      <c r="K48" s="5" t="n">
        <v>0</v>
      </c>
      <c r="L48" s="5" t="n">
        <v>45</v>
      </c>
      <c r="M48" s="5" t="n">
        <f aca="false">Gamma*Size</f>
        <v>0</v>
      </c>
      <c r="N48" s="5" t="n">
        <f aca="false">Size*Beta*Phi</f>
        <v>648</v>
      </c>
      <c r="O48" s="5" t="n">
        <f aca="false">-(EXP(alpha*a*psi)+EXP(alpha*b*psi)*(-1+Size*psi*alpha))*(Beta*Phi)/((alpha*psi)*(EXP(alpha*a*psi)-EXP(alpha*b*psi)))</f>
        <v>21.5999999999394</v>
      </c>
      <c r="P48" s="5" t="n">
        <f aca="false">(EXP(alpha*(zeta-a*psi))*Beta*Phi*(-EXP(alpha*a*psi)*(-2+(-1)*Size*alpha*psi)+EXP(alpha*b*psi)*(-2+Size*alpha*psi)))/((alpha^3)*(psi^3))</f>
        <v>7856.82448806234</v>
      </c>
      <c r="Q48" s="5" t="n">
        <f aca="false">Tau*Beta</f>
        <v>21.6128193067598</v>
      </c>
      <c r="R48" s="5" t="n">
        <f aca="false">Tau*Beta</f>
        <v>21.6128193067598</v>
      </c>
      <c r="S48" s="6" t="n">
        <f aca="false">Tau</f>
        <v>0.120071218370888</v>
      </c>
      <c r="T48" s="5" t="n">
        <f aca="false">Profit+Utility</f>
        <v>61749.4573967343</v>
      </c>
      <c r="U48" s="5" t="n">
        <f aca="false">(2*ij*BRIJ)+2*jj*BRJJ</f>
        <v>441.656017729609</v>
      </c>
      <c r="V48" s="5" t="n">
        <f aca="false">2*(ij*BCCIJ)+(2*jj*BCCJJ)+BCS+jj*BCPTJJ+2*(ij*BCPTIJ)+BCPTII+BCk</f>
        <v>8343.21854441106</v>
      </c>
      <c r="W48" s="5" t="n">
        <f aca="false">ij*BUTIJ+BUTII</f>
        <v>69651.0199234157</v>
      </c>
      <c r="X48" s="5" t="n">
        <f aca="false">Revenue-Cost</f>
        <v>-7901.56252668145</v>
      </c>
      <c r="Y48" s="5" t="n">
        <f aca="false">Size</f>
        <v>200</v>
      </c>
      <c r="Z48" s="6" t="n">
        <f aca="false">Welfare/(Size)</f>
        <v>308.747286983671</v>
      </c>
      <c r="AA48" s="6" t="n">
        <f aca="false">Profit/(Size)</f>
        <v>-39.5078126334073</v>
      </c>
      <c r="AB48" s="6" t="n">
        <f aca="false">Utility/(Size)</f>
        <v>348.255099617079</v>
      </c>
      <c r="AD48" s="4" t="n">
        <f aca="false">(EXP(alpha*(zeta-2*a*psi))*((EXP(alpha*a*psi)-EXP(alpha*b*psi))^2))/((EXP(alpha*a*psi)-EXP(alpha*(b*psi)))*(alpha^2)*(psi^2))</f>
        <v>12.9907812302592</v>
      </c>
      <c r="AE48" s="4" t="n">
        <f aca="false">(EXP(alpha*(zeta+(2*b-a)*psi))*(-1+EXP(alpha*(-1)*Size*psi))*(EXP(alpha*(a*psi))-EXP(alpha*(b*psi))))/(((EXP(alpha*a*psi)-EXP(alpha*(b*psi)))^2)*(alpha^2)*(psi^2))</f>
        <v>1.21562832823463E-012</v>
      </c>
      <c r="AF48" s="5" t="n">
        <f aca="false">BCS+Taxjj*BCPTJJ+2*(Taxij*BCPTIJ)+BCPTII</f>
        <v>8418.02623720875</v>
      </c>
      <c r="AG48" s="5" t="n">
        <f aca="false">Taxij*BUTIJ+BUTII</f>
        <v>70150.2186434063</v>
      </c>
      <c r="AH48" s="2" t="n">
        <f aca="false">TaxCost+TaxUtility</f>
        <v>78568.244880615</v>
      </c>
      <c r="AI48" s="2" t="n">
        <f aca="false">TaxWelfare/Size</f>
        <v>392.841224403075</v>
      </c>
    </row>
    <row r="49" customFormat="false" ht="13" hidden="false" customHeight="false" outlineLevel="0" collapsed="false">
      <c r="A49" s="2" t="n">
        <v>0.120071218370888</v>
      </c>
      <c r="B49" s="2" t="n">
        <f aca="false">Tau</f>
        <v>0.120071218370888</v>
      </c>
      <c r="C49" s="2" t="n">
        <v>500</v>
      </c>
      <c r="D49" s="2" t="n">
        <v>0</v>
      </c>
      <c r="E49" s="2" t="n">
        <f aca="false">Size-a</f>
        <v>500</v>
      </c>
      <c r="F49" s="4" t="n">
        <f aca="false">(EXP(alpha*(Tau+OldTau+zeta-2*a*psi))*((EXP(alpha*a*psi)-EXP(alpha*b*psi))^2))/((EXP(alpha*a*psi)-EXP(alpha*(2*OldTau+b*psi)))*(alpha^2)*(psi^2))</f>
        <v>10.2174550080908</v>
      </c>
      <c r="G49" s="4" t="n">
        <f aca="false">(EXP(alpha*(zeta+(2*b-a)*psi))*(-1+EXP(alpha*(-1)*Size*psi))*(EXP(alpha*(2*(Tau+OldTau)+a*psi))-EXP(alpha*(2*(Tau+OldTau)+b*psi))))/(((EXP(alpha*a*psi)-EXP(alpha*(2*OldTau+b*psi)))^2)*(alpha^2)*(psi^2))</f>
        <v>2.1526035695511E-032</v>
      </c>
      <c r="H49" s="5" t="n">
        <f aca="false">-Beta/alpha</f>
        <v>180</v>
      </c>
      <c r="I49" s="5" t="n">
        <f aca="false">(-EXP(alpha*zeta)*Beta*(-1+EXP(alpha*Size*psi)-Size*alpha*psi))/((alpha^3)*(psi^2))</f>
        <v>173037.205987069</v>
      </c>
      <c r="J49" s="5" t="n">
        <v>0</v>
      </c>
      <c r="K49" s="5" t="n">
        <v>0</v>
      </c>
      <c r="L49" s="5" t="n">
        <v>45</v>
      </c>
      <c r="M49" s="5" t="n">
        <f aca="false">Gamma*Size</f>
        <v>0</v>
      </c>
      <c r="N49" s="5" t="n">
        <f aca="false">Size*Beta*Phi</f>
        <v>1620</v>
      </c>
      <c r="O49" s="5" t="n">
        <f aca="false">-(EXP(alpha*a*psi)+EXP(alpha*b*psi)*(-1+Size*psi*alpha))*(Beta*Phi)/((alpha*psi)*(EXP(alpha*a*psi)-EXP(alpha*b*psi)))</f>
        <v>21.6</v>
      </c>
      <c r="P49" s="5" t="n">
        <f aca="false">(EXP(alpha*(zeta-a*psi))*Beta*Phi*(-EXP(alpha*a*psi)*(-2+(-1)*Size*alpha*psi)+EXP(alpha*b*psi)*(-2+Size*alpha*psi)))/((alpha^3)*(psi^3))</f>
        <v>20483.8638438746</v>
      </c>
      <c r="Q49" s="5" t="n">
        <f aca="false">Tau*Beta</f>
        <v>21.6128193067598</v>
      </c>
      <c r="R49" s="5" t="n">
        <f aca="false">Tau*Beta</f>
        <v>21.6128193067598</v>
      </c>
      <c r="S49" s="6" t="n">
        <f aca="false">Tau</f>
        <v>0.120071218370888</v>
      </c>
      <c r="T49" s="5" t="n">
        <f aca="false">Profit+Utility</f>
        <v>154347.746006031</v>
      </c>
      <c r="U49" s="5" t="n">
        <f aca="false">(2*ij*BRIJ)+2*jj*BRJJ</f>
        <v>441.656017729627</v>
      </c>
      <c r="V49" s="5" t="n">
        <f aca="false">2*(ij*BCCIJ)+(2*jj*BCCJJ)+BCS+jj*BCPTJJ+2*(ij*BCPTIJ)+BCPTII+BCk</f>
        <v>20970.2579002241</v>
      </c>
      <c r="W49" s="5" t="n">
        <f aca="false">ij*BUTIJ+BUTII</f>
        <v>174876.347888525</v>
      </c>
      <c r="X49" s="5" t="n">
        <f aca="false">Revenue-Cost</f>
        <v>-20528.6018824945</v>
      </c>
      <c r="Y49" s="5" t="n">
        <f aca="false">Size</f>
        <v>500</v>
      </c>
      <c r="Z49" s="6" t="n">
        <f aca="false">Welfare/(Size)</f>
        <v>308.695492012061</v>
      </c>
      <c r="AA49" s="6" t="n">
        <f aca="false">Profit/(Size)</f>
        <v>-41.057203764989</v>
      </c>
      <c r="AB49" s="6" t="n">
        <f aca="false">Utility/(Size)</f>
        <v>349.75269577705</v>
      </c>
      <c r="AD49" s="4" t="n">
        <f aca="false">(EXP(alpha*(zeta-2*a*psi))*((EXP(alpha*a*psi)-EXP(alpha*b*psi))^2))/((EXP(alpha*a*psi)-EXP(alpha*(b*psi)))*(alpha^2)*(psi^2))</f>
        <v>12.9907812302604</v>
      </c>
      <c r="AE49" s="4" t="n">
        <f aca="false">(EXP(alpha*(zeta+(2*b-a)*psi))*(-1+EXP(alpha*(-1)*Size*psi))*(EXP(alpha*(a*psi))-EXP(alpha*(b*psi))))/(((EXP(alpha*a*psi)-EXP(alpha*(b*psi)))^2)*(alpha^2)*(psi^2))</f>
        <v>3.47975867661385E-032</v>
      </c>
      <c r="AF49" s="5" t="n">
        <f aca="false">BCS+Taxjj*BCPTJJ+2*(Taxij*BCPTIJ)+BCPTII</f>
        <v>21045.0655930219</v>
      </c>
      <c r="AG49" s="5" t="n">
        <f aca="false">Taxij*BUTIJ+BUTII</f>
        <v>175375.546608516</v>
      </c>
      <c r="AH49" s="2" t="n">
        <f aca="false">TaxCost+TaxUtility</f>
        <v>196420.612201538</v>
      </c>
      <c r="AI49" s="2" t="n">
        <f aca="false">TaxWelfare/Size</f>
        <v>392.841224403075</v>
      </c>
    </row>
    <row r="50" customFormat="false" ht="13" hidden="false" customHeight="false" outlineLevel="0" collapsed="false">
      <c r="A50" s="2" t="n">
        <v>0.120071218370888</v>
      </c>
      <c r="B50" s="2" t="n">
        <f aca="false">Tau</f>
        <v>0.120071218370888</v>
      </c>
      <c r="C50" s="2" t="n">
        <v>1000</v>
      </c>
      <c r="D50" s="2" t="n">
        <v>0</v>
      </c>
      <c r="E50" s="2" t="n">
        <f aca="false">Size-a</f>
        <v>1000</v>
      </c>
      <c r="F50" s="4" t="n">
        <f aca="false">(EXP(alpha*(Tau+OldTau+zeta-2*a*psi))*((EXP(alpha*a*psi)-EXP(alpha*b*psi))^2))/((EXP(alpha*a*psi)-EXP(alpha*(2*OldTau+b*psi)))*(alpha^2)*(psi^2))</f>
        <v>10.2174550080908</v>
      </c>
      <c r="G50" s="4" t="n">
        <f aca="false">(EXP(alpha*(zeta+(2*b-a)*psi))*(-1+EXP(alpha*(-1)*Size*psi))*(EXP(alpha*(2*(Tau+OldTau)+a*psi))-EXP(alpha*(2*(Tau+OldTau)+b*psi))))/(((EXP(alpha*a*psi)-EXP(alpha*(2*OldTau+b*psi)))^2)*(alpha^2)*(psi^2))</f>
        <v>5.76604348551941E-065</v>
      </c>
      <c r="H50" s="5" t="n">
        <f aca="false">-Beta/alpha</f>
        <v>180</v>
      </c>
      <c r="I50" s="5" t="n">
        <f aca="false">(-EXP(alpha*zeta)*Beta*(-1+EXP(alpha*Size*psi)-Size*alpha*psi))/((alpha^3)*(psi^2))</f>
        <v>348412.752595584</v>
      </c>
      <c r="J50" s="5" t="n">
        <v>0</v>
      </c>
      <c r="K50" s="5" t="n">
        <v>0</v>
      </c>
      <c r="L50" s="5" t="n">
        <v>45</v>
      </c>
      <c r="M50" s="5" t="n">
        <f aca="false">Gamma*Size</f>
        <v>0</v>
      </c>
      <c r="N50" s="5" t="n">
        <f aca="false">Size*Beta*Phi</f>
        <v>3240</v>
      </c>
      <c r="O50" s="5" t="n">
        <f aca="false">-(EXP(alpha*a*psi)+EXP(alpha*b*psi)*(-1+Size*psi*alpha))*(Beta*Phi)/((alpha*psi)*(EXP(alpha*a*psi)-EXP(alpha*b*psi)))</f>
        <v>21.6</v>
      </c>
      <c r="P50" s="5" t="n">
        <f aca="false">(EXP(alpha*(zeta-a*psi))*Beta*Phi*(-EXP(alpha*a*psi)*(-2+(-1)*Size*alpha*psi)+EXP(alpha*b*psi)*(-2+Size*alpha*psi)))/((alpha^3)*(psi^3))</f>
        <v>41528.9294368965</v>
      </c>
      <c r="Q50" s="5" t="n">
        <f aca="false">Tau*Beta</f>
        <v>21.6128193067598</v>
      </c>
      <c r="R50" s="5" t="n">
        <f aca="false">Tau*Beta</f>
        <v>21.6128193067598</v>
      </c>
      <c r="S50" s="6" t="n">
        <f aca="false">Tau</f>
        <v>0.120071218370888</v>
      </c>
      <c r="T50" s="5" t="n">
        <f aca="false">Profit+Utility</f>
        <v>308678.227021524</v>
      </c>
      <c r="U50" s="5" t="n">
        <f aca="false">(2*ij*BRIJ)+2*jj*BRJJ</f>
        <v>441.656017729627</v>
      </c>
      <c r="V50" s="5" t="n">
        <f aca="false">2*(ij*BCCIJ)+(2*jj*BCCJJ)+BCS+jj*BCPTJJ+2*(ij*BCPTIJ)+BCPTII+BCk</f>
        <v>42015.323493246</v>
      </c>
      <c r="W50" s="5" t="n">
        <f aca="false">ij*BUTIJ+BUTII</f>
        <v>350251.894497041</v>
      </c>
      <c r="X50" s="5" t="n">
        <f aca="false">Revenue-Cost</f>
        <v>-41573.6674755164</v>
      </c>
      <c r="Y50" s="5" t="n">
        <f aca="false">Size</f>
        <v>1000</v>
      </c>
      <c r="Z50" s="6" t="n">
        <f aca="false">Welfare/(Size)</f>
        <v>308.678227021524</v>
      </c>
      <c r="AA50" s="6" t="n">
        <f aca="false">Profit/(Size)</f>
        <v>-41.5736674755164</v>
      </c>
      <c r="AB50" s="6" t="n">
        <f aca="false">Utility/(Size)</f>
        <v>350.251894497041</v>
      </c>
      <c r="AD50" s="4" t="n">
        <f aca="false">(EXP(alpha*(zeta-2*a*psi))*((EXP(alpha*a*psi)-EXP(alpha*b*psi))^2))/((EXP(alpha*a*psi)-EXP(alpha*(b*psi)))*(alpha^2)*(psi^2))</f>
        <v>12.9907812302604</v>
      </c>
      <c r="AE50" s="4" t="n">
        <f aca="false">(EXP(alpha*(zeta+(2*b-a)*psi))*(-1+EXP(alpha*(-1)*Size*psi))*(EXP(alpha*(a*psi))-EXP(alpha*(b*psi))))/(((EXP(alpha*a*psi)-EXP(alpha*(b*psi)))^2)*(alpha^2)*(psi^2))</f>
        <v>9.32101020934996E-065</v>
      </c>
      <c r="AF50" s="5" t="n">
        <f aca="false">BCS+Taxjj*BCPTJJ+2*(Taxij*BCPTIJ)+BCPTII</f>
        <v>42090.1311860438</v>
      </c>
      <c r="AG50" s="5" t="n">
        <f aca="false">Taxij*BUTIJ+BUTII</f>
        <v>350751.093217031</v>
      </c>
      <c r="AH50" s="2" t="n">
        <f aca="false">TaxCost+TaxUtility</f>
        <v>392841.224403075</v>
      </c>
      <c r="AI50" s="2" t="n">
        <f aca="false">TaxWelfare/Size</f>
        <v>392.841224403075</v>
      </c>
    </row>
    <row r="51" customFormat="false" ht="13" hidden="false" customHeight="false" outlineLevel="0" collapsed="false"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  <c r="T51" s="5"/>
      <c r="U51" s="5"/>
      <c r="V51" s="5"/>
      <c r="W51" s="5"/>
      <c r="X51" s="5"/>
      <c r="Y51" s="5"/>
      <c r="Z51" s="6"/>
      <c r="AA51" s="6"/>
      <c r="AB51" s="6"/>
      <c r="AD51" s="4"/>
      <c r="AE51" s="4"/>
      <c r="AF51" s="5"/>
      <c r="AG51" s="5"/>
    </row>
    <row r="52" customFormat="false" ht="13" hidden="false" customHeight="false" outlineLevel="0" collapsed="false">
      <c r="A52" s="8" t="s">
        <v>155</v>
      </c>
    </row>
    <row r="53" customFormat="false" ht="13" hidden="false" customHeight="false" outlineLevel="0" collapsed="false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17</v>
      </c>
      <c r="F53" s="3" t="s">
        <v>18</v>
      </c>
      <c r="G53" s="2" t="s">
        <v>19</v>
      </c>
      <c r="H53" s="2" t="s">
        <v>20</v>
      </c>
      <c r="I53" s="2" t="s">
        <v>21</v>
      </c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27</v>
      </c>
      <c r="P53" s="2" t="s">
        <v>28</v>
      </c>
      <c r="Q53" s="2" t="s">
        <v>29</v>
      </c>
      <c r="R53" s="2" t="s">
        <v>30</v>
      </c>
      <c r="S53" s="2" t="s">
        <v>31</v>
      </c>
      <c r="T53" s="2" t="s">
        <v>32</v>
      </c>
      <c r="U53" s="2" t="s">
        <v>33</v>
      </c>
      <c r="V53" s="2" t="s">
        <v>34</v>
      </c>
      <c r="W53" s="2" t="s">
        <v>35</v>
      </c>
      <c r="X53" s="2" t="s">
        <v>36</v>
      </c>
      <c r="Y53" s="2" t="s">
        <v>37</v>
      </c>
      <c r="Z53" s="2" t="s">
        <v>38</v>
      </c>
      <c r="AA53" s="2" t="s">
        <v>39</v>
      </c>
      <c r="AB53" s="2" t="s">
        <v>40</v>
      </c>
      <c r="AF53" s="2" t="s">
        <v>148</v>
      </c>
      <c r="AG53" s="2" t="s">
        <v>149</v>
      </c>
      <c r="AH53" s="2" t="s">
        <v>150</v>
      </c>
      <c r="AI53" s="2" t="s">
        <v>151</v>
      </c>
    </row>
    <row r="54" customFormat="false" ht="13" hidden="false" customHeight="false" outlineLevel="0" collapsed="false">
      <c r="A54" s="2" t="n">
        <v>0.00898115642025986</v>
      </c>
      <c r="B54" s="2" t="n">
        <f aca="false">Tau</f>
        <v>0.00898115642025986</v>
      </c>
      <c r="C54" s="2" t="n">
        <v>1</v>
      </c>
      <c r="D54" s="2" t="n">
        <v>0</v>
      </c>
      <c r="E54" s="2" t="n">
        <f aca="false">Size-a</f>
        <v>1</v>
      </c>
      <c r="F54" s="4" t="n">
        <f aca="false">(EXP(alpha*(Tau+OldTau+zeta-2*a*psi))*((EXP(alpha*a*psi)-EXP(alpha*b*psi))^2))/((EXP(alpha*a*psi)-EXP(alpha*(2*OldTau+b*psi)))*(alpha^2)*(psi^2))</f>
        <v>1.60116893840697</v>
      </c>
      <c r="G54" s="4" t="n">
        <f aca="false">(EXP(alpha*(zeta+(2*b-a)*psi))*(-1+EXP(alpha*(-1)*Size*psi))*(EXP(alpha*(2*(Tau+OldTau)+a*psi))-EXP(alpha*(2*(Tau+OldTau)+b*psi))))/(((EXP(alpha*a*psi)-EXP(alpha*(2*OldTau+b*psi)))^2)*(alpha^2)*(psi^2))</f>
        <v>8.75472232821925</v>
      </c>
      <c r="H54" s="5" t="n">
        <f aca="false">-Beta/alpha</f>
        <v>180</v>
      </c>
      <c r="I54" s="5" t="n">
        <f aca="false">(-EXP(alpha*zeta)*Beta*(-1+EXP(alpha*Size*psi)-Size*alpha*psi))/((alpha^3)*(psi^2))</f>
        <v>25.0388962482082</v>
      </c>
      <c r="J54" s="5" t="n">
        <v>0</v>
      </c>
      <c r="K54" s="5" t="n">
        <v>0</v>
      </c>
      <c r="L54" s="5" t="n">
        <v>0</v>
      </c>
      <c r="M54" s="5" t="n">
        <f aca="false">Gamma*Size</f>
        <v>0</v>
      </c>
      <c r="N54" s="5" t="n">
        <f aca="false">Size*Beta*Phi</f>
        <v>3.24</v>
      </c>
      <c r="O54" s="5" t="n">
        <f aca="false">-(EXP(alpha*a*psi)+EXP(alpha*b*psi)*(-1+Size*psi*alpha))*(Beta*Phi)/((alpha*psi)*(EXP(alpha*a*psi)-EXP(alpha*b*psi)))</f>
        <v>1.57951517936842</v>
      </c>
      <c r="P54" s="5" t="n">
        <f aca="false">(EXP(alpha*(zeta-a*psi))*Beta*Phi*(-EXP(alpha*a*psi)*(-2+(-1)*Size*alpha*psi)+EXP(alpha*b*psi)*(-2+Size*alpha*psi)))/((alpha^3)*(psi^3))</f>
        <v>0.146515554131081</v>
      </c>
      <c r="Q54" s="5" t="n">
        <f aca="false">Tau*Beta</f>
        <v>1.61660815564678</v>
      </c>
      <c r="R54" s="5" t="n">
        <f aca="false">Tau*Beta</f>
        <v>1.61660815564678</v>
      </c>
      <c r="S54" s="6" t="n">
        <f aca="false">Tau</f>
        <v>0.00898115642025986</v>
      </c>
      <c r="T54" s="5" t="n">
        <f aca="false">Profit+Utility</f>
        <v>313.162184539246</v>
      </c>
      <c r="U54" s="5" t="n">
        <f aca="false">(2*ij*BRIJ)+2*jj*BRJJ</f>
        <v>33.4828365612383</v>
      </c>
      <c r="V54" s="5" t="n">
        <f aca="false">2*(ij*BCCIJ)+(2*jj*BCCJJ)+BCS+jj*BCPTJJ+2*(ij*BCPTIJ)+BCPTII+BCk</f>
        <v>33.5699571834555</v>
      </c>
      <c r="W54" s="5" t="n">
        <f aca="false">ij*BUTIJ+BUTII</f>
        <v>313.249305161463</v>
      </c>
      <c r="X54" s="5" t="n">
        <f aca="false">Revenue-Cost</f>
        <v>-0.0871206222171637</v>
      </c>
      <c r="Y54" s="5" t="n">
        <f aca="false">Size</f>
        <v>1</v>
      </c>
      <c r="Z54" s="6" t="n">
        <f aca="false">Welfare/(Size)</f>
        <v>313.162184539246</v>
      </c>
      <c r="AA54" s="6" t="n">
        <f aca="false">Profit/(Size)</f>
        <v>-0.0871206222171637</v>
      </c>
      <c r="AB54" s="6" t="n">
        <f aca="false">Utility/(Size)</f>
        <v>313.249305161463</v>
      </c>
      <c r="AD54" s="4" t="n">
        <f aca="false">(EXP(alpha*(zeta-2*a*psi))*((EXP(alpha*a*psi)-EXP(alpha*b*psi))^2))/((EXP(alpha*a*psi)-EXP(alpha*(b*psi)))*(alpha^2)*(psi^2))</f>
        <v>1.80951220538235</v>
      </c>
      <c r="AE54" s="4" t="n">
        <f aca="false">(EXP(alpha*(zeta+(2*b-a)*psi))*(-1+EXP(alpha*(-1)*Size*psi))*(EXP(alpha*(a*psi))-EXP(alpha*(b*psi))))/(((EXP(alpha*a*psi)-EXP(alpha*(b*psi)))^2)*(alpha^2)*(psi^2))</f>
        <v>11.1812690248781</v>
      </c>
      <c r="AF54" s="5" t="n">
        <f aca="false">BCS+Taxjj*BCPTJJ+2*(Taxij*BCPTIJ)+BCPTII</f>
        <v>42.0901311860437</v>
      </c>
      <c r="AG54" s="5" t="n">
        <f aca="false">Taxij*BUTIJ+BUTII</f>
        <v>350.751093217031</v>
      </c>
      <c r="AH54" s="2" t="n">
        <f aca="false">TaxCost+TaxUtility</f>
        <v>392.841224403075</v>
      </c>
      <c r="AI54" s="2" t="n">
        <f aca="false">TaxWelfare/Size</f>
        <v>392.841224403075</v>
      </c>
    </row>
    <row r="55" customFormat="false" ht="13" hidden="false" customHeight="false" outlineLevel="0" collapsed="false">
      <c r="A55" s="2" t="n">
        <v>0.0178505614325708</v>
      </c>
      <c r="B55" s="2" t="n">
        <f aca="false">Tau</f>
        <v>0.0178505614325708</v>
      </c>
      <c r="C55" s="2" t="n">
        <v>2</v>
      </c>
      <c r="D55" s="2" t="n">
        <v>0</v>
      </c>
      <c r="E55" s="2" t="n">
        <f aca="false">Size-a</f>
        <v>2</v>
      </c>
      <c r="F55" s="4" t="n">
        <f aca="false">(EXP(alpha*(Tau+OldTau+zeta-2*a*psi))*((EXP(alpha*a*psi)-EXP(alpha*b*psi))^2))/((EXP(alpha*a*psi)-EXP(alpha*(2*OldTau+b*psi)))*(alpha^2)*(psi^2))</f>
        <v>2.95288004232326</v>
      </c>
      <c r="G55" s="4" t="n">
        <f aca="false">(EXP(alpha*(zeta+(2*b-a)*psi))*(-1+EXP(alpha*(-1)*Size*psi))*(EXP(alpha*(2*(Tau+OldTau)+a*psi))-EXP(alpha*(2*(Tau+OldTau)+b*psi))))/(((EXP(alpha*a*psi)-EXP(alpha*(2*OldTau+b*psi)))^2)*(alpha^2)*(psi^2))</f>
        <v>7.4021701084306</v>
      </c>
      <c r="H55" s="5" t="n">
        <f aca="false">-Beta/alpha</f>
        <v>180</v>
      </c>
      <c r="I55" s="5" t="n">
        <f aca="false">(-EXP(alpha*zeta)*Beta*(-1+EXP(alpha*Size*psi)-Size*alpha*psi))/((alpha^3)*(psi^2))</f>
        <v>95.4469035152439</v>
      </c>
      <c r="J55" s="5" t="n">
        <v>0</v>
      </c>
      <c r="K55" s="5" t="n">
        <v>0</v>
      </c>
      <c r="L55" s="5" t="n">
        <v>0</v>
      </c>
      <c r="M55" s="5" t="n">
        <f aca="false">Gamma*Size</f>
        <v>0</v>
      </c>
      <c r="N55" s="5" t="n">
        <f aca="false">Size*Beta*Phi</f>
        <v>6.48</v>
      </c>
      <c r="O55" s="5" t="n">
        <f aca="false">-(EXP(alpha*a*psi)+EXP(alpha*b*psi)*(-1+Size*psi*alpha))*(Beta*Phi)/((alpha*psi)*(EXP(alpha*a*psi)-EXP(alpha*b*psi)))</f>
        <v>3.07824248045466</v>
      </c>
      <c r="P55" s="5" t="n">
        <f aca="false">(EXP(alpha*(zeta-a*psi))*Beta*Phi*(-EXP(alpha*a*psi)*(-2+(-1)*Size*alpha*psi)+EXP(alpha*b*psi)*(-2+Size*alpha*psi)))/((alpha^3)*(psi^3))</f>
        <v>1.08926665858103</v>
      </c>
      <c r="Q55" s="5" t="n">
        <f aca="false">Tau*Beta</f>
        <v>3.21310105786275</v>
      </c>
      <c r="R55" s="5" t="n">
        <f aca="false">Tau*Beta</f>
        <v>3.21310105786275</v>
      </c>
      <c r="S55" s="6" t="n">
        <f aca="false">Tau</f>
        <v>0.0178505614325708</v>
      </c>
      <c r="T55" s="5" t="n">
        <f aca="false">Profit+Utility</f>
        <v>626.274265787504</v>
      </c>
      <c r="U55" s="5" t="n">
        <f aca="false">(2*ij*BRIJ)+2*jj*BRJJ</f>
        <v>66.543645187218</v>
      </c>
      <c r="V55" s="5" t="n">
        <f aca="false">2*(ij*BCCIJ)+(2*jj*BCCJJ)+BCS+jj*BCPTJJ+2*(ij*BCPTIJ)+BCPTII+BCk</f>
        <v>67.2346905331438</v>
      </c>
      <c r="W55" s="5" t="n">
        <f aca="false">ij*BUTIJ+BUTII</f>
        <v>626.96531113343</v>
      </c>
      <c r="X55" s="5" t="n">
        <f aca="false">Revenue-Cost</f>
        <v>-0.69104534592573</v>
      </c>
      <c r="Y55" s="5" t="n">
        <f aca="false">Size</f>
        <v>2</v>
      </c>
      <c r="Z55" s="6" t="n">
        <f aca="false">Welfare/(Size)</f>
        <v>313.137132893752</v>
      </c>
      <c r="AA55" s="6" t="n">
        <f aca="false">Profit/(Size)</f>
        <v>-0.345522672962865</v>
      </c>
      <c r="AB55" s="6" t="n">
        <f aca="false">Utility/(Size)</f>
        <v>313.482655566715</v>
      </c>
      <c r="AD55" s="4" t="n">
        <f aca="false">(EXP(alpha*(zeta-2*a*psi))*((EXP(alpha*a*psi)-EXP(alpha*b*psi))^2))/((EXP(alpha*a*psi)-EXP(alpha*(b*psi)))*(alpha^2)*(psi^2))</f>
        <v>3.36697379399344</v>
      </c>
      <c r="AE55" s="4" t="n">
        <f aca="false">(EXP(alpha*(zeta+(2*b-a)*psi))*(-1+EXP(alpha*(-1)*Size*psi))*(EXP(alpha*(a*psi))-EXP(alpha*(b*psi))))/(((EXP(alpha*a*psi)-EXP(alpha*(b*psi)))^2)*(alpha^2)*(psi^2))</f>
        <v>9.62380743626698</v>
      </c>
      <c r="AF55" s="5" t="n">
        <f aca="false">BCS+Taxjj*BCPTJJ+2*(Taxij*BCPTIJ)+BCPTII</f>
        <v>84.1802623720875</v>
      </c>
      <c r="AG55" s="5" t="n">
        <f aca="false">Taxij*BUTIJ+BUTII</f>
        <v>701.502186434063</v>
      </c>
      <c r="AH55" s="2" t="n">
        <f aca="false">TaxCost+TaxUtility</f>
        <v>785.68244880615</v>
      </c>
      <c r="AI55" s="2" t="n">
        <f aca="false">TaxWelfare/Size</f>
        <v>392.841224403075</v>
      </c>
    </row>
    <row r="56" customFormat="false" ht="13" hidden="false" customHeight="false" outlineLevel="0" collapsed="false">
      <c r="A56" s="2" t="n">
        <v>0.0427983670230575</v>
      </c>
      <c r="B56" s="2" t="n">
        <f aca="false">Tau</f>
        <v>0.0427983670230575</v>
      </c>
      <c r="C56" s="2" t="n">
        <v>5</v>
      </c>
      <c r="D56" s="2" t="n">
        <v>0</v>
      </c>
      <c r="E56" s="2" t="n">
        <f aca="false">Size-a</f>
        <v>5</v>
      </c>
      <c r="F56" s="4" t="n">
        <f aca="false">(EXP(alpha*(Tau+OldTau+zeta-2*a*psi))*((EXP(alpha*a*psi)-EXP(alpha*b*psi))^2))/((EXP(alpha*a*psi)-EXP(alpha*(2*OldTau+b*psi)))*(alpha^2)*(psi^2))</f>
        <v>5.86157697080031</v>
      </c>
      <c r="G56" s="4" t="n">
        <f aca="false">(EXP(alpha*(zeta+(2*b-a)*psi))*(-1+EXP(alpha*(-1)*Size*psi))*(EXP(alpha*(2*(Tau+OldTau)+a*psi))-EXP(alpha*(2*(Tau+OldTau)+b*psi))))/(((EXP(alpha*a*psi)-EXP(alpha*(2*OldTau+b*psi)))^2)*(alpha^2)*(psi^2))</f>
        <v>4.4875383977123</v>
      </c>
      <c r="H56" s="5" t="n">
        <f aca="false">-Beta/alpha</f>
        <v>180</v>
      </c>
      <c r="I56" s="5" t="n">
        <f aca="false">(-EXP(alpha*zeta)*Beta*(-1+EXP(alpha*Size*psi)-Size*alpha*psi))/((alpha^3)*(psi^2))</f>
        <v>519.968743125424</v>
      </c>
      <c r="J56" s="5" t="n">
        <v>0</v>
      </c>
      <c r="K56" s="5" t="n">
        <v>0</v>
      </c>
      <c r="L56" s="5" t="n">
        <v>0</v>
      </c>
      <c r="M56" s="5" t="n">
        <f aca="false">Gamma*Size</f>
        <v>0</v>
      </c>
      <c r="N56" s="5" t="n">
        <f aca="false">Size*Beta*Phi</f>
        <v>16.2</v>
      </c>
      <c r="O56" s="5" t="n">
        <f aca="false">-(EXP(alpha*a*psi)+EXP(alpha*b*psi)*(-1+Size*psi*alpha))*(Beta*Phi)/((alpha*psi)*(EXP(alpha*a*psi)-EXP(alpha*b*psi)))</f>
        <v>7.09686682268204</v>
      </c>
      <c r="P56" s="5" t="n">
        <f aca="false">(EXP(alpha*(zeta-a*psi))*Beta*Phi*(-EXP(alpha*a*psi)*(-2+(-1)*Size*alpha*psi)+EXP(alpha*b*psi)*(-2+Size*alpha*psi)))/((alpha^3)*(psi^3))</f>
        <v>13.7516932837258</v>
      </c>
      <c r="Q56" s="5" t="n">
        <f aca="false">Tau*Beta</f>
        <v>7.70370606415035</v>
      </c>
      <c r="R56" s="5" t="n">
        <f aca="false">Tau*Beta</f>
        <v>7.70370606415035</v>
      </c>
      <c r="S56" s="6" t="n">
        <f aca="false">Tau</f>
        <v>0.0427983670230575</v>
      </c>
      <c r="T56" s="5" t="n">
        <f aca="false">Profit+Utility</f>
        <v>1564.85820592348</v>
      </c>
      <c r="U56" s="5" t="n">
        <f aca="false">(2*ij*BRIJ)+2*jj*BRJJ</f>
        <v>159.453085646004</v>
      </c>
      <c r="V56" s="5" t="n">
        <f aca="false">2*(ij*BCCIJ)+(2*jj*BCCJJ)+BCS+jj*BCPTJJ+2*(ij*BCPTIJ)+BCPTII+BCk</f>
        <v>169.647477592005</v>
      </c>
      <c r="W56" s="5" t="n">
        <f aca="false">ij*BUTIJ+BUTII</f>
        <v>1575.05259786948</v>
      </c>
      <c r="X56" s="5" t="n">
        <f aca="false">Revenue-Cost</f>
        <v>-10.1943919460002</v>
      </c>
      <c r="Y56" s="5" t="n">
        <f aca="false">Size</f>
        <v>5</v>
      </c>
      <c r="Z56" s="6" t="n">
        <f aca="false">Welfare/(Size)</f>
        <v>312.971641184696</v>
      </c>
      <c r="AA56" s="6" t="n">
        <f aca="false">Profit/(Size)</f>
        <v>-2.03887838920004</v>
      </c>
      <c r="AB56" s="6" t="n">
        <f aca="false">Utility/(Size)</f>
        <v>315.010519573896</v>
      </c>
      <c r="AD56" s="4" t="n">
        <f aca="false">(EXP(alpha*(zeta-2*a*psi))*((EXP(alpha*a*psi)-EXP(alpha*b*psi))^2))/((EXP(alpha*a*psi)-EXP(alpha*(b*psi)))*(alpha^2)*(psi^2))</f>
        <v>6.85437068310963</v>
      </c>
      <c r="AE56" s="4" t="n">
        <f aca="false">(EXP(alpha*(zeta+(2*b-a)*psi))*(-1+EXP(alpha*(-1)*Size*psi))*(EXP(alpha*(a*psi))-EXP(alpha*(b*psi))))/(((EXP(alpha*a*psi)-EXP(alpha*(b*psi)))^2)*(alpha^2)*(psi^2))</f>
        <v>6.13641054715079</v>
      </c>
      <c r="AF56" s="5" t="n">
        <f aca="false">BCS+Taxjj*BCPTJJ+2*(Taxij*BCPTIJ)+BCPTII</f>
        <v>210.450655930219</v>
      </c>
      <c r="AG56" s="5" t="n">
        <f aca="false">Taxij*BUTIJ+BUTII</f>
        <v>1753.75546608516</v>
      </c>
      <c r="AH56" s="2" t="n">
        <f aca="false">TaxCost+TaxUtility</f>
        <v>1964.20612201538</v>
      </c>
      <c r="AI56" s="2" t="n">
        <f aca="false">TaxWelfare/Size</f>
        <v>392.841224403075</v>
      </c>
    </row>
    <row r="57" customFormat="false" ht="13" hidden="false" customHeight="false" outlineLevel="0" collapsed="false">
      <c r="A57" s="2" t="n">
        <v>0.0752894943692236</v>
      </c>
      <c r="B57" s="2" t="n">
        <f aca="false">Tau</f>
        <v>0.0752894943692236</v>
      </c>
      <c r="C57" s="2" t="n">
        <v>10</v>
      </c>
      <c r="D57" s="2" t="n">
        <v>0</v>
      </c>
      <c r="E57" s="2" t="n">
        <f aca="false">Size-a</f>
        <v>10</v>
      </c>
      <c r="F57" s="4" t="n">
        <f aca="false">(EXP(alpha*(Tau+OldTau+zeta-2*a*psi))*((EXP(alpha*a*psi)-EXP(alpha*b*psi))^2))/((EXP(alpha*a*psi)-EXP(alpha*(2*OldTau+b*psi)))*(alpha^2)*(psi^2))</f>
        <v>8.34625952314493</v>
      </c>
      <c r="G57" s="4" t="n">
        <f aca="false">(EXP(alpha*(zeta+(2*b-a)*psi))*(-1+EXP(alpha*(-1)*Size*psi))*(EXP(alpha*(2*(Tau+OldTau)+a*psi))-EXP(alpha*(2*(Tau+OldTau)+b*psi))))/(((EXP(alpha*a*psi)-EXP(alpha*(2*OldTau+b*psi)))^2)*(alpha^2)*(psi^2))</f>
        <v>1.98248657445339</v>
      </c>
      <c r="H57" s="5" t="n">
        <f aca="false">-Beta/alpha</f>
        <v>180</v>
      </c>
      <c r="I57" s="5" t="n">
        <f aca="false">(-EXP(alpha*zeta)*Beta*(-1+EXP(alpha*Size*psi)-Size*alpha*psi))/((alpha^3)*(psi^2))</f>
        <v>1690.92462806846</v>
      </c>
      <c r="J57" s="5" t="n">
        <v>0</v>
      </c>
      <c r="K57" s="5" t="n">
        <v>0</v>
      </c>
      <c r="L57" s="5" t="n">
        <v>0</v>
      </c>
      <c r="M57" s="5" t="n">
        <f aca="false">Gamma*Size</f>
        <v>0</v>
      </c>
      <c r="N57" s="5" t="n">
        <f aca="false">Size*Beta*Phi</f>
        <v>32.4</v>
      </c>
      <c r="O57" s="5" t="n">
        <f aca="false">-(EXP(alpha*a*psi)+EXP(alpha*b*psi)*(-1+Size*psi*alpha))*(Beta*Phi)/((alpha*psi)*(EXP(alpha*a*psi)-EXP(alpha*b*psi)))</f>
        <v>12.2941718960407</v>
      </c>
      <c r="P57" s="5" t="n">
        <f aca="false">(EXP(alpha*(zeta-a*psi))*Beta*Phi*(-EXP(alpha*a*psi)*(-2+(-1)*Size*alpha*psi)+EXP(alpha*b*psi)*(-2+Size*alpha*psi)))/((alpha^3)*(psi^3))</f>
        <v>78.836375998096</v>
      </c>
      <c r="Q57" s="5" t="n">
        <f aca="false">Tau*Beta</f>
        <v>13.5521089864602</v>
      </c>
      <c r="R57" s="5" t="n">
        <f aca="false">Tau*Beta</f>
        <v>13.5521089864602</v>
      </c>
      <c r="S57" s="6" t="n">
        <f aca="false">Tau</f>
        <v>0.0752894943692236</v>
      </c>
      <c r="T57" s="5" t="n">
        <f aca="false">Profit+Utility</f>
        <v>3124.9142883074</v>
      </c>
      <c r="U57" s="5" t="n">
        <f aca="false">(2*ij*BRIJ)+2*jj*BRJJ</f>
        <v>279.952585616257</v>
      </c>
      <c r="V57" s="5" t="n">
        <f aca="false">2*(ij*BCCIJ)+(2*jj*BCCJJ)+BCS+jj*BCPTJJ+2*(ij*BCPTIJ)+BCPTII+BCk</f>
        <v>348.289639543406</v>
      </c>
      <c r="W57" s="5" t="n">
        <f aca="false">ij*BUTIJ+BUTII</f>
        <v>3193.25134223455</v>
      </c>
      <c r="X57" s="5" t="n">
        <f aca="false">Revenue-Cost</f>
        <v>-68.3370539271495</v>
      </c>
      <c r="Y57" s="5" t="n">
        <f aca="false">Size</f>
        <v>10</v>
      </c>
      <c r="Z57" s="6" t="n">
        <f aca="false">Welfare/(Size)</f>
        <v>312.49142883074</v>
      </c>
      <c r="AA57" s="6" t="n">
        <f aca="false">Profit/(Size)</f>
        <v>-6.83370539271495</v>
      </c>
      <c r="AB57" s="6" t="n">
        <f aca="false">Utility/(Size)</f>
        <v>319.325134223455</v>
      </c>
      <c r="AD57" s="4" t="n">
        <f aca="false">(EXP(alpha*(zeta-2*a*psi))*((EXP(alpha*a*psi)-EXP(alpha*b*psi))^2))/((EXP(alpha*a*psi)-EXP(alpha*(b*psi)))*(alpha^2)*(psi^2))</f>
        <v>10.0921461338992</v>
      </c>
      <c r="AE57" s="4" t="n">
        <f aca="false">(EXP(alpha*(zeta+(2*b-a)*psi))*(-1+EXP(alpha*(-1)*Size*psi))*(EXP(alpha*(a*psi))-EXP(alpha*(b*psi))))/(((EXP(alpha*a*psi)-EXP(alpha*(b*psi)))^2)*(alpha^2)*(psi^2))</f>
        <v>2.89863509636122</v>
      </c>
      <c r="AF57" s="5" t="n">
        <f aca="false">BCS+Taxjj*BCPTJJ+2*(Taxij*BCPTIJ)+BCPTII</f>
        <v>420.901311860438</v>
      </c>
      <c r="AG57" s="5" t="n">
        <f aca="false">Taxij*BUTIJ+BUTII</f>
        <v>3507.51093217031</v>
      </c>
      <c r="AH57" s="2" t="n">
        <f aca="false">TaxCost+TaxUtility</f>
        <v>3928.41224403075</v>
      </c>
      <c r="AI57" s="2" t="n">
        <f aca="false">TaxWelfare/Size</f>
        <v>392.841224403075</v>
      </c>
    </row>
    <row r="58" customFormat="false" ht="13" hidden="false" customHeight="false" outlineLevel="0" collapsed="false">
      <c r="A58" s="2" t="n">
        <v>0.107287438280546</v>
      </c>
      <c r="B58" s="2" t="n">
        <f aca="false">Tau</f>
        <v>0.107287438280546</v>
      </c>
      <c r="C58" s="2" t="n">
        <v>20</v>
      </c>
      <c r="D58" s="2" t="n">
        <v>0</v>
      </c>
      <c r="E58" s="2" t="n">
        <f aca="false">Size-a</f>
        <v>20</v>
      </c>
      <c r="F58" s="4" t="n">
        <f aca="false">(EXP(alpha*(Tau+OldTau+zeta-2*a*psi))*((EXP(alpha*a*psi)-EXP(alpha*b*psi))^2))/((EXP(alpha*a*psi)-EXP(alpha*(2*OldTau+b*psi)))*(alpha^2)*(psi^2))</f>
        <v>9.8604157603033</v>
      </c>
      <c r="G58" s="4" t="n">
        <f aca="false">(EXP(alpha*(zeta+(2*b-a)*psi))*(-1+EXP(alpha*(-1)*Size*psi))*(EXP(alpha*(2*(Tau+OldTau)+a*psi))-EXP(alpha*(2*(Tau+OldTau)+b*psi))))/(((EXP(alpha*a*psi)-EXP(alpha*(2*OldTau+b*psi)))^2)*(alpha^2)*(psi^2))</f>
        <v>0.412695626437854</v>
      </c>
      <c r="H58" s="5" t="n">
        <f aca="false">-Beta/alpha</f>
        <v>180</v>
      </c>
      <c r="I58" s="5" t="n">
        <f aca="false">(-EXP(alpha*zeta)*Beta*(-1+EXP(alpha*Size*psi)-Size*alpha*psi))/((alpha^3)*(psi^2))</f>
        <v>4793.10036728108</v>
      </c>
      <c r="J58" s="5" t="n">
        <v>0</v>
      </c>
      <c r="K58" s="5" t="n">
        <v>0</v>
      </c>
      <c r="L58" s="5" t="n">
        <v>0</v>
      </c>
      <c r="M58" s="5" t="n">
        <f aca="false">Gamma*Size</f>
        <v>0</v>
      </c>
      <c r="N58" s="5" t="n">
        <f aca="false">Size*Beta*Phi</f>
        <v>64.8</v>
      </c>
      <c r="O58" s="5" t="n">
        <f aca="false">-(EXP(alpha*a*psi)+EXP(alpha*b*psi)*(-1+Size*psi*alpha))*(Beta*Phi)/((alpha*psi)*(EXP(alpha*a*psi)-EXP(alpha*b*psi)))</f>
        <v>18.2047588673666</v>
      </c>
      <c r="P58" s="5" t="n">
        <f aca="false">(EXP(alpha*(zeta-a*psi))*Beta*Phi*(-EXP(alpha*a*psi)*(-2+(-1)*Size*alpha*psi)+EXP(alpha*b*psi)*(-2+Size*alpha*psi)))/((alpha^3)*(psi^3))</f>
        <v>350.452349206022</v>
      </c>
      <c r="Q58" s="5" t="n">
        <f aca="false">Tau*Beta</f>
        <v>19.3117388904983</v>
      </c>
      <c r="R58" s="5" t="n">
        <f aca="false">Tau*Beta</f>
        <v>19.3117388904983</v>
      </c>
      <c r="S58" s="6" t="n">
        <f aca="false">Tau</f>
        <v>0.107287438280546</v>
      </c>
      <c r="T58" s="5" t="n">
        <f aca="false">Profit+Utility</f>
        <v>6228.55048522737</v>
      </c>
      <c r="U58" s="5" t="n">
        <f aca="false">(2*ij*BRIJ)+2*jj*BRJJ</f>
        <v>396.783289387499</v>
      </c>
      <c r="V58" s="5" t="n">
        <f aca="false">2*(ij*BCCIJ)+(2*jj*BCCJJ)+BCS+jj*BCPTJJ+2*(ij*BCPTIJ)+BCPTII+BCk</f>
        <v>736.208008295801</v>
      </c>
      <c r="W58" s="5" t="n">
        <f aca="false">ij*BUTIJ+BUTII</f>
        <v>6567.97520413567</v>
      </c>
      <c r="X58" s="5" t="n">
        <f aca="false">Revenue-Cost</f>
        <v>-339.424718908302</v>
      </c>
      <c r="Y58" s="5" t="n">
        <f aca="false">Size</f>
        <v>20</v>
      </c>
      <c r="Z58" s="6" t="n">
        <f aca="false">Welfare/(Size)</f>
        <v>311.427524261369</v>
      </c>
      <c r="AA58" s="6" t="n">
        <f aca="false">Profit/(Size)</f>
        <v>-16.9712359454151</v>
      </c>
      <c r="AB58" s="6" t="n">
        <f aca="false">Utility/(Size)</f>
        <v>328.398760206784</v>
      </c>
      <c r="AD58" s="4" t="n">
        <f aca="false">(EXP(alpha*(zeta-2*a*psi))*((EXP(alpha*a*psi)-EXP(alpha*b*psi))^2))/((EXP(alpha*a*psi)-EXP(alpha*(b*psi)))*(alpha^2)*(psi^2))</f>
        <v>12.3440083169975</v>
      </c>
      <c r="AE58" s="4" t="n">
        <f aca="false">(EXP(alpha*(zeta+(2*b-a)*psi))*(-1+EXP(alpha*(-1)*Size*psi))*(EXP(alpha*(a*psi))-EXP(alpha*(b*psi))))/(((EXP(alpha*a*psi)-EXP(alpha*(b*psi)))^2)*(alpha^2)*(psi^2))</f>
        <v>0.646772913262939</v>
      </c>
      <c r="AF58" s="5" t="n">
        <f aca="false">BCS+Taxjj*BCPTJJ+2*(Taxij*BCPTIJ)+BCPTII</f>
        <v>841.802623720875</v>
      </c>
      <c r="AG58" s="5" t="n">
        <f aca="false">Taxij*BUTIJ+BUTII</f>
        <v>7015.02186434063</v>
      </c>
      <c r="AH58" s="2" t="n">
        <f aca="false">TaxCost+TaxUtility</f>
        <v>7856.8244880615</v>
      </c>
      <c r="AI58" s="2" t="n">
        <f aca="false">TaxWelfare/Size</f>
        <v>392.841224403075</v>
      </c>
    </row>
    <row r="59" customFormat="false" ht="13" hidden="false" customHeight="false" outlineLevel="0" collapsed="false">
      <c r="A59" s="2" t="n">
        <v>0.11986059037608</v>
      </c>
      <c r="B59" s="2" t="n">
        <f aca="false">Tau</f>
        <v>0.11986059037608</v>
      </c>
      <c r="C59" s="2" t="n">
        <v>50</v>
      </c>
      <c r="D59" s="2" t="n">
        <v>0</v>
      </c>
      <c r="E59" s="2" t="n">
        <f aca="false">Size-a</f>
        <v>50</v>
      </c>
      <c r="F59" s="4" t="n">
        <f aca="false">(EXP(alpha*(Tau+OldTau+zeta-2*a*psi))*((EXP(alpha*a*psi)-EXP(alpha*b*psi))^2))/((EXP(alpha*a*psi)-EXP(alpha*(2*OldTau+b*psi)))*(alpha^2)*(psi^2))</f>
        <v>10.2149016669689</v>
      </c>
      <c r="G59" s="4" t="n">
        <f aca="false">(EXP(alpha*(zeta+(2*b-a)*psi))*(-1+EXP(alpha*(-1)*Size*psi))*(EXP(alpha*(2*(Tau+OldTau)+a*psi))-EXP(alpha*(2*(Tau+OldTau)+b*psi))))/(((EXP(alpha*a*psi)-EXP(alpha*(2*OldTau+b*psi)))^2)*(alpha^2)*(psi^2))</f>
        <v>0.00444738813424321</v>
      </c>
      <c r="H59" s="5" t="n">
        <f aca="false">-Beta/alpha</f>
        <v>180</v>
      </c>
      <c r="I59" s="5" t="n">
        <f aca="false">(-EXP(alpha*zeta)*Beta*(-1+EXP(alpha*Size*psi)-Size*alpha*psi))/((alpha^3)*(psi^2))</f>
        <v>15200.5073390545</v>
      </c>
      <c r="J59" s="5" t="n">
        <v>0</v>
      </c>
      <c r="K59" s="5" t="n">
        <v>0</v>
      </c>
      <c r="L59" s="5" t="n">
        <v>0</v>
      </c>
      <c r="M59" s="5" t="n">
        <f aca="false">Gamma*Size</f>
        <v>0</v>
      </c>
      <c r="N59" s="5" t="n">
        <f aca="false">Size*Beta*Phi</f>
        <v>162</v>
      </c>
      <c r="O59" s="5" t="n">
        <f aca="false">-(EXP(alpha*a*psi)+EXP(alpha*b*psi)*(-1+Size*psi*alpha))*(Beta*Phi)/((alpha*psi)*(EXP(alpha*a*psi)-EXP(alpha*b*psi)))</f>
        <v>21.5103507484362</v>
      </c>
      <c r="P59" s="5" t="n">
        <f aca="false">(EXP(alpha*(zeta-a*psi))*Beta*Phi*(-EXP(alpha*a*psi)*(-2+(-1)*Size*alpha*psi)+EXP(alpha*b*psi)*(-2+Size*alpha*psi)))/((alpha^3)*(psi^3))</f>
        <v>1544.77917175571</v>
      </c>
      <c r="Q59" s="5" t="n">
        <f aca="false">Tau*Beta</f>
        <v>21.5749062676943</v>
      </c>
      <c r="R59" s="5" t="n">
        <f aca="false">Tau*Beta</f>
        <v>21.5749062676943</v>
      </c>
      <c r="S59" s="6" t="n">
        <f aca="false">Tau</f>
        <v>0.11986059037608</v>
      </c>
      <c r="T59" s="5" t="n">
        <f aca="false">Profit+Utility</f>
        <v>15495.2007510023</v>
      </c>
      <c r="U59" s="5" t="n">
        <f aca="false">(2*ij*BRIJ)+2*jj*BRJJ</f>
        <v>440.9629959614</v>
      </c>
      <c r="V59" s="5" t="n">
        <f aca="false">2*(ij*BCCIJ)+(2*jj*BCCJJ)+BCS+jj*BCPTJJ+2*(ij*BCPTIJ)+BCPTII+BCk</f>
        <v>1984.95188406803</v>
      </c>
      <c r="W59" s="5" t="n">
        <f aca="false">ij*BUTIJ+BUTII</f>
        <v>17039.1896391089</v>
      </c>
      <c r="X59" s="5" t="n">
        <f aca="false">Revenue-Cost</f>
        <v>-1543.98888810663</v>
      </c>
      <c r="Y59" s="5" t="n">
        <f aca="false">Size</f>
        <v>50</v>
      </c>
      <c r="Z59" s="6" t="n">
        <f aca="false">Welfare/(Size)</f>
        <v>309.904015020045</v>
      </c>
      <c r="AA59" s="6" t="n">
        <f aca="false">Profit/(Size)</f>
        <v>-30.8797777621327</v>
      </c>
      <c r="AB59" s="6" t="n">
        <f aca="false">Utility/(Size)</f>
        <v>340.783792782178</v>
      </c>
      <c r="AD59" s="4" t="n">
        <f aca="false">(EXP(alpha*(zeta-2*a*psi))*((EXP(alpha*a*psi)-EXP(alpha*b*psi))^2))/((EXP(alpha*a*psi)-EXP(alpha*(b*psi)))*(alpha^2)*(psi^2))</f>
        <v>12.983596232206</v>
      </c>
      <c r="AE59" s="4" t="n">
        <f aca="false">(EXP(alpha*(zeta+(2*b-a)*psi))*(-1+EXP(alpha*(-1)*Size*psi))*(EXP(alpha*(a*psi))-EXP(alpha*(b*psi))))/(((EXP(alpha*a*psi)-EXP(alpha*(b*psi)))^2)*(alpha^2)*(psi^2))</f>
        <v>0.00718499805446688</v>
      </c>
      <c r="AF59" s="5" t="n">
        <f aca="false">BCS+Taxjj*BCPTJJ+2*(Taxij*BCPTIJ)+BCPTII</f>
        <v>2104.50655930219</v>
      </c>
      <c r="AG59" s="5" t="n">
        <f aca="false">Taxij*BUTIJ+BUTII</f>
        <v>17537.5546608516</v>
      </c>
      <c r="AH59" s="2" t="n">
        <f aca="false">TaxCost+TaxUtility</f>
        <v>19642.0612201538</v>
      </c>
      <c r="AI59" s="2" t="n">
        <f aca="false">TaxWelfare/Size</f>
        <v>392.841224403075</v>
      </c>
    </row>
    <row r="60" customFormat="false" ht="13" hidden="false" customHeight="false" outlineLevel="0" collapsed="false">
      <c r="A60" s="2" t="n">
        <v>0.120071044278305</v>
      </c>
      <c r="B60" s="2" t="n">
        <f aca="false">Tau</f>
        <v>0.120071044278305</v>
      </c>
      <c r="C60" s="2" t="n">
        <v>100</v>
      </c>
      <c r="D60" s="2" t="n">
        <v>0</v>
      </c>
      <c r="E60" s="2" t="n">
        <f aca="false">Size-a</f>
        <v>100</v>
      </c>
      <c r="F60" s="4" t="n">
        <f aca="false">(EXP(alpha*(Tau+OldTau+zeta-2*a*psi))*((EXP(alpha*a*psi)-EXP(alpha*b*psi))^2))/((EXP(alpha*a*psi)-EXP(alpha*(2*OldTau+b*psi)))*(alpha^2)*(psi^2))</f>
        <v>10.21745477286</v>
      </c>
      <c r="G60" s="4" t="n">
        <f aca="false">(EXP(alpha*(zeta+(2*b-a)*psi))*(-1+EXP(alpha*(-1)*Size*psi))*(EXP(alpha*(2*(Tau+OldTau)+a*psi))-EXP(alpha*(2*(Tau+OldTau)+b*psi))))/(((EXP(alpha*a*psi)-EXP(alpha*(2*OldTau+b*psi)))^2)*(alpha^2)*(psi^2))</f>
        <v>2.45829057457267E-006</v>
      </c>
      <c r="H60" s="5" t="n">
        <f aca="false">-Beta/alpha</f>
        <v>180</v>
      </c>
      <c r="I60" s="5" t="n">
        <f aca="false">(-EXP(alpha*zeta)*Beta*(-1+EXP(alpha*Size*psi)-Size*alpha*psi))/((alpha^3)*(psi^2))</f>
        <v>32736.7694155601</v>
      </c>
      <c r="J60" s="5" t="n">
        <v>0</v>
      </c>
      <c r="K60" s="5" t="n">
        <v>0</v>
      </c>
      <c r="L60" s="5" t="n">
        <v>0</v>
      </c>
      <c r="M60" s="5" t="n">
        <f aca="false">Gamma*Size</f>
        <v>0</v>
      </c>
      <c r="N60" s="5" t="n">
        <f aca="false">Size*Beta*Phi</f>
        <v>324</v>
      </c>
      <c r="O60" s="5" t="n">
        <f aca="false">-(EXP(alpha*a*psi)+EXP(alpha*b*psi)*(-1+Size*psi*alpha))*(Beta*Phi)/((alpha*psi)*(EXP(alpha*a*psi)-EXP(alpha*b*psi)))</f>
        <v>21.5999008876178</v>
      </c>
      <c r="P60" s="5" t="n">
        <f aca="false">(EXP(alpha*(zeta-a*psi))*Beta*Phi*(-EXP(alpha*a*psi)*(-2+(-1)*Size*alpha*psi)+EXP(alpha*b*psi)*(-2+Size*alpha*psi)))/((alpha^3)*(psi^3))</f>
        <v>3647.81282867692</v>
      </c>
      <c r="Q60" s="5" t="n">
        <f aca="false">Tau*Beta</f>
        <v>21.6127879700949</v>
      </c>
      <c r="R60" s="5" t="n">
        <f aca="false">Tau*Beta</f>
        <v>21.6127879700949</v>
      </c>
      <c r="S60" s="6" t="n">
        <f aca="false">Tau</f>
        <v>0.120071044278305</v>
      </c>
      <c r="T60" s="5" t="n">
        <f aca="false">Profit+Utility</f>
        <v>30928.3611021376</v>
      </c>
      <c r="U60" s="5" t="n">
        <f aca="false">(2*ij*BRIJ)+2*jj*BRJJ</f>
        <v>441.655473460741</v>
      </c>
      <c r="V60" s="5" t="n">
        <f aca="false">2*(ij*BCCIJ)+(2*jj*BCCJJ)+BCS+jj*BCPTJJ+2*(ij*BCPTIJ)+BCPTII+BCk</f>
        <v>4089.20564599806</v>
      </c>
      <c r="W60" s="5" t="n">
        <f aca="false">ij*BUTIJ+BUTII</f>
        <v>34575.9112746749</v>
      </c>
      <c r="X60" s="5" t="n">
        <f aca="false">Revenue-Cost</f>
        <v>-3647.55017253732</v>
      </c>
      <c r="Y60" s="5" t="n">
        <f aca="false">Size</f>
        <v>100</v>
      </c>
      <c r="Z60" s="6" t="n">
        <f aca="false">Welfare/(Size)</f>
        <v>309.283611021376</v>
      </c>
      <c r="AA60" s="6" t="n">
        <f aca="false">Profit/(Size)</f>
        <v>-36.4755017253732</v>
      </c>
      <c r="AB60" s="6" t="n">
        <f aca="false">Utility/(Size)</f>
        <v>345.759112746749</v>
      </c>
      <c r="AD60" s="4" t="n">
        <f aca="false">(EXP(alpha*(zeta-2*a*psi))*((EXP(alpha*a*psi)-EXP(alpha*b*psi))^2))/((EXP(alpha*a*psi)-EXP(alpha*(b*psi)))*(alpha^2)*(psi^2))</f>
        <v>12.9907772563503</v>
      </c>
      <c r="AE60" s="4" t="n">
        <f aca="false">(EXP(alpha*(zeta+(2*b-a)*psi))*(-1+EXP(alpha*(-1)*Size*psi))*(EXP(alpha*(a*psi))-EXP(alpha*(b*psi))))/(((EXP(alpha*a*psi)-EXP(alpha*(b*psi)))^2)*(alpha^2)*(psi^2))</f>
        <v>3.97391012346822E-006</v>
      </c>
      <c r="AF60" s="5" t="n">
        <f aca="false">BCS+Taxjj*BCPTJJ+2*(Taxij*BCPTIJ)+BCPTII</f>
        <v>4209.01311860438</v>
      </c>
      <c r="AG60" s="5" t="n">
        <f aca="false">Taxij*BUTIJ+BUTII</f>
        <v>35075.1093217031</v>
      </c>
      <c r="AH60" s="2" t="n">
        <f aca="false">TaxCost+TaxUtility</f>
        <v>39284.1224403075</v>
      </c>
      <c r="AI60" s="2" t="n">
        <f aca="false">TaxWelfare/Size</f>
        <v>392.841224403075</v>
      </c>
    </row>
    <row r="61" customFormat="false" ht="13" hidden="false" customHeight="false" outlineLevel="0" collapsed="false">
      <c r="A61" s="2" t="n">
        <v>0.120071218370888</v>
      </c>
      <c r="B61" s="2" t="n">
        <f aca="false">Tau</f>
        <v>0.120071218370888</v>
      </c>
      <c r="C61" s="2" t="n">
        <v>200</v>
      </c>
      <c r="D61" s="2" t="n">
        <v>0</v>
      </c>
      <c r="E61" s="2" t="n">
        <f aca="false">Size-a</f>
        <v>200</v>
      </c>
      <c r="F61" s="4" t="n">
        <f aca="false">(EXP(alpha*(Tau+OldTau+zeta-2*a*psi))*((EXP(alpha*a*psi)-EXP(alpha*b*psi))^2))/((EXP(alpha*a*psi)-EXP(alpha*(2*OldTau+b*psi)))*(alpha^2)*(psi^2))</f>
        <v>10.2174550080896</v>
      </c>
      <c r="G61" s="4" t="n">
        <f aca="false">(EXP(alpha*(zeta+(2*b-a)*psi))*(-1+EXP(alpha*(-1)*Size*psi))*(EXP(alpha*(2*(Tau+OldTau)+a*psi))-EXP(alpha*(2*(Tau+OldTau)+b*psi))))/(((EXP(alpha*a*psi)-EXP(alpha*(2*OldTau+b*psi)))^2)*(alpha^2)*(psi^2))</f>
        <v>7.51996365780045E-013</v>
      </c>
      <c r="H61" s="5" t="n">
        <f aca="false">-Beta/alpha</f>
        <v>180</v>
      </c>
      <c r="I61" s="5" t="n">
        <f aca="false">(-EXP(alpha*zeta)*Beta*(-1+EXP(alpha*Size*psi)-Size*alpha*psi))/((alpha^3)*(psi^2))</f>
        <v>67811.8780219596</v>
      </c>
      <c r="J61" s="5" t="n">
        <v>0</v>
      </c>
      <c r="K61" s="5" t="n">
        <v>0</v>
      </c>
      <c r="L61" s="5" t="n">
        <v>0</v>
      </c>
      <c r="M61" s="5" t="n">
        <f aca="false">Gamma*Size</f>
        <v>0</v>
      </c>
      <c r="N61" s="5" t="n">
        <f aca="false">Size*Beta*Phi</f>
        <v>648</v>
      </c>
      <c r="O61" s="5" t="n">
        <f aca="false">-(EXP(alpha*a*psi)+EXP(alpha*b*psi)*(-1+Size*psi*alpha))*(Beta*Phi)/((alpha*psi)*(EXP(alpha*a*psi)-EXP(alpha*b*psi)))</f>
        <v>21.5999999999394</v>
      </c>
      <c r="P61" s="5" t="n">
        <f aca="false">(EXP(alpha*(zeta-a*psi))*Beta*Phi*(-EXP(alpha*a*psi)*(-2+(-1)*Size*alpha*psi)+EXP(alpha*b*psi)*(-2+Size*alpha*psi)))/((alpha^3)*(psi^3))</f>
        <v>7856.82448806234</v>
      </c>
      <c r="Q61" s="5" t="n">
        <f aca="false">Tau*Beta</f>
        <v>21.6128193067598</v>
      </c>
      <c r="R61" s="5" t="n">
        <f aca="false">Tau*Beta</f>
        <v>21.6128193067598</v>
      </c>
      <c r="S61" s="6" t="n">
        <f aca="false">Tau</f>
        <v>0.120071218370888</v>
      </c>
      <c r="T61" s="5" t="n">
        <f aca="false">Profit+Utility</f>
        <v>61794.4573967343</v>
      </c>
      <c r="U61" s="5" t="n">
        <f aca="false">(2*ij*BRIJ)+2*jj*BRJJ</f>
        <v>441.656017729609</v>
      </c>
      <c r="V61" s="5" t="n">
        <f aca="false">2*(ij*BCCIJ)+(2*jj*BCCJJ)+BCS+jj*BCPTJJ+2*(ij*BCPTIJ)+BCPTII+BCk</f>
        <v>8298.21854441106</v>
      </c>
      <c r="W61" s="5" t="n">
        <f aca="false">ij*BUTIJ+BUTII</f>
        <v>69651.0199234157</v>
      </c>
      <c r="X61" s="5" t="n">
        <f aca="false">Revenue-Cost</f>
        <v>-7856.56252668145</v>
      </c>
      <c r="Y61" s="5" t="n">
        <f aca="false">Size</f>
        <v>200</v>
      </c>
      <c r="Z61" s="6" t="n">
        <f aca="false">Welfare/(Size)</f>
        <v>308.972286983671</v>
      </c>
      <c r="AA61" s="6" t="n">
        <f aca="false">Profit/(Size)</f>
        <v>-39.2828126334073</v>
      </c>
      <c r="AB61" s="6" t="n">
        <f aca="false">Utility/(Size)</f>
        <v>348.255099617079</v>
      </c>
      <c r="AD61" s="4" t="n">
        <f aca="false">(EXP(alpha*(zeta-2*a*psi))*((EXP(alpha*a*psi)-EXP(alpha*b*psi))^2))/((EXP(alpha*a*psi)-EXP(alpha*(b*psi)))*(alpha^2)*(psi^2))</f>
        <v>12.9907812302592</v>
      </c>
      <c r="AE61" s="4" t="n">
        <f aca="false">(EXP(alpha*(zeta+(2*b-a)*psi))*(-1+EXP(alpha*(-1)*Size*psi))*(EXP(alpha*(a*psi))-EXP(alpha*(b*psi))))/(((EXP(alpha*a*psi)-EXP(alpha*(b*psi)))^2)*(alpha^2)*(psi^2))</f>
        <v>1.21562832823463E-012</v>
      </c>
      <c r="AF61" s="5" t="n">
        <f aca="false">BCS+Taxjj*BCPTJJ+2*(Taxij*BCPTIJ)+BCPTII</f>
        <v>8418.02623720875</v>
      </c>
      <c r="AG61" s="5" t="n">
        <f aca="false">Taxij*BUTIJ+BUTII</f>
        <v>70150.2186434063</v>
      </c>
      <c r="AH61" s="2" t="n">
        <f aca="false">TaxCost+TaxUtility</f>
        <v>78568.244880615</v>
      </c>
      <c r="AI61" s="2" t="n">
        <f aca="false">TaxWelfare/Size</f>
        <v>392.841224403075</v>
      </c>
    </row>
    <row r="62" customFormat="false" ht="13" hidden="false" customHeight="false" outlineLevel="0" collapsed="false">
      <c r="A62" s="2" t="n">
        <v>0.120071218370888</v>
      </c>
      <c r="B62" s="2" t="n">
        <f aca="false">Tau</f>
        <v>0.120071218370888</v>
      </c>
      <c r="C62" s="2" t="n">
        <v>500</v>
      </c>
      <c r="D62" s="2" t="n">
        <v>0</v>
      </c>
      <c r="E62" s="2" t="n">
        <f aca="false">Size-a</f>
        <v>500</v>
      </c>
      <c r="F62" s="4" t="n">
        <f aca="false">(EXP(alpha*(Tau+OldTau+zeta-2*a*psi))*((EXP(alpha*a*psi)-EXP(alpha*b*psi))^2))/((EXP(alpha*a*psi)-EXP(alpha*(2*OldTau+b*psi)))*(alpha^2)*(psi^2))</f>
        <v>10.2174550080908</v>
      </c>
      <c r="G62" s="4" t="n">
        <f aca="false">(EXP(alpha*(zeta+(2*b-a)*psi))*(-1+EXP(alpha*(-1)*Size*psi))*(EXP(alpha*(2*(Tau+OldTau)+a*psi))-EXP(alpha*(2*(Tau+OldTau)+b*psi))))/(((EXP(alpha*a*psi)-EXP(alpha*(2*OldTau+b*psi)))^2)*(alpha^2)*(psi^2))</f>
        <v>2.1526035695511E-032</v>
      </c>
      <c r="H62" s="5" t="n">
        <f aca="false">-Beta/alpha</f>
        <v>180</v>
      </c>
      <c r="I62" s="5" t="n">
        <f aca="false">(-EXP(alpha*zeta)*Beta*(-1+EXP(alpha*Size*psi)-Size*alpha*psi))/((alpha^3)*(psi^2))</f>
        <v>173037.205987069</v>
      </c>
      <c r="J62" s="5" t="n">
        <v>0</v>
      </c>
      <c r="K62" s="5" t="n">
        <v>0</v>
      </c>
      <c r="L62" s="5" t="n">
        <v>0</v>
      </c>
      <c r="M62" s="5" t="n">
        <f aca="false">Gamma*Size</f>
        <v>0</v>
      </c>
      <c r="N62" s="5" t="n">
        <f aca="false">Size*Beta*Phi</f>
        <v>1620</v>
      </c>
      <c r="O62" s="5" t="n">
        <f aca="false">-(EXP(alpha*a*psi)+EXP(alpha*b*psi)*(-1+Size*psi*alpha))*(Beta*Phi)/((alpha*psi)*(EXP(alpha*a*psi)-EXP(alpha*b*psi)))</f>
        <v>21.6</v>
      </c>
      <c r="P62" s="5" t="n">
        <f aca="false">(EXP(alpha*(zeta-a*psi))*Beta*Phi*(-EXP(alpha*a*psi)*(-2+(-1)*Size*alpha*psi)+EXP(alpha*b*psi)*(-2+Size*alpha*psi)))/((alpha^3)*(psi^3))</f>
        <v>20483.8638438746</v>
      </c>
      <c r="Q62" s="5" t="n">
        <f aca="false">Tau*Beta</f>
        <v>21.6128193067598</v>
      </c>
      <c r="R62" s="5" t="n">
        <f aca="false">Tau*Beta</f>
        <v>21.6128193067598</v>
      </c>
      <c r="S62" s="6" t="n">
        <f aca="false">Tau</f>
        <v>0.120071218370888</v>
      </c>
      <c r="T62" s="5" t="n">
        <f aca="false">Profit+Utility</f>
        <v>154392.746006031</v>
      </c>
      <c r="U62" s="5" t="n">
        <f aca="false">(2*ij*BRIJ)+2*jj*BRJJ</f>
        <v>441.656017729627</v>
      </c>
      <c r="V62" s="5" t="n">
        <f aca="false">2*(ij*BCCIJ)+(2*jj*BCCJJ)+BCS+jj*BCPTJJ+2*(ij*BCPTIJ)+BCPTII+BCk</f>
        <v>20925.2579002241</v>
      </c>
      <c r="W62" s="5" t="n">
        <f aca="false">ij*BUTIJ+BUTII</f>
        <v>174876.347888525</v>
      </c>
      <c r="X62" s="5" t="n">
        <f aca="false">Revenue-Cost</f>
        <v>-20483.6018824945</v>
      </c>
      <c r="Y62" s="5" t="n">
        <f aca="false">Size</f>
        <v>500</v>
      </c>
      <c r="Z62" s="6" t="n">
        <f aca="false">Welfare/(Size)</f>
        <v>308.785492012061</v>
      </c>
      <c r="AA62" s="6" t="n">
        <f aca="false">Profit/(Size)</f>
        <v>-40.967203764989</v>
      </c>
      <c r="AB62" s="6" t="n">
        <f aca="false">Utility/(Size)</f>
        <v>349.75269577705</v>
      </c>
      <c r="AD62" s="4" t="n">
        <f aca="false">(EXP(alpha*(zeta-2*a*psi))*((EXP(alpha*a*psi)-EXP(alpha*b*psi))^2))/((EXP(alpha*a*psi)-EXP(alpha*(b*psi)))*(alpha^2)*(psi^2))</f>
        <v>12.9907812302604</v>
      </c>
      <c r="AE62" s="4" t="n">
        <f aca="false">(EXP(alpha*(zeta+(2*b-a)*psi))*(-1+EXP(alpha*(-1)*Size*psi))*(EXP(alpha*(a*psi))-EXP(alpha*(b*psi))))/(((EXP(alpha*a*psi)-EXP(alpha*(b*psi)))^2)*(alpha^2)*(psi^2))</f>
        <v>3.47975867661385E-032</v>
      </c>
      <c r="AF62" s="5" t="n">
        <f aca="false">BCS+Taxjj*BCPTJJ+2*(Taxij*BCPTIJ)+BCPTII</f>
        <v>21045.0655930219</v>
      </c>
      <c r="AG62" s="5" t="n">
        <f aca="false">Taxij*BUTIJ+BUTII</f>
        <v>175375.546608516</v>
      </c>
      <c r="AH62" s="2" t="n">
        <f aca="false">TaxCost+TaxUtility</f>
        <v>196420.612201538</v>
      </c>
      <c r="AI62" s="2" t="n">
        <f aca="false">TaxWelfare/Size</f>
        <v>392.841224403075</v>
      </c>
    </row>
    <row r="63" customFormat="false" ht="13" hidden="false" customHeight="false" outlineLevel="0" collapsed="false">
      <c r="A63" s="2" t="n">
        <v>0.120071218370888</v>
      </c>
      <c r="B63" s="2" t="n">
        <f aca="false">Tau</f>
        <v>0.120071218370888</v>
      </c>
      <c r="C63" s="2" t="n">
        <v>1000</v>
      </c>
      <c r="D63" s="2" t="n">
        <v>0</v>
      </c>
      <c r="E63" s="2" t="n">
        <f aca="false">Size-a</f>
        <v>1000</v>
      </c>
      <c r="F63" s="4" t="n">
        <f aca="false">(EXP(alpha*(Tau+OldTau+zeta-2*a*psi))*((EXP(alpha*a*psi)-EXP(alpha*b*psi))^2))/((EXP(alpha*a*psi)-EXP(alpha*(2*OldTau+b*psi)))*(alpha^2)*(psi^2))</f>
        <v>10.2174550080908</v>
      </c>
      <c r="G63" s="4" t="n">
        <f aca="false">(EXP(alpha*(zeta+(2*b-a)*psi))*(-1+EXP(alpha*(-1)*Size*psi))*(EXP(alpha*(2*(Tau+OldTau)+a*psi))-EXP(alpha*(2*(Tau+OldTau)+b*psi))))/(((EXP(alpha*a*psi)-EXP(alpha*(2*OldTau+b*psi)))^2)*(alpha^2)*(psi^2))</f>
        <v>5.76604348551941E-065</v>
      </c>
      <c r="H63" s="5" t="n">
        <f aca="false">-Beta/alpha</f>
        <v>180</v>
      </c>
      <c r="I63" s="5" t="n">
        <f aca="false">(-EXP(alpha*zeta)*Beta*(-1+EXP(alpha*Size*psi)-Size*alpha*psi))/((alpha^3)*(psi^2))</f>
        <v>348412.752595584</v>
      </c>
      <c r="J63" s="5" t="n">
        <v>0</v>
      </c>
      <c r="K63" s="5" t="n">
        <v>0</v>
      </c>
      <c r="L63" s="5" t="n">
        <v>0</v>
      </c>
      <c r="M63" s="5" t="n">
        <f aca="false">Gamma*Size</f>
        <v>0</v>
      </c>
      <c r="N63" s="5" t="n">
        <f aca="false">Size*Beta*Phi</f>
        <v>3240</v>
      </c>
      <c r="O63" s="5" t="n">
        <f aca="false">-(EXP(alpha*a*psi)+EXP(alpha*b*psi)*(-1+Size*psi*alpha))*(Beta*Phi)/((alpha*psi)*(EXP(alpha*a*psi)-EXP(alpha*b*psi)))</f>
        <v>21.6</v>
      </c>
      <c r="P63" s="5" t="n">
        <f aca="false">(EXP(alpha*(zeta-a*psi))*Beta*Phi*(-EXP(alpha*a*psi)*(-2+(-1)*Size*alpha*psi)+EXP(alpha*b*psi)*(-2+Size*alpha*psi)))/((alpha^3)*(psi^3))</f>
        <v>41528.9294368965</v>
      </c>
      <c r="Q63" s="5" t="n">
        <f aca="false">Tau*Beta</f>
        <v>21.6128193067598</v>
      </c>
      <c r="R63" s="5" t="n">
        <f aca="false">Tau*Beta</f>
        <v>21.6128193067598</v>
      </c>
      <c r="S63" s="6" t="n">
        <f aca="false">Tau</f>
        <v>0.120071218370888</v>
      </c>
      <c r="T63" s="5" t="n">
        <f aca="false">Profit+Utility</f>
        <v>308723.227021524</v>
      </c>
      <c r="U63" s="5" t="n">
        <f aca="false">(2*ij*BRIJ)+2*jj*BRJJ</f>
        <v>441.656017729627</v>
      </c>
      <c r="V63" s="5" t="n">
        <f aca="false">2*(ij*BCCIJ)+(2*jj*BCCJJ)+BCS+jj*BCPTJJ+2*(ij*BCPTIJ)+BCPTII+BCk</f>
        <v>41970.323493246</v>
      </c>
      <c r="W63" s="5" t="n">
        <f aca="false">ij*BUTIJ+BUTII</f>
        <v>350251.894497041</v>
      </c>
      <c r="X63" s="5" t="n">
        <f aca="false">Revenue-Cost</f>
        <v>-41528.6674755164</v>
      </c>
      <c r="Y63" s="5" t="n">
        <f aca="false">Size</f>
        <v>1000</v>
      </c>
      <c r="Z63" s="6" t="n">
        <f aca="false">Welfare/(Size)</f>
        <v>308.723227021524</v>
      </c>
      <c r="AA63" s="6" t="n">
        <f aca="false">Profit/(Size)</f>
        <v>-41.5286674755164</v>
      </c>
      <c r="AB63" s="6" t="n">
        <f aca="false">Utility/(Size)</f>
        <v>350.251894497041</v>
      </c>
      <c r="AD63" s="4" t="n">
        <f aca="false">(EXP(alpha*(zeta-2*a*psi))*((EXP(alpha*a*psi)-EXP(alpha*b*psi))^2))/((EXP(alpha*a*psi)-EXP(alpha*(b*psi)))*(alpha^2)*(psi^2))</f>
        <v>12.9907812302604</v>
      </c>
      <c r="AE63" s="4" t="n">
        <f aca="false">(EXP(alpha*(zeta+(2*b-a)*psi))*(-1+EXP(alpha*(-1)*Size*psi))*(EXP(alpha*(a*psi))-EXP(alpha*(b*psi))))/(((EXP(alpha*a*psi)-EXP(alpha*(b*psi)))^2)*(alpha^2)*(psi^2))</f>
        <v>9.32101020934996E-065</v>
      </c>
      <c r="AF63" s="5" t="n">
        <f aca="false">BCS+Taxjj*BCPTJJ+2*(Taxij*BCPTIJ)+BCPTII</f>
        <v>42090.1311860438</v>
      </c>
      <c r="AG63" s="5" t="n">
        <f aca="false">Taxij*BUTIJ+BUTII</f>
        <v>350751.093217031</v>
      </c>
      <c r="AH63" s="2" t="n">
        <f aca="false">TaxCost+TaxUtility</f>
        <v>392841.224403075</v>
      </c>
      <c r="AI63" s="2" t="n">
        <f aca="false">TaxWelfare/Size</f>
        <v>392.841224403075</v>
      </c>
    </row>
    <row r="64" customFormat="false" ht="14" hidden="false" customHeight="false" outlineLevel="0" collapsed="false"/>
    <row r="65" customFormat="false" ht="13" hidden="false" customHeight="false" outlineLevel="0" collapsed="false">
      <c r="A65" s="18" t="s">
        <v>156</v>
      </c>
      <c r="B65" s="18"/>
      <c r="C65" s="18"/>
      <c r="D65" s="18"/>
      <c r="E65" s="18"/>
      <c r="F65" s="18"/>
      <c r="G65" s="18"/>
      <c r="H65" s="18"/>
      <c r="I65" s="18"/>
    </row>
    <row r="66" customFormat="false" ht="13" hidden="false" customHeight="false" outlineLevel="0" collapsed="false">
      <c r="A66" s="19"/>
      <c r="B66" s="19" t="s">
        <v>157</v>
      </c>
      <c r="C66" s="19" t="s">
        <v>158</v>
      </c>
      <c r="D66" s="19" t="s">
        <v>157</v>
      </c>
      <c r="E66" s="19" t="s">
        <v>159</v>
      </c>
      <c r="F66" s="19" t="s">
        <v>160</v>
      </c>
      <c r="G66" s="19" t="s">
        <v>161</v>
      </c>
      <c r="H66" s="20" t="s">
        <v>158</v>
      </c>
      <c r="I66" s="19" t="s">
        <v>150</v>
      </c>
    </row>
    <row r="67" customFormat="false" ht="13" hidden="false" customHeight="false" outlineLevel="0" collapsed="false">
      <c r="A67" s="21" t="s">
        <v>162</v>
      </c>
      <c r="B67" s="21" t="s">
        <v>163</v>
      </c>
      <c r="C67" s="21" t="s">
        <v>163</v>
      </c>
      <c r="D67" s="21" t="s">
        <v>164</v>
      </c>
      <c r="E67" s="21" t="s">
        <v>164</v>
      </c>
      <c r="F67" s="21" t="s">
        <v>164</v>
      </c>
      <c r="G67" s="21" t="s">
        <v>164</v>
      </c>
      <c r="H67" s="22" t="s">
        <v>164</v>
      </c>
      <c r="I67" s="21" t="s">
        <v>150</v>
      </c>
    </row>
    <row r="68" customFormat="false" ht="13" hidden="false" customHeight="false" outlineLevel="0" collapsed="false">
      <c r="A68" s="21" t="s">
        <v>162</v>
      </c>
      <c r="B68" s="21" t="s">
        <v>165</v>
      </c>
      <c r="C68" s="21" t="s">
        <v>166</v>
      </c>
      <c r="D68" s="21" t="s">
        <v>167</v>
      </c>
      <c r="E68" s="21" t="s">
        <v>168</v>
      </c>
      <c r="F68" s="21" t="s">
        <v>169</v>
      </c>
      <c r="G68" s="21" t="s">
        <v>170</v>
      </c>
      <c r="H68" s="22" t="s">
        <v>171</v>
      </c>
      <c r="I68" s="21" t="s">
        <v>150</v>
      </c>
    </row>
    <row r="69" customFormat="false" ht="13" hidden="false" customHeight="false" outlineLevel="0" collapsed="false">
      <c r="A69" s="15" t="n">
        <v>1</v>
      </c>
      <c r="B69" s="23" t="n">
        <f aca="false">Z2</f>
        <v>8.18696179612607</v>
      </c>
      <c r="C69" s="23" t="n">
        <f aca="false">Z15</f>
        <v>98.186961796126</v>
      </c>
      <c r="D69" s="23" t="n">
        <f aca="false">Z28</f>
        <v>223.162184539246</v>
      </c>
      <c r="E69" s="23" t="n">
        <f aca="false">2/3*$D69+1/3*$H69</f>
        <v>253.162184539246</v>
      </c>
      <c r="F69" s="23" t="n">
        <f aca="false">0.5*$D69+0.5*$H69</f>
        <v>268.162184539246</v>
      </c>
      <c r="G69" s="23" t="n">
        <f aca="false">1/3*$D69+2/3*$H69</f>
        <v>283.162184539246</v>
      </c>
      <c r="H69" s="24" t="n">
        <f aca="false">Z54</f>
        <v>313.162184539246</v>
      </c>
      <c r="I69" s="23" t="n">
        <f aca="false">AI2</f>
        <v>392.841224403075</v>
      </c>
    </row>
    <row r="70" customFormat="false" ht="13" hidden="false" customHeight="false" outlineLevel="0" collapsed="false">
      <c r="A70" s="15" t="n">
        <v>2</v>
      </c>
      <c r="B70" s="23" t="n">
        <f aca="false">Z3</f>
        <v>142.746068034382</v>
      </c>
      <c r="C70" s="23" t="n">
        <f aca="false">Z16</f>
        <v>187.746068034382</v>
      </c>
      <c r="D70" s="23" t="n">
        <f aca="false">Z29</f>
        <v>268.137132893752</v>
      </c>
      <c r="E70" s="23" t="n">
        <f aca="false">2/3*$D70+1/3*$H70</f>
        <v>283.137132893752</v>
      </c>
      <c r="F70" s="23" t="n">
        <f aca="false">0.5*$D70+0.5*$H70</f>
        <v>290.637132893752</v>
      </c>
      <c r="G70" s="23" t="n">
        <f aca="false">1/3*$D70+2/3*$H70</f>
        <v>298.137132893752</v>
      </c>
      <c r="H70" s="23" t="n">
        <f aca="false">Z55</f>
        <v>313.137132893752</v>
      </c>
      <c r="I70" s="23" t="n">
        <f aca="false">AI3</f>
        <v>392.841224403075</v>
      </c>
    </row>
    <row r="71" customFormat="false" ht="13" hidden="false" customHeight="false" outlineLevel="0" collapsed="false">
      <c r="A71" s="15" t="n">
        <v>5</v>
      </c>
      <c r="B71" s="23" t="n">
        <f aca="false">Z4</f>
        <v>239.671063073712</v>
      </c>
      <c r="C71" s="23" t="n">
        <f aca="false">Z17</f>
        <v>257.671063073712</v>
      </c>
      <c r="D71" s="23" t="n">
        <f aca="false">Z30</f>
        <v>294.971641184696</v>
      </c>
      <c r="E71" s="23" t="n">
        <f aca="false">2/3*$D71+1/3*$H71</f>
        <v>300.971641184696</v>
      </c>
      <c r="F71" s="23" t="n">
        <f aca="false">0.5*$D71+0.5*$H71</f>
        <v>303.971641184696</v>
      </c>
      <c r="G71" s="23" t="n">
        <f aca="false">1/3*$D71+2/3*$H71</f>
        <v>306.971641184696</v>
      </c>
      <c r="H71" s="23" t="n">
        <f aca="false">Z56</f>
        <v>312.971641184696</v>
      </c>
      <c r="I71" s="23" t="n">
        <f aca="false">AI4</f>
        <v>392.841224403075</v>
      </c>
    </row>
    <row r="72" customFormat="false" ht="13" hidden="false" customHeight="false" outlineLevel="0" collapsed="false">
      <c r="A72" s="15" t="n">
        <v>10</v>
      </c>
      <c r="B72" s="23" t="n">
        <f aca="false">Z5</f>
        <v>275.023869350557</v>
      </c>
      <c r="C72" s="23" t="n">
        <f aca="false">Z18</f>
        <v>284.023869350557</v>
      </c>
      <c r="D72" s="23" t="n">
        <f aca="false">Z31</f>
        <v>303.49142883074</v>
      </c>
      <c r="E72" s="23" t="n">
        <f aca="false">2/3*$D72+1/3*$H72</f>
        <v>306.49142883074</v>
      </c>
      <c r="F72" s="23" t="n">
        <f aca="false">0.5*$D72+0.5*$H72</f>
        <v>307.99142883074</v>
      </c>
      <c r="G72" s="23" t="n">
        <f aca="false">1/3*$D72+2/3*$H72</f>
        <v>309.49142883074</v>
      </c>
      <c r="H72" s="23" t="n">
        <f aca="false">Z57</f>
        <v>312.49142883074</v>
      </c>
      <c r="I72" s="23" t="n">
        <f aca="false">AI5</f>
        <v>392.841224403075</v>
      </c>
    </row>
    <row r="73" customFormat="false" ht="13" hidden="false" customHeight="false" outlineLevel="0" collapsed="false">
      <c r="A73" s="15" t="n">
        <v>20</v>
      </c>
      <c r="B73" s="23" t="n">
        <f aca="false">Z6</f>
        <v>292.605137745504</v>
      </c>
      <c r="C73" s="23" t="n">
        <f aca="false">Z19</f>
        <v>297.105137745504</v>
      </c>
      <c r="D73" s="23" t="n">
        <f aca="false">Z32</f>
        <v>306.927524261369</v>
      </c>
      <c r="E73" s="23" t="n">
        <f aca="false">2/3*$D73+1/3*$H73</f>
        <v>308.427524261369</v>
      </c>
      <c r="F73" s="24" t="n">
        <f aca="false">0.5*$D73+0.5*$H73</f>
        <v>309.177524261369</v>
      </c>
      <c r="G73" s="24" t="n">
        <f aca="false">1/3*$D73+2/3*$H73</f>
        <v>309.927524261369</v>
      </c>
      <c r="H73" s="23" t="n">
        <f aca="false">Z58</f>
        <v>311.427524261369</v>
      </c>
      <c r="I73" s="23" t="n">
        <f aca="false">AI6</f>
        <v>392.841224403075</v>
      </c>
    </row>
    <row r="74" customFormat="false" ht="13" hidden="false" customHeight="false" outlineLevel="0" collapsed="false">
      <c r="A74" s="15" t="n">
        <v>50</v>
      </c>
      <c r="B74" s="23" t="n">
        <f aca="false">Z7</f>
        <v>302.392892648209</v>
      </c>
      <c r="C74" s="24" t="n">
        <f aca="false">Z20</f>
        <v>304.192892648209</v>
      </c>
      <c r="D74" s="23" t="n">
        <f aca="false">Z33</f>
        <v>308.104015020045</v>
      </c>
      <c r="E74" s="24" t="n">
        <f aca="false">2/3*$D74+1/3*$H74</f>
        <v>308.704015020045</v>
      </c>
      <c r="F74" s="23" t="n">
        <f aca="false">0.5*$D74+0.5*$H74</f>
        <v>309.004015020045</v>
      </c>
      <c r="G74" s="23" t="n">
        <f aca="false">1/3*$D74+2/3*$H74</f>
        <v>309.304015020045</v>
      </c>
      <c r="H74" s="23" t="n">
        <f aca="false">Z59</f>
        <v>309.904015020045</v>
      </c>
      <c r="I74" s="23" t="n">
        <f aca="false">AI7</f>
        <v>392.841224403075</v>
      </c>
    </row>
    <row r="75" customFormat="false" ht="13" hidden="false" customHeight="false" outlineLevel="0" collapsed="false">
      <c r="A75" s="15" t="n">
        <v>100</v>
      </c>
      <c r="B75" s="23" t="n">
        <f aca="false">Z8</f>
        <v>305.528552158987</v>
      </c>
      <c r="C75" s="23" t="n">
        <f aca="false">Z21</f>
        <v>306.428552158987</v>
      </c>
      <c r="D75" s="23" t="n">
        <f aca="false">Z34</f>
        <v>308.383611021376</v>
      </c>
      <c r="E75" s="23" t="n">
        <f aca="false">2/3*$D75+1/3*$H75</f>
        <v>308.683611021376</v>
      </c>
      <c r="F75" s="23" t="n">
        <f aca="false">0.5*$D75+0.5*$H75</f>
        <v>308.833611021376</v>
      </c>
      <c r="G75" s="23" t="n">
        <f aca="false">1/3*$D75+2/3*$H75</f>
        <v>308.983611021376</v>
      </c>
      <c r="H75" s="23" t="n">
        <f aca="false">Z60</f>
        <v>309.283611021376</v>
      </c>
      <c r="I75" s="23" t="n">
        <f aca="false">AI8</f>
        <v>392.841224403075</v>
      </c>
    </row>
    <row r="76" customFormat="false" ht="13" hidden="false" customHeight="false" outlineLevel="0" collapsed="false">
      <c r="A76" s="15" t="n">
        <v>200</v>
      </c>
      <c r="B76" s="23" t="n">
        <f aca="false">Z9</f>
        <v>307.094759095167</v>
      </c>
      <c r="C76" s="23" t="n">
        <f aca="false">Z22</f>
        <v>307.544759095167</v>
      </c>
      <c r="D76" s="23" t="n">
        <f aca="false">Z35</f>
        <v>308.522286983671</v>
      </c>
      <c r="E76" s="23" t="n">
        <f aca="false">2/3*$D76+1/3*$H76</f>
        <v>308.672286983671</v>
      </c>
      <c r="F76" s="23" t="n">
        <f aca="false">0.5*$D76+0.5*$H76</f>
        <v>308.747286983671</v>
      </c>
      <c r="G76" s="23" t="n">
        <f aca="false">1/3*$D76+2/3*$H76</f>
        <v>308.822286983671</v>
      </c>
      <c r="H76" s="23" t="n">
        <f aca="false">Z61</f>
        <v>308.972286983671</v>
      </c>
      <c r="I76" s="23" t="n">
        <f aca="false">AI9</f>
        <v>392.841224403075</v>
      </c>
    </row>
    <row r="77" customFormat="false" ht="13" hidden="false" customHeight="false" outlineLevel="0" collapsed="false">
      <c r="A77" s="15" t="n">
        <v>500</v>
      </c>
      <c r="B77" s="23" t="n">
        <f aca="false">Z10</f>
        <v>308.034480856659</v>
      </c>
      <c r="C77" s="23" t="n">
        <f aca="false">Z23</f>
        <v>308.214480856659</v>
      </c>
      <c r="D77" s="23" t="n">
        <f aca="false">Z36</f>
        <v>308.605492012061</v>
      </c>
      <c r="E77" s="23" t="n">
        <f aca="false">2/3*$D77+1/3*$H77</f>
        <v>308.665492012061</v>
      </c>
      <c r="F77" s="23" t="n">
        <f aca="false">0.5*$D77+0.5*$H77</f>
        <v>308.695492012061</v>
      </c>
      <c r="G77" s="23" t="n">
        <f aca="false">1/3*$D77+2/3*$H77</f>
        <v>308.725492012061</v>
      </c>
      <c r="H77" s="23" t="n">
        <f aca="false">Z62</f>
        <v>308.785492012061</v>
      </c>
      <c r="I77" s="23" t="n">
        <f aca="false">AI10</f>
        <v>392.841224403075</v>
      </c>
    </row>
    <row r="78" customFormat="false" ht="14" hidden="false" customHeight="false" outlineLevel="0" collapsed="false">
      <c r="A78" s="16" t="n">
        <v>1000</v>
      </c>
      <c r="B78" s="25" t="n">
        <f aca="false">Z11</f>
        <v>308.347721443824</v>
      </c>
      <c r="C78" s="26" t="n">
        <f aca="false">Z24</f>
        <v>308.437721443824</v>
      </c>
      <c r="D78" s="25" t="n">
        <f aca="false">Z37</f>
        <v>308.633227021524</v>
      </c>
      <c r="E78" s="26" t="n">
        <f aca="false">2/3*$D78+1/3*$H78</f>
        <v>308.663227021524</v>
      </c>
      <c r="F78" s="26" t="n">
        <f aca="false">0.5*$D78+0.5*$H78</f>
        <v>308.678227021524</v>
      </c>
      <c r="G78" s="26" t="n">
        <f aca="false">1/3*$D78+2/3*$H78</f>
        <v>308.693227021524</v>
      </c>
      <c r="H78" s="26" t="n">
        <f aca="false">Z63</f>
        <v>308.723227021524</v>
      </c>
      <c r="I78" s="26" t="n">
        <f aca="false">AI11</f>
        <v>392.841224403075</v>
      </c>
    </row>
  </sheetData>
  <mergeCells count="1">
    <mergeCell ref="A65:I65"/>
  </mergeCells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78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A63" activeCellId="0" sqref="A1:C63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5.56"/>
    <col collapsed="false" customWidth="true" hidden="false" outlineLevel="0" max="2" min="2" style="2" width="9.85"/>
    <col collapsed="false" customWidth="true" hidden="false" outlineLevel="0" max="3" min="3" style="2" width="9.57"/>
    <col collapsed="false" customWidth="true" hidden="false" outlineLevel="0" max="4" min="4" style="2" width="9.85"/>
    <col collapsed="false" customWidth="true" hidden="false" outlineLevel="0" max="5" min="5" style="2" width="7.42"/>
    <col collapsed="false" customWidth="true" hidden="false" outlineLevel="0" max="6" min="6" style="3" width="7.42"/>
    <col collapsed="false" customWidth="true" hidden="false" outlineLevel="0" max="7" min="7" style="2" width="7.42"/>
    <col collapsed="false" customWidth="true" hidden="false" outlineLevel="0" max="8" min="8" style="2" width="6.85"/>
    <col collapsed="false" customWidth="true" hidden="false" outlineLevel="0" max="9" min="9" style="2" width="10.42"/>
    <col collapsed="false" customWidth="false" hidden="false" outlineLevel="0" max="19" min="10" style="2" width="8.28"/>
    <col collapsed="false" customWidth="true" hidden="false" outlineLevel="0" max="20" min="20" style="2" width="9.99"/>
    <col collapsed="false" customWidth="false" hidden="false" outlineLevel="0" max="21" min="21" style="2" width="8.28"/>
    <col collapsed="false" customWidth="true" hidden="false" outlineLevel="0" max="22" min="22" style="2" width="8.99"/>
    <col collapsed="false" customWidth="true" hidden="false" outlineLevel="0" max="23" min="23" style="2" width="9.13"/>
    <col collapsed="false" customWidth="false" hidden="false" outlineLevel="0" max="257" min="24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D1" s="2" t="s">
        <v>146</v>
      </c>
      <c r="AE1" s="2" t="s">
        <v>147</v>
      </c>
      <c r="AF1" s="2" t="s">
        <v>148</v>
      </c>
      <c r="AG1" s="2" t="s">
        <v>149</v>
      </c>
      <c r="AH1" s="2" t="s">
        <v>150</v>
      </c>
      <c r="AI1" s="2" t="s">
        <v>151</v>
      </c>
    </row>
    <row r="2" customFormat="false" ht="13" hidden="false" customHeight="false" outlineLevel="0" collapsed="false">
      <c r="A2" s="2" t="n">
        <v>0.588963732530975</v>
      </c>
      <c r="B2" s="2" t="n">
        <v>0.588963732530975</v>
      </c>
      <c r="C2" s="2" t="n">
        <v>1</v>
      </c>
      <c r="D2" s="2" t="n">
        <v>0</v>
      </c>
      <c r="E2" s="2" t="n">
        <f aca="false">Size-a</f>
        <v>1</v>
      </c>
      <c r="F2" s="4" t="n">
        <f aca="false">(EXP(alpha*(Tau+OldTau+zeta-2*a*psi))*((EXP(alpha*a*psi)-EXP(alpha*b*psi))^2))/((EXP(alpha*a*psi)-EXP(alpha*(2*OldTau+b*psi)))*(alpha^2)*(psi^2))</f>
        <v>0.105596219832488</v>
      </c>
      <c r="G2" s="4" t="n">
        <f aca="false">(EXP(alpha*(zeta+(2*b-a)*psi))*(-1+EXP(alpha*(-1)*Size*psi))*(EXP(alpha*(2*(Tau+OldTau)+a*psi))-EXP(alpha*(2*(Tau+OldTau)+b*psi))))/(((EXP(alpha*a*psi)-EXP(alpha*(2*OldTau+b*psi)))^2)*(alpha^2)*(psi^2))</f>
        <v>0.0380771825540997</v>
      </c>
      <c r="H2" s="5" t="n">
        <f aca="false">-Beta/alpha</f>
        <v>180</v>
      </c>
      <c r="I2" s="5" t="n">
        <f aca="false">(-EXP(alpha*zeta)*Beta*(-1+EXP(alpha*Size*psi)-Size*alpha*psi))/((alpha^3)*(psi^2))</f>
        <v>25.0388962482082</v>
      </c>
      <c r="J2" s="5" t="n">
        <f aca="false">Beta*Theta</f>
        <v>14.4</v>
      </c>
      <c r="K2" s="5" t="n">
        <f aca="false">Beta*Theta</f>
        <v>14.4</v>
      </c>
      <c r="L2" s="5" t="n">
        <f aca="false">kappa</f>
        <v>90</v>
      </c>
      <c r="M2" s="5" t="n">
        <f aca="false">Gamma*Size</f>
        <v>0</v>
      </c>
      <c r="N2" s="5" t="n">
        <f aca="false">Size*Beta*Phi</f>
        <v>3.24</v>
      </c>
      <c r="O2" s="5" t="n">
        <f aca="false">-(EXP(alpha*a*psi)+EXP(alpha*b*psi)*(-1+Size*psi*alpha))*(Beta*Phi)/((alpha*psi)*(EXP(alpha*a*psi)-EXP(alpha*b*psi)))</f>
        <v>1.57951517936842</v>
      </c>
      <c r="P2" s="5" t="n">
        <f aca="false">(EXP(alpha*(zeta-a*psi))*Beta*Phi*(-EXP(alpha*a*psi)*(-2+(-1)*Size*alpha*psi)+EXP(alpha*b*psi)*(-2+Size*alpha*psi)))/((alpha^3)*(psi^3))</f>
        <v>0.146515554131081</v>
      </c>
      <c r="Q2" s="5" t="n">
        <f aca="false">Tau*Beta</f>
        <v>106.013471855575</v>
      </c>
      <c r="R2" s="5" t="n">
        <f aca="false">Tau*Beta</f>
        <v>106.013471855575</v>
      </c>
      <c r="S2" s="6" t="n">
        <f aca="false">Tau</f>
        <v>0.588963732530975</v>
      </c>
      <c r="T2" s="5" t="n">
        <f aca="false">Profit+Utility</f>
        <v>-20.2324130598923</v>
      </c>
      <c r="U2" s="5" t="n">
        <f aca="false">(2*ij*BRIJ)+2*jj*BRJJ</f>
        <v>30.4626324006105</v>
      </c>
      <c r="V2" s="5" t="n">
        <f aca="false">2*(ij*BCCIJ)+(2*jj*BCCJJ)+BCS+jj*BCPTJJ+2*(ij*BCPTIJ)+BCPTII+BCk</f>
        <v>94.7412612785588</v>
      </c>
      <c r="W2" s="5" t="n">
        <f aca="false">ij*BUTIJ+BUTII</f>
        <v>44.0462158180559</v>
      </c>
      <c r="X2" s="5" t="n">
        <f aca="false">Revenue-Cost</f>
        <v>-64.2786288779483</v>
      </c>
      <c r="Y2" s="5" t="n">
        <f aca="false">Size</f>
        <v>1</v>
      </c>
      <c r="Z2" s="6" t="n">
        <f aca="false">Welfare/(Size)</f>
        <v>-20.2324130598923</v>
      </c>
      <c r="AA2" s="6" t="n">
        <f aca="false">Profit/(Size)</f>
        <v>-64.2786288779483</v>
      </c>
      <c r="AB2" s="6" t="n">
        <f aca="false">Utility/(Size)</f>
        <v>44.0462158180559</v>
      </c>
      <c r="AD2" s="4" t="n">
        <f aca="false">(EXP(alpha*(zeta-2*a*psi))*((EXP(alpha*a*psi)-EXP(alpha*b*psi))^2))/((EXP(alpha*a*psi)-EXP(alpha*(b*psi)))*(alpha^2)*(psi^2))</f>
        <v>1.80951220538235</v>
      </c>
      <c r="AE2" s="4" t="n">
        <f aca="false">(EXP(alpha*(zeta+(2*b-a)*psi))*(-1+EXP(alpha*(-1)*Size*psi))*(EXP(alpha*(a*psi))-EXP(alpha*(b*psi))))/(((EXP(alpha*a*psi)-EXP(alpha*(b*psi)))^2)*(alpha^2)*(psi^2))</f>
        <v>11.1812690248781</v>
      </c>
      <c r="AF2" s="5" t="n">
        <f aca="false">BCS+Taxjj*BCPTJJ+2*(Taxij*BCPTIJ)+BCPTII</f>
        <v>42.0901311860437</v>
      </c>
      <c r="AG2" s="5" t="n">
        <f aca="false">Taxij*BUTIJ+BUTII</f>
        <v>350.751093217031</v>
      </c>
      <c r="AH2" s="2" t="n">
        <f aca="false">TaxCost+TaxUtility</f>
        <v>392.841224403075</v>
      </c>
      <c r="AI2" s="2" t="n">
        <f aca="false">TaxWelfare/Size</f>
        <v>392.841224403075</v>
      </c>
    </row>
    <row r="3" customFormat="false" ht="13" hidden="false" customHeight="false" outlineLevel="0" collapsed="false">
      <c r="A3" s="2" t="n">
        <v>0.597746822068934</v>
      </c>
      <c r="B3" s="2" t="n">
        <v>0.597746822068934</v>
      </c>
      <c r="C3" s="2" t="n">
        <v>2</v>
      </c>
      <c r="D3" s="2" t="n">
        <v>0</v>
      </c>
      <c r="E3" s="2" t="n">
        <f aca="false">Size-a</f>
        <v>2</v>
      </c>
      <c r="F3" s="4" t="n">
        <f aca="false">(EXP(alpha*(Tau+OldTau+zeta-2*a*psi))*((EXP(alpha*a*psi)-EXP(alpha*b*psi))^2))/((EXP(alpha*a*psi)-EXP(alpha*(2*OldTau+b*psi)))*(alpha^2)*(psi^2))</f>
        <v>0.34030113008382</v>
      </c>
      <c r="G3" s="4" t="n">
        <f aca="false">(EXP(alpha*(zeta+(2*b-a)*psi))*(-1+EXP(alpha*(-1)*Size*psi))*(EXP(alpha*(2*(Tau+OldTau)+a*psi))-EXP(alpha*(2*(Tau+OldTau)+b*psi))))/(((EXP(alpha*a*psi)-EXP(alpha*(2*OldTau+b*psi)))^2)*(alpha^2)*(psi^2))</f>
        <v>0.0983092164912211</v>
      </c>
      <c r="H3" s="5" t="n">
        <f aca="false">-Beta/alpha</f>
        <v>180</v>
      </c>
      <c r="I3" s="5" t="n">
        <f aca="false">(-EXP(alpha*zeta)*Beta*(-1+EXP(alpha*Size*psi)-Size*alpha*psi))/((alpha^3)*(psi^2))</f>
        <v>95.4469035152439</v>
      </c>
      <c r="J3" s="5" t="n">
        <f aca="false">Beta*Theta</f>
        <v>14.4</v>
      </c>
      <c r="K3" s="5" t="n">
        <f aca="false">Beta*Theta</f>
        <v>14.4</v>
      </c>
      <c r="L3" s="5" t="n">
        <f aca="false">kappa</f>
        <v>90</v>
      </c>
      <c r="M3" s="5" t="n">
        <f aca="false">Gamma*Size</f>
        <v>0</v>
      </c>
      <c r="N3" s="5" t="n">
        <f aca="false">Size*Beta*Phi</f>
        <v>6.48</v>
      </c>
      <c r="O3" s="5" t="n">
        <f aca="false">-(EXP(alpha*a*psi)+EXP(alpha*b*psi)*(-1+Size*psi*alpha))*(Beta*Phi)/((alpha*psi)*(EXP(alpha*a*psi)-EXP(alpha*b*psi)))</f>
        <v>3.07824248045466</v>
      </c>
      <c r="P3" s="5" t="n">
        <f aca="false">(EXP(alpha*(zeta-a*psi))*Beta*Phi*(-EXP(alpha*a*psi)*(-2+(-1)*Size*alpha*psi)+EXP(alpha*b*psi)*(-2+Size*alpha*psi)))/((alpha^3)*(psi^3))</f>
        <v>1.08926665858103</v>
      </c>
      <c r="Q3" s="5" t="n">
        <f aca="false">Tau*Beta</f>
        <v>107.594427972408</v>
      </c>
      <c r="R3" s="5" t="n">
        <f aca="false">Tau*Beta</f>
        <v>107.594427972408</v>
      </c>
      <c r="S3" s="6" t="n">
        <f aca="false">Tau</f>
        <v>0.597746822068934</v>
      </c>
      <c r="T3" s="5" t="n">
        <f aca="false">Profit+Utility</f>
        <v>144.631818463027</v>
      </c>
      <c r="U3" s="5" t="n">
        <f aca="false">(2*ij*BRIJ)+2*jj*BRJJ</f>
        <v>94.3840586850426</v>
      </c>
      <c r="V3" s="5" t="n">
        <f aca="false">2*(ij*BCCIJ)+(2*jj*BCCJJ)+BCS+jj*BCPTJJ+2*(ij*BCPTIJ)+BCPTII+BCk</f>
        <v>106.453347152347</v>
      </c>
      <c r="W3" s="5" t="n">
        <f aca="false">ij*BUTIJ+BUTII</f>
        <v>156.701106930332</v>
      </c>
      <c r="X3" s="5" t="n">
        <f aca="false">Revenue-Cost</f>
        <v>-12.0692884673043</v>
      </c>
      <c r="Y3" s="5" t="n">
        <f aca="false">Size</f>
        <v>2</v>
      </c>
      <c r="Z3" s="6" t="n">
        <f aca="false">Welfare/(Size)</f>
        <v>72.3159092315136</v>
      </c>
      <c r="AA3" s="6" t="n">
        <f aca="false">Profit/(Size)</f>
        <v>-6.03464423365213</v>
      </c>
      <c r="AB3" s="6" t="n">
        <f aca="false">Utility/(Size)</f>
        <v>78.3505534651658</v>
      </c>
      <c r="AD3" s="4" t="n">
        <f aca="false">(EXP(alpha*(zeta-2*a*psi))*((EXP(alpha*a*psi)-EXP(alpha*b*psi))^2))/((EXP(alpha*a*psi)-EXP(alpha*(b*psi)))*(alpha^2)*(psi^2))</f>
        <v>3.36697379399344</v>
      </c>
      <c r="AE3" s="4" t="n">
        <f aca="false">(EXP(alpha*(zeta+(2*b-a)*psi))*(-1+EXP(alpha*(-1)*Size*psi))*(EXP(alpha*(a*psi))-EXP(alpha*(b*psi))))/(((EXP(alpha*a*psi)-EXP(alpha*(b*psi)))^2)*(alpha^2)*(psi^2))</f>
        <v>9.62380743626698</v>
      </c>
      <c r="AF3" s="5" t="n">
        <f aca="false">BCS+Taxjj*BCPTJJ+2*(Taxij*BCPTIJ)+BCPTII</f>
        <v>84.1802623720875</v>
      </c>
      <c r="AG3" s="5" t="n">
        <f aca="false">Taxij*BUTIJ+BUTII</f>
        <v>701.502186434063</v>
      </c>
      <c r="AH3" s="2" t="n">
        <f aca="false">TaxCost+TaxUtility</f>
        <v>785.68244880615</v>
      </c>
      <c r="AI3" s="2" t="n">
        <f aca="false">TaxWelfare/Size</f>
        <v>392.841224403075</v>
      </c>
    </row>
    <row r="4" customFormat="false" ht="13" hidden="false" customHeight="false" outlineLevel="0" collapsed="false">
      <c r="A4" s="2" t="n">
        <v>0.621942558784846</v>
      </c>
      <c r="B4" s="2" t="n">
        <v>0.621942558784846</v>
      </c>
      <c r="C4" s="2" t="n">
        <v>5</v>
      </c>
      <c r="D4" s="2" t="n">
        <v>0</v>
      </c>
      <c r="E4" s="2" t="n">
        <f aca="false">Size-a</f>
        <v>5</v>
      </c>
      <c r="F4" s="4" t="n">
        <f aca="false">(EXP(alpha*(Tau+OldTau+zeta-2*a*psi))*((EXP(alpha*a*psi)-EXP(alpha*b*psi))^2))/((EXP(alpha*a*psi)-EXP(alpha*(2*OldTau+b*psi)))*(alpha^2)*(psi^2))</f>
        <v>1.20685989737864</v>
      </c>
      <c r="G4" s="4" t="n">
        <f aca="false">(EXP(alpha*(zeta+(2*b-a)*psi))*(-1+EXP(alpha*(-1)*Size*psi))*(EXP(alpha*(2*(Tau+OldTau)+a*psi))-EXP(alpha*(2*(Tau+OldTau)+b*psi))))/(((EXP(alpha*a*psi)-EXP(alpha*(2*OldTau+b*psi)))^2)*(alpha^2)*(psi^2))</f>
        <v>0.190236105245935</v>
      </c>
      <c r="H4" s="5" t="n">
        <f aca="false">-Beta/alpha</f>
        <v>180</v>
      </c>
      <c r="I4" s="5" t="n">
        <f aca="false">(-EXP(alpha*zeta)*Beta*(-1+EXP(alpha*Size*psi)-Size*alpha*psi))/((alpha^3)*(psi^2))</f>
        <v>519.968743125424</v>
      </c>
      <c r="J4" s="5" t="n">
        <f aca="false">Beta*Theta</f>
        <v>14.4</v>
      </c>
      <c r="K4" s="5" t="n">
        <f aca="false">Beta*Theta</f>
        <v>14.4</v>
      </c>
      <c r="L4" s="5" t="n">
        <f aca="false">kappa</f>
        <v>90</v>
      </c>
      <c r="M4" s="5" t="n">
        <f aca="false">Gamma*Size</f>
        <v>0</v>
      </c>
      <c r="N4" s="5" t="n">
        <f aca="false">Size*Beta*Phi</f>
        <v>16.2</v>
      </c>
      <c r="O4" s="5" t="n">
        <f aca="false">-(EXP(alpha*a*psi)+EXP(alpha*b*psi)*(-1+Size*psi*alpha))*(Beta*Phi)/((alpha*psi)*(EXP(alpha*a*psi)-EXP(alpha*b*psi)))</f>
        <v>7.09686682268204</v>
      </c>
      <c r="P4" s="5" t="n">
        <f aca="false">(EXP(alpha*(zeta-a*psi))*Beta*Phi*(-EXP(alpha*a*psi)*(-2+(-1)*Size*alpha*psi)+EXP(alpha*b*psi)*(-2+Size*alpha*psi)))/((alpha^3)*(psi^3))</f>
        <v>13.7516932837258</v>
      </c>
      <c r="Q4" s="5" t="n">
        <f aca="false">Tau*Beta</f>
        <v>111.949660581272</v>
      </c>
      <c r="R4" s="5" t="n">
        <f aca="false">Tau*Beta</f>
        <v>111.949660581272</v>
      </c>
      <c r="S4" s="6" t="n">
        <f aca="false">Tau</f>
        <v>0.621942558784846</v>
      </c>
      <c r="T4" s="5" t="n">
        <f aca="false">Profit+Utility</f>
        <v>885.812640245164</v>
      </c>
      <c r="U4" s="5" t="n">
        <f aca="false">(2*ij*BRIJ)+2*jj*BRJJ</f>
        <v>312.808846586547</v>
      </c>
      <c r="V4" s="5" t="n">
        <f aca="false">2*(ij*BCCIJ)+(2*jj*BCCJJ)+BCS+jj*BCPTJJ+2*(ij*BCPTIJ)+BCPTII+BCk</f>
        <v>164.199730994961</v>
      </c>
      <c r="W4" s="5" t="n">
        <f aca="false">ij*BUTIJ+BUTII</f>
        <v>737.203524653579</v>
      </c>
      <c r="X4" s="5" t="n">
        <f aca="false">Revenue-Cost</f>
        <v>148.609115591585</v>
      </c>
      <c r="Y4" s="5" t="n">
        <f aca="false">Size</f>
        <v>5</v>
      </c>
      <c r="Z4" s="6" t="n">
        <f aca="false">Welfare/(Size)</f>
        <v>177.162528049033</v>
      </c>
      <c r="AA4" s="6" t="n">
        <f aca="false">Profit/(Size)</f>
        <v>29.7218231183171</v>
      </c>
      <c r="AB4" s="6" t="n">
        <f aca="false">Utility/(Size)</f>
        <v>147.440704930716</v>
      </c>
      <c r="AD4" s="4" t="n">
        <f aca="false">(EXP(alpha*(zeta-2*a*psi))*((EXP(alpha*a*psi)-EXP(alpha*b*psi))^2))/((EXP(alpha*a*psi)-EXP(alpha*(b*psi)))*(alpha^2)*(psi^2))</f>
        <v>6.85437068310963</v>
      </c>
      <c r="AE4" s="4" t="n">
        <f aca="false">(EXP(alpha*(zeta+(2*b-a)*psi))*(-1+EXP(alpha*(-1)*Size*psi))*(EXP(alpha*(a*psi))-EXP(alpha*(b*psi))))/(((EXP(alpha*a*psi)-EXP(alpha*(b*psi)))^2)*(alpha^2)*(psi^2))</f>
        <v>6.13641054715079</v>
      </c>
      <c r="AF4" s="5" t="n">
        <f aca="false">BCS+Taxjj*BCPTJJ+2*(Taxij*BCPTIJ)+BCPTII</f>
        <v>210.450655930219</v>
      </c>
      <c r="AG4" s="5" t="n">
        <f aca="false">Taxij*BUTIJ+BUTII</f>
        <v>1753.75546608516</v>
      </c>
      <c r="AH4" s="2" t="n">
        <f aca="false">TaxCost+TaxUtility</f>
        <v>1964.20612201538</v>
      </c>
      <c r="AI4" s="2" t="n">
        <f aca="false">TaxWelfare/Size</f>
        <v>392.841224403075</v>
      </c>
    </row>
    <row r="5" customFormat="false" ht="13" hidden="false" customHeight="false" outlineLevel="0" collapsed="false">
      <c r="A5" s="2" t="n">
        <v>0.652780900524843</v>
      </c>
      <c r="B5" s="2" t="n">
        <v>0.652780900524843</v>
      </c>
      <c r="C5" s="2" t="n">
        <v>10</v>
      </c>
      <c r="D5" s="2" t="n">
        <v>0</v>
      </c>
      <c r="E5" s="2" t="n">
        <f aca="false">Size-a</f>
        <v>10</v>
      </c>
      <c r="F5" s="4" t="n">
        <f aca="false">(EXP(alpha*(Tau+OldTau+zeta-2*a*psi))*((EXP(alpha*a*psi)-EXP(alpha*b*psi))^2))/((EXP(alpha*a*psi)-EXP(alpha*(2*OldTau+b*psi)))*(alpha^2)*(psi^2))</f>
        <v>2.26164346752836</v>
      </c>
      <c r="G5" s="4" t="n">
        <f aca="false">(EXP(alpha*(zeta+(2*b-a)*psi))*(-1+EXP(alpha*(-1)*Size*psi))*(EXP(alpha*(2*(Tau+OldTau)+a*psi))-EXP(alpha*(2*(Tau+OldTau)+b*psi))))/(((EXP(alpha*a*psi)-EXP(alpha*(2*OldTau+b*psi)))^2)*(alpha^2)*(psi^2))</f>
        <v>0.145570968121624</v>
      </c>
      <c r="H5" s="5" t="n">
        <f aca="false">-Beta/alpha</f>
        <v>180</v>
      </c>
      <c r="I5" s="5" t="n">
        <f aca="false">(-EXP(alpha*zeta)*Beta*(-1+EXP(alpha*Size*psi)-Size*alpha*psi))/((alpha^3)*(psi^2))</f>
        <v>1690.92462806846</v>
      </c>
      <c r="J5" s="5" t="n">
        <f aca="false">Beta*Theta</f>
        <v>14.4</v>
      </c>
      <c r="K5" s="5" t="n">
        <f aca="false">Beta*Theta</f>
        <v>14.4</v>
      </c>
      <c r="L5" s="5" t="n">
        <f aca="false">kappa</f>
        <v>90</v>
      </c>
      <c r="M5" s="5" t="n">
        <f aca="false">Gamma*Size</f>
        <v>0</v>
      </c>
      <c r="N5" s="5" t="n">
        <f aca="false">Size*Beta*Phi</f>
        <v>32.4</v>
      </c>
      <c r="O5" s="5" t="n">
        <f aca="false">-(EXP(alpha*a*psi)+EXP(alpha*b*psi)*(-1+Size*psi*alpha))*(Beta*Phi)/((alpha*psi)*(EXP(alpha*a*psi)-EXP(alpha*b*psi)))</f>
        <v>12.2941718960407</v>
      </c>
      <c r="P5" s="5" t="n">
        <f aca="false">(EXP(alpha*(zeta-a*psi))*Beta*Phi*(-EXP(alpha*a*psi)*(-2+(-1)*Size*alpha*psi)+EXP(alpha*b*psi)*(-2+Size*alpha*psi)))/((alpha^3)*(psi^3))</f>
        <v>78.836375998096</v>
      </c>
      <c r="Q5" s="5" t="n">
        <f aca="false">Tau*Beta</f>
        <v>117.500562094472</v>
      </c>
      <c r="R5" s="5" t="n">
        <f aca="false">Tau*Beta</f>
        <v>117.500562094472</v>
      </c>
      <c r="S5" s="6" t="n">
        <f aca="false">Tau</f>
        <v>0.652780900524843</v>
      </c>
      <c r="T5" s="5" t="n">
        <f aca="false">Profit+Utility</f>
        <v>2365.22783253851</v>
      </c>
      <c r="U5" s="5" t="n">
        <f aca="false">(2*ij*BRIJ)+2*jj*BRJJ</f>
        <v>565.6980985416</v>
      </c>
      <c r="V5" s="5" t="n">
        <f aca="false">2*(ij*BCCIJ)+(2*jj*BCCJJ)+BCS+jj*BCPTJJ+2*(ij*BCPTIJ)+BCPTII+BCk</f>
        <v>298.490718226659</v>
      </c>
      <c r="W5" s="5" t="n">
        <f aca="false">ij*BUTIJ+BUTII</f>
        <v>2098.02045222356</v>
      </c>
      <c r="X5" s="5" t="n">
        <f aca="false">Revenue-Cost</f>
        <v>267.207380314942</v>
      </c>
      <c r="Y5" s="5" t="n">
        <f aca="false">Size</f>
        <v>10</v>
      </c>
      <c r="Z5" s="6" t="n">
        <f aca="false">Welfare/(Size)</f>
        <v>236.522783253851</v>
      </c>
      <c r="AA5" s="6" t="n">
        <f aca="false">Profit/(Size)</f>
        <v>26.7207380314942</v>
      </c>
      <c r="AB5" s="6" t="n">
        <f aca="false">Utility/(Size)</f>
        <v>209.802045222356</v>
      </c>
      <c r="AD5" s="4" t="n">
        <f aca="false">(EXP(alpha*(zeta-2*a*psi))*((EXP(alpha*a*psi)-EXP(alpha*b*psi))^2))/((EXP(alpha*a*psi)-EXP(alpha*(b*psi)))*(alpha^2)*(psi^2))</f>
        <v>10.0921461338992</v>
      </c>
      <c r="AE5" s="4" t="n">
        <f aca="false">(EXP(alpha*(zeta+(2*b-a)*psi))*(-1+EXP(alpha*(-1)*Size*psi))*(EXP(alpha*(a*psi))-EXP(alpha*(b*psi))))/(((EXP(alpha*a*psi)-EXP(alpha*(b*psi)))^2)*(alpha^2)*(psi^2))</f>
        <v>2.89863509636122</v>
      </c>
      <c r="AF5" s="5" t="n">
        <f aca="false">BCS+Taxjj*BCPTJJ+2*(Taxij*BCPTIJ)+BCPTII</f>
        <v>420.901311860438</v>
      </c>
      <c r="AG5" s="5" t="n">
        <f aca="false">Taxij*BUTIJ+BUTII</f>
        <v>3507.51093217031</v>
      </c>
      <c r="AH5" s="2" t="n">
        <f aca="false">TaxCost+TaxUtility</f>
        <v>3928.41224403075</v>
      </c>
      <c r="AI5" s="2" t="n">
        <f aca="false">TaxWelfare/Size</f>
        <v>392.841224403075</v>
      </c>
    </row>
    <row r="6" customFormat="false" ht="13" hidden="false" customHeight="false" outlineLevel="0" collapsed="false">
      <c r="A6" s="2" t="n">
        <v>0.684749188925439</v>
      </c>
      <c r="B6" s="2" t="n">
        <v>0.684749188925439</v>
      </c>
      <c r="C6" s="2" t="n">
        <v>20</v>
      </c>
      <c r="D6" s="2" t="n">
        <v>0</v>
      </c>
      <c r="E6" s="2" t="n">
        <f aca="false">Size-a</f>
        <v>20</v>
      </c>
      <c r="F6" s="4" t="n">
        <f aca="false">(EXP(alpha*(Tau+OldTau+zeta-2*a*psi))*((EXP(alpha*a*psi)-EXP(alpha*b*psi))^2))/((EXP(alpha*a*psi)-EXP(alpha*(2*OldTau+b*psi)))*(alpha^2)*(psi^2))</f>
        <v>3.02025603643056</v>
      </c>
      <c r="G6" s="4" t="n">
        <f aca="false">(EXP(alpha*(zeta+(2*b-a)*psi))*(-1+EXP(alpha*(-1)*Size*psi))*(EXP(alpha*(2*(Tau+OldTau)+a*psi))-EXP(alpha*(2*(Tau+OldTau)+b*psi))))/(((EXP(alpha*a*psi)-EXP(alpha*(2*OldTau+b*psi)))^2)*(alpha^2)*(psi^2))</f>
        <v>0.0387192498004416</v>
      </c>
      <c r="H6" s="5" t="n">
        <f aca="false">-Beta/alpha</f>
        <v>180</v>
      </c>
      <c r="I6" s="5" t="n">
        <f aca="false">(-EXP(alpha*zeta)*Beta*(-1+EXP(alpha*Size*psi)-Size*alpha*psi))/((alpha^3)*(psi^2))</f>
        <v>4793.10036728108</v>
      </c>
      <c r="J6" s="5" t="n">
        <f aca="false">Beta*Theta</f>
        <v>14.4</v>
      </c>
      <c r="K6" s="5" t="n">
        <f aca="false">Beta*Theta</f>
        <v>14.4</v>
      </c>
      <c r="L6" s="5" t="n">
        <f aca="false">kappa</f>
        <v>90</v>
      </c>
      <c r="M6" s="5" t="n">
        <f aca="false">Gamma*Size</f>
        <v>0</v>
      </c>
      <c r="N6" s="5" t="n">
        <f aca="false">Size*Beta*Phi</f>
        <v>64.8</v>
      </c>
      <c r="O6" s="5" t="n">
        <f aca="false">-(EXP(alpha*a*psi)+EXP(alpha*b*psi)*(-1+Size*psi*alpha))*(Beta*Phi)/((alpha*psi)*(EXP(alpha*a*psi)-EXP(alpha*b*psi)))</f>
        <v>18.2047588673666</v>
      </c>
      <c r="P6" s="5" t="n">
        <f aca="false">(EXP(alpha*(zeta-a*psi))*Beta*Phi*(-EXP(alpha*a*psi)*(-2+(-1)*Size*alpha*psi)+EXP(alpha*b*psi)*(-2+Size*alpha*psi)))/((alpha^3)*(psi^3))</f>
        <v>350.452349206022</v>
      </c>
      <c r="Q6" s="5" t="n">
        <f aca="false">Tau*Beta</f>
        <v>123.254854006579</v>
      </c>
      <c r="R6" s="5" t="n">
        <f aca="false">Tau*Beta</f>
        <v>123.254854006579</v>
      </c>
      <c r="S6" s="6" t="n">
        <f aca="false">Tau</f>
        <v>0.684749188925439</v>
      </c>
      <c r="T6" s="5" t="n">
        <f aca="false">Profit+Utility</f>
        <v>5449.78764790845</v>
      </c>
      <c r="U6" s="5" t="n">
        <f aca="false">(2*ij*BRIJ)+2*jj*BRJJ</f>
        <v>754.06710462827</v>
      </c>
      <c r="V6" s="5" t="n">
        <f aca="false">2*(ij*BCCIJ)+(2*jj*BCCJJ)+BCS+jj*BCPTJJ+2*(ij*BCPTIJ)+BCPTII+BCk</f>
        <v>641.025910558397</v>
      </c>
      <c r="W6" s="5" t="n">
        <f aca="false">ij*BUTIJ+BUTII</f>
        <v>5336.74645383858</v>
      </c>
      <c r="X6" s="5" t="n">
        <f aca="false">Revenue-Cost</f>
        <v>113.041194069873</v>
      </c>
      <c r="Y6" s="5" t="n">
        <f aca="false">Size</f>
        <v>20</v>
      </c>
      <c r="Z6" s="6" t="n">
        <f aca="false">Welfare/(Size)</f>
        <v>272.489382395423</v>
      </c>
      <c r="AA6" s="6" t="n">
        <f aca="false">Profit/(Size)</f>
        <v>5.65205970349365</v>
      </c>
      <c r="AB6" s="6" t="n">
        <f aca="false">Utility/(Size)</f>
        <v>266.837322691929</v>
      </c>
      <c r="AD6" s="4" t="n">
        <f aca="false">(EXP(alpha*(zeta-2*a*psi))*((EXP(alpha*a*psi)-EXP(alpha*b*psi))^2))/((EXP(alpha*a*psi)-EXP(alpha*(b*psi)))*(alpha^2)*(psi^2))</f>
        <v>12.3440083169975</v>
      </c>
      <c r="AE6" s="4" t="n">
        <f aca="false">(EXP(alpha*(zeta+(2*b-a)*psi))*(-1+EXP(alpha*(-1)*Size*psi))*(EXP(alpha*(a*psi))-EXP(alpha*(b*psi))))/(((EXP(alpha*a*psi)-EXP(alpha*(b*psi)))^2)*(alpha^2)*(psi^2))</f>
        <v>0.646772913262939</v>
      </c>
      <c r="AF6" s="5" t="n">
        <f aca="false">BCS+Taxjj*BCPTJJ+2*(Taxij*BCPTIJ)+BCPTII</f>
        <v>841.802623720875</v>
      </c>
      <c r="AG6" s="5" t="n">
        <f aca="false">Taxij*BUTIJ+BUTII</f>
        <v>7015.02186434063</v>
      </c>
      <c r="AH6" s="2" t="n">
        <f aca="false">TaxCost+TaxUtility</f>
        <v>7856.8244880615</v>
      </c>
      <c r="AI6" s="2" t="n">
        <f aca="false">TaxWelfare/Size</f>
        <v>392.841224403075</v>
      </c>
    </row>
    <row r="7" customFormat="false" ht="13" hidden="false" customHeight="false" outlineLevel="0" collapsed="false">
      <c r="A7" s="2" t="n">
        <v>0.700071638032608</v>
      </c>
      <c r="B7" s="2" t="n">
        <v>0.700071638032608</v>
      </c>
      <c r="C7" s="2" t="n">
        <v>50</v>
      </c>
      <c r="D7" s="2" t="n">
        <v>0</v>
      </c>
      <c r="E7" s="2" t="n">
        <f aca="false">Size-a</f>
        <v>50</v>
      </c>
      <c r="F7" s="4" t="n">
        <f aca="false">(EXP(alpha*(Tau+OldTau+zeta-2*a*psi))*((EXP(alpha*a*psi)-EXP(alpha*b*psi))^2))/((EXP(alpha*a*psi)-EXP(alpha*(2*OldTau+b*psi)))*(alpha^2)*(psi^2))</f>
        <v>3.19992252199771</v>
      </c>
      <c r="G7" s="4" t="n">
        <f aca="false">(EXP(alpha*(zeta+(2*b-a)*psi))*(-1+EXP(alpha*(-1)*Size*psi))*(EXP(alpha*(2*(Tau+OldTau)+a*psi))-EXP(alpha*(2*(Tau+OldTau)+b*psi))))/(((EXP(alpha*a*psi)-EXP(alpha*(2*OldTau+b*psi)))^2)*(alpha^2)*(psi^2))</f>
        <v>0.000436430987360372</v>
      </c>
      <c r="H7" s="5" t="n">
        <f aca="false">-Beta/alpha</f>
        <v>180</v>
      </c>
      <c r="I7" s="5" t="n">
        <f aca="false">(-EXP(alpha*zeta)*Beta*(-1+EXP(alpha*Size*psi)-Size*alpha*psi))/((alpha^3)*(psi^2))</f>
        <v>15200.5073390545</v>
      </c>
      <c r="J7" s="5" t="n">
        <f aca="false">Beta*Theta</f>
        <v>14.4</v>
      </c>
      <c r="K7" s="5" t="n">
        <f aca="false">Beta*Theta</f>
        <v>14.4</v>
      </c>
      <c r="L7" s="5" t="n">
        <f aca="false">kappa</f>
        <v>90</v>
      </c>
      <c r="M7" s="5" t="n">
        <f aca="false">Gamma*Size</f>
        <v>0</v>
      </c>
      <c r="N7" s="5" t="n">
        <f aca="false">Size*Beta*Phi</f>
        <v>162</v>
      </c>
      <c r="O7" s="5" t="n">
        <f aca="false">-(EXP(alpha*a*psi)+EXP(alpha*b*psi)*(-1+Size*psi*alpha))*(Beta*Phi)/((alpha*psi)*(EXP(alpha*a*psi)-EXP(alpha*b*psi)))</f>
        <v>21.5103507484362</v>
      </c>
      <c r="P7" s="5" t="n">
        <f aca="false">(EXP(alpha*(zeta-a*psi))*Beta*Phi*(-EXP(alpha*a*psi)*(-2+(-1)*Size*alpha*psi)+EXP(alpha*b*psi)*(-2+Size*alpha*psi)))/((alpha^3)*(psi^3))</f>
        <v>1544.77917175571</v>
      </c>
      <c r="Q7" s="5" t="n">
        <f aca="false">Tau*Beta</f>
        <v>126.01289484587</v>
      </c>
      <c r="R7" s="5" t="n">
        <f aca="false">Tau*Beta</f>
        <v>126.01289484587</v>
      </c>
      <c r="S7" s="6" t="n">
        <f aca="false">Tau</f>
        <v>0.700071638032608</v>
      </c>
      <c r="T7" s="5" t="n">
        <f aca="false">Profit+Utility</f>
        <v>14718.3832623836</v>
      </c>
      <c r="U7" s="5" t="n">
        <f aca="false">(2*ij*BRIJ)+2*jj*BRJJ</f>
        <v>806.572992423089</v>
      </c>
      <c r="V7" s="5" t="n">
        <f aca="false">2*(ij*BCCIJ)+(2*jj*BCCJJ)+BCS+jj*BCPTJJ+2*(ij*BCPTIJ)+BCPTII+BCk</f>
        <v>1864.68312305362</v>
      </c>
      <c r="W7" s="5" t="n">
        <f aca="false">ij*BUTIJ+BUTII</f>
        <v>15776.4933930141</v>
      </c>
      <c r="X7" s="5" t="n">
        <f aca="false">Revenue-Cost</f>
        <v>-1058.11013063053</v>
      </c>
      <c r="Y7" s="5" t="n">
        <f aca="false">Size</f>
        <v>50</v>
      </c>
      <c r="Z7" s="6" t="n">
        <f aca="false">Welfare/(Size)</f>
        <v>294.367665247671</v>
      </c>
      <c r="AA7" s="6" t="n">
        <f aca="false">Profit/(Size)</f>
        <v>-21.1622026126106</v>
      </c>
      <c r="AB7" s="6" t="n">
        <f aca="false">Utility/(Size)</f>
        <v>315.529867860282</v>
      </c>
      <c r="AD7" s="4" t="n">
        <f aca="false">(EXP(alpha*(zeta-2*a*psi))*((EXP(alpha*a*psi)-EXP(alpha*b*psi))^2))/((EXP(alpha*a*psi)-EXP(alpha*(b*psi)))*(alpha^2)*(psi^2))</f>
        <v>12.983596232206</v>
      </c>
      <c r="AE7" s="4" t="n">
        <f aca="false">(EXP(alpha*(zeta+(2*b-a)*psi))*(-1+EXP(alpha*(-1)*Size*psi))*(EXP(alpha*(a*psi))-EXP(alpha*(b*psi))))/(((EXP(alpha*a*psi)-EXP(alpha*(b*psi)))^2)*(alpha^2)*(psi^2))</f>
        <v>0.00718499805446688</v>
      </c>
      <c r="AF7" s="5" t="n">
        <f aca="false">BCS+Taxjj*BCPTJJ+2*(Taxij*BCPTIJ)+BCPTII</f>
        <v>2104.50655930219</v>
      </c>
      <c r="AG7" s="5" t="n">
        <f aca="false">Taxij*BUTIJ+BUTII</f>
        <v>17537.5546608516</v>
      </c>
      <c r="AH7" s="2" t="n">
        <f aca="false">TaxCost+TaxUtility</f>
        <v>19642.0612201538</v>
      </c>
      <c r="AI7" s="2" t="n">
        <f aca="false">TaxWelfare/Size</f>
        <v>392.841224403075</v>
      </c>
    </row>
    <row r="8" customFormat="false" ht="13" hidden="false" customHeight="false" outlineLevel="0" collapsed="false">
      <c r="A8" s="2" t="n">
        <v>0.700413164833829</v>
      </c>
      <c r="B8" s="2" t="n">
        <v>0.700413164833829</v>
      </c>
      <c r="C8" s="2" t="n">
        <v>100</v>
      </c>
      <c r="D8" s="2" t="n">
        <v>0</v>
      </c>
      <c r="E8" s="2" t="n">
        <f aca="false">Size-a</f>
        <v>100</v>
      </c>
      <c r="F8" s="4" t="n">
        <f aca="false">(EXP(alpha*(Tau+OldTau+zeta-2*a*psi))*((EXP(alpha*a*psi)-EXP(alpha*b*psi))^2))/((EXP(alpha*a*psi)-EXP(alpha*(2*OldTau+b*psi)))*(alpha^2)*(psi^2))</f>
        <v>3.20083945045764</v>
      </c>
      <c r="G8" s="4" t="n">
        <f aca="false">(EXP(alpha*(zeta+(2*b-a)*psi))*(-1+EXP(alpha*(-1)*Size*psi))*(EXP(alpha*(2*(Tau+OldTau)+a*psi))-EXP(alpha*(2*(Tau+OldTau)+b*psi))))/(((EXP(alpha*a*psi)-EXP(alpha*(2*OldTau+b*psi)))^2)*(alpha^2)*(psi^2))</f>
        <v>2.41254570790789E-007</v>
      </c>
      <c r="H8" s="5" t="n">
        <f aca="false">-Beta/alpha</f>
        <v>180</v>
      </c>
      <c r="I8" s="5" t="n">
        <f aca="false">(-EXP(alpha*zeta)*Beta*(-1+EXP(alpha*Size*psi)-Size*alpha*psi))/((alpha^3)*(psi^2))</f>
        <v>32736.7694155601</v>
      </c>
      <c r="J8" s="5" t="n">
        <f aca="false">Beta*Theta</f>
        <v>14.4</v>
      </c>
      <c r="K8" s="5" t="n">
        <f aca="false">Beta*Theta</f>
        <v>14.4</v>
      </c>
      <c r="L8" s="5" t="n">
        <f aca="false">kappa</f>
        <v>90</v>
      </c>
      <c r="M8" s="5" t="n">
        <f aca="false">Gamma*Size</f>
        <v>0</v>
      </c>
      <c r="N8" s="5" t="n">
        <f aca="false">Size*Beta*Phi</f>
        <v>324</v>
      </c>
      <c r="O8" s="5" t="n">
        <f aca="false">-(EXP(alpha*a*psi)+EXP(alpha*b*psi)*(-1+Size*psi*alpha))*(Beta*Phi)/((alpha*psi)*(EXP(alpha*a*psi)-EXP(alpha*b*psi)))</f>
        <v>21.5999008876178</v>
      </c>
      <c r="P8" s="5" t="n">
        <f aca="false">(EXP(alpha*(zeta-a*psi))*Beta*Phi*(-EXP(alpha*a*psi)*(-2+(-1)*Size*alpha*psi)+EXP(alpha*b*psi)*(-2+Size*alpha*psi)))/((alpha^3)*(psi^3))</f>
        <v>3647.81282867692</v>
      </c>
      <c r="Q8" s="5" t="n">
        <f aca="false">Tau*Beta</f>
        <v>126.074369670089</v>
      </c>
      <c r="R8" s="5" t="n">
        <f aca="false">Tau*Beta</f>
        <v>126.074369670089</v>
      </c>
      <c r="S8" s="6" t="n">
        <f aca="false">Tau</f>
        <v>0.700413164833829</v>
      </c>
      <c r="T8" s="5" t="n">
        <f aca="false">Profit+Utility</f>
        <v>30151.7354899989</v>
      </c>
      <c r="U8" s="5" t="n">
        <f aca="false">(2*ij*BRIJ)+2*jj*BRJJ</f>
        <v>807.087693095239</v>
      </c>
      <c r="V8" s="5" t="n">
        <f aca="false">2*(ij*BCCIJ)+(2*jj*BCCJJ)+BCS+jj*BCPTJJ+2*(ij*BCPTIJ)+BCPTII+BCk</f>
        <v>3968.27271973884</v>
      </c>
      <c r="W8" s="5" t="n">
        <f aca="false">ij*BUTIJ+BUTII</f>
        <v>33312.9205166425</v>
      </c>
      <c r="X8" s="5" t="n">
        <f aca="false">Revenue-Cost</f>
        <v>-3161.1850266436</v>
      </c>
      <c r="Y8" s="5" t="n">
        <f aca="false">Size</f>
        <v>100</v>
      </c>
      <c r="Z8" s="6" t="n">
        <f aca="false">Welfare/(Size)</f>
        <v>301.517354899989</v>
      </c>
      <c r="AA8" s="6" t="n">
        <f aca="false">Profit/(Size)</f>
        <v>-31.611850266436</v>
      </c>
      <c r="AB8" s="6" t="n">
        <f aca="false">Utility/(Size)</f>
        <v>333.129205166425</v>
      </c>
      <c r="AD8" s="4" t="n">
        <f aca="false">(EXP(alpha*(zeta-2*a*psi))*((EXP(alpha*a*psi)-EXP(alpha*b*psi))^2))/((EXP(alpha*a*psi)-EXP(alpha*(b*psi)))*(alpha^2)*(psi^2))</f>
        <v>12.9907772563503</v>
      </c>
      <c r="AE8" s="4" t="n">
        <f aca="false">(EXP(alpha*(zeta+(2*b-a)*psi))*(-1+EXP(alpha*(-1)*Size*psi))*(EXP(alpha*(a*psi))-EXP(alpha*(b*psi))))/(((EXP(alpha*a*psi)-EXP(alpha*(b*psi)))^2)*(alpha^2)*(psi^2))</f>
        <v>3.97391012346822E-006</v>
      </c>
      <c r="AF8" s="5" t="n">
        <f aca="false">BCS+Taxjj*BCPTJJ+2*(Taxij*BCPTIJ)+BCPTII</f>
        <v>4209.01311860438</v>
      </c>
      <c r="AG8" s="5" t="n">
        <f aca="false">Taxij*BUTIJ+BUTII</f>
        <v>35075.1093217031</v>
      </c>
      <c r="AH8" s="2" t="n">
        <f aca="false">TaxCost+TaxUtility</f>
        <v>39284.1224403075</v>
      </c>
      <c r="AI8" s="2" t="n">
        <f aca="false">TaxWelfare/Size</f>
        <v>392.841224403075</v>
      </c>
    </row>
    <row r="9" customFormat="false" ht="13" hidden="false" customHeight="false" outlineLevel="0" collapsed="false">
      <c r="A9" s="2" t="n">
        <v>0.700413517896516</v>
      </c>
      <c r="B9" s="2" t="n">
        <v>0.700413517896516</v>
      </c>
      <c r="C9" s="2" t="n">
        <v>200</v>
      </c>
      <c r="D9" s="2" t="n">
        <v>0</v>
      </c>
      <c r="E9" s="2" t="n">
        <f aca="false">Size-a</f>
        <v>200</v>
      </c>
      <c r="F9" s="4" t="n">
        <f aca="false">(EXP(alpha*(Tau+OldTau+zeta-2*a*psi))*((EXP(alpha*a*psi)-EXP(alpha*b*psi))^2))/((EXP(alpha*a*psi)-EXP(alpha*(2*OldTau+b*psi)))*(alpha^2)*(psi^2))</f>
        <v>3.20083890729737</v>
      </c>
      <c r="G9" s="4" t="n">
        <f aca="false">(EXP(alpha*(zeta+(2*b-a)*psi))*(-1+EXP(alpha*(-1)*Size*psi))*(EXP(alpha*(2*(Tau+OldTau)+a*psi))-EXP(alpha*(2*(Tau+OldTau)+b*psi))))/(((EXP(alpha*a*psi)-EXP(alpha*(2*OldTau+b*psi)))^2)*(alpha^2)*(psi^2))</f>
        <v>7.38002628384168E-014</v>
      </c>
      <c r="H9" s="5" t="n">
        <f aca="false">-Beta/alpha</f>
        <v>180</v>
      </c>
      <c r="I9" s="5" t="n">
        <f aca="false">(-EXP(alpha*zeta)*Beta*(-1+EXP(alpha*Size*psi)-Size*alpha*psi))/((alpha^3)*(psi^2))</f>
        <v>67811.8780219596</v>
      </c>
      <c r="J9" s="5" t="n">
        <f aca="false">Beta*Theta</f>
        <v>14.4</v>
      </c>
      <c r="K9" s="5" t="n">
        <f aca="false">Beta*Theta</f>
        <v>14.4</v>
      </c>
      <c r="L9" s="5" t="n">
        <f aca="false">kappa</f>
        <v>90</v>
      </c>
      <c r="M9" s="5" t="n">
        <f aca="false">Gamma*Size</f>
        <v>0</v>
      </c>
      <c r="N9" s="5" t="n">
        <f aca="false">Size*Beta*Phi</f>
        <v>648</v>
      </c>
      <c r="O9" s="5" t="n">
        <f aca="false">-(EXP(alpha*a*psi)+EXP(alpha*b*psi)*(-1+Size*psi*alpha))*(Beta*Phi)/((alpha*psi)*(EXP(alpha*a*psi)-EXP(alpha*b*psi)))</f>
        <v>21.5999999999394</v>
      </c>
      <c r="P9" s="5" t="n">
        <f aca="false">(EXP(alpha*(zeta-a*psi))*Beta*Phi*(-EXP(alpha*a*psi)*(-2+(-1)*Size*alpha*psi)+EXP(alpha*b*psi)*(-2+Size*alpha*psi)))/((alpha^3)*(psi^3))</f>
        <v>7856.82448806234</v>
      </c>
      <c r="Q9" s="5" t="n">
        <f aca="false">Tau*Beta</f>
        <v>126.074433221373</v>
      </c>
      <c r="R9" s="5" t="n">
        <f aca="false">Tau*Beta</f>
        <v>126.074433221373</v>
      </c>
      <c r="S9" s="6" t="n">
        <f aca="false">Tau</f>
        <v>0.700413517896516</v>
      </c>
      <c r="T9" s="5" t="n">
        <f aca="false">Profit+Utility</f>
        <v>61017.8320380266</v>
      </c>
      <c r="U9" s="5" t="n">
        <f aca="false">(2*ij*BRIJ)+2*jj*BRJJ</f>
        <v>807.087902140888</v>
      </c>
      <c r="V9" s="5" t="n">
        <f aca="false">2*(ij*BCCIJ)+(2*jj*BCCJJ)+BCS+jj*BCPTJJ+2*(ij*BCPTIJ)+BCPTII+BCk</f>
        <v>8177.28488938741</v>
      </c>
      <c r="W9" s="5" t="n">
        <f aca="false">ij*BUTIJ+BUTII</f>
        <v>68388.0290252731</v>
      </c>
      <c r="X9" s="5" t="n">
        <f aca="false">Revenue-Cost</f>
        <v>-7370.19698724653</v>
      </c>
      <c r="Y9" s="5" t="n">
        <f aca="false">Size</f>
        <v>200</v>
      </c>
      <c r="Z9" s="6" t="n">
        <f aca="false">Welfare/(Size)</f>
        <v>305.089160190133</v>
      </c>
      <c r="AA9" s="6" t="n">
        <f aca="false">Profit/(Size)</f>
        <v>-36.8509849362326</v>
      </c>
      <c r="AB9" s="6" t="n">
        <f aca="false">Utility/(Size)</f>
        <v>341.940145126366</v>
      </c>
      <c r="AD9" s="4" t="n">
        <f aca="false">(EXP(alpha*(zeta-2*a*psi))*((EXP(alpha*a*psi)-EXP(alpha*b*psi))^2))/((EXP(alpha*a*psi)-EXP(alpha*(b*psi)))*(alpha^2)*(psi^2))</f>
        <v>12.9907812302592</v>
      </c>
      <c r="AE9" s="4" t="n">
        <f aca="false">(EXP(alpha*(zeta+(2*b-a)*psi))*(-1+EXP(alpha*(-1)*Size*psi))*(EXP(alpha*(a*psi))-EXP(alpha*(b*psi))))/(((EXP(alpha*a*psi)-EXP(alpha*(b*psi)))^2)*(alpha^2)*(psi^2))</f>
        <v>1.21562832823463E-012</v>
      </c>
      <c r="AF9" s="5" t="n">
        <f aca="false">BCS+Taxjj*BCPTJJ+2*(Taxij*BCPTIJ)+BCPTII</f>
        <v>8418.02623720875</v>
      </c>
      <c r="AG9" s="5" t="n">
        <f aca="false">Taxij*BUTIJ+BUTII</f>
        <v>70150.2186434063</v>
      </c>
      <c r="AH9" s="2" t="n">
        <f aca="false">TaxCost+TaxUtility</f>
        <v>78568.244880615</v>
      </c>
      <c r="AI9" s="2" t="n">
        <f aca="false">TaxWelfare/Size</f>
        <v>392.841224403075</v>
      </c>
    </row>
    <row r="10" customFormat="false" ht="13" hidden="false" customHeight="false" outlineLevel="0" collapsed="false">
      <c r="A10" s="2" t="n">
        <v>0.700413517896968</v>
      </c>
      <c r="B10" s="2" t="n">
        <v>0.700413517896968</v>
      </c>
      <c r="C10" s="2" t="n">
        <v>500</v>
      </c>
      <c r="D10" s="2" t="n">
        <v>0</v>
      </c>
      <c r="E10" s="2" t="n">
        <f aca="false">Size-a</f>
        <v>500</v>
      </c>
      <c r="F10" s="4" t="n">
        <f aca="false">(EXP(alpha*(Tau+OldTau+zeta-2*a*psi))*((EXP(alpha*a*psi)-EXP(alpha*b*psi))^2))/((EXP(alpha*a*psi)-EXP(alpha*(2*OldTau+b*psi)))*(alpha^2)*(psi^2))</f>
        <v>3.20083890729501</v>
      </c>
      <c r="G10" s="4" t="n">
        <f aca="false">(EXP(alpha*(zeta+(2*b-a)*psi))*(-1+EXP(alpha*(-1)*Size*psi))*(EXP(alpha*(2*(Tau+OldTau)+a*psi))-EXP(alpha*(2*(Tau+OldTau)+b*psi))))/(((EXP(alpha*a*psi)-EXP(alpha*(2*OldTau+b*psi)))^2)*(alpha^2)*(psi^2))</f>
        <v>2.11254623624046E-033</v>
      </c>
      <c r="H10" s="5" t="n">
        <f aca="false">-Beta/alpha</f>
        <v>180</v>
      </c>
      <c r="I10" s="5" t="n">
        <f aca="false">(-EXP(alpha*zeta)*Beta*(-1+EXP(alpha*Size*psi)-Size*alpha*psi))/((alpha^3)*(psi^2))</f>
        <v>173037.205987069</v>
      </c>
      <c r="J10" s="5" t="n">
        <f aca="false">Beta*Theta</f>
        <v>14.4</v>
      </c>
      <c r="K10" s="5" t="n">
        <f aca="false">Beta*Theta</f>
        <v>14.4</v>
      </c>
      <c r="L10" s="5" t="n">
        <f aca="false">kappa</f>
        <v>90</v>
      </c>
      <c r="M10" s="5" t="n">
        <f aca="false">Gamma*Size</f>
        <v>0</v>
      </c>
      <c r="N10" s="5" t="n">
        <f aca="false">Size*Beta*Phi</f>
        <v>1620</v>
      </c>
      <c r="O10" s="5" t="n">
        <f aca="false">-(EXP(alpha*a*psi)+EXP(alpha*b*psi)*(-1+Size*psi*alpha))*(Beta*Phi)/((alpha*psi)*(EXP(alpha*a*psi)-EXP(alpha*b*psi)))</f>
        <v>21.6</v>
      </c>
      <c r="P10" s="5" t="n">
        <f aca="false">(EXP(alpha*(zeta-a*psi))*Beta*Phi*(-EXP(alpha*a*psi)*(-2+(-1)*Size*alpha*psi)+EXP(alpha*b*psi)*(-2+Size*alpha*psi)))/((alpha^3)*(psi^3))</f>
        <v>20483.8638438746</v>
      </c>
      <c r="Q10" s="5" t="n">
        <f aca="false">Tau*Beta</f>
        <v>126.074433221454</v>
      </c>
      <c r="R10" s="5" t="n">
        <f aca="false">Tau*Beta</f>
        <v>126.074433221454</v>
      </c>
      <c r="S10" s="6" t="n">
        <f aca="false">Tau</f>
        <v>0.700413517896968</v>
      </c>
      <c r="T10" s="5" t="n">
        <f aca="false">Profit+Utility</f>
        <v>153616.120647323</v>
      </c>
      <c r="U10" s="5" t="n">
        <f aca="false">(2*ij*BRIJ)+2*jj*BRJJ</f>
        <v>807.087902140793</v>
      </c>
      <c r="V10" s="5" t="n">
        <f aca="false">2*(ij*BCCIJ)+(2*jj*BCCJJ)+BCS+jj*BCPTJJ+2*(ij*BCPTIJ)+BCPTII+BCk</f>
        <v>20804.3242451999</v>
      </c>
      <c r="W10" s="5" t="n">
        <f aca="false">ij*BUTIJ+BUTII</f>
        <v>173613.356990382</v>
      </c>
      <c r="X10" s="5" t="n">
        <f aca="false">Revenue-Cost</f>
        <v>-19997.2363430591</v>
      </c>
      <c r="Y10" s="5" t="n">
        <f aca="false">Size</f>
        <v>500</v>
      </c>
      <c r="Z10" s="6" t="n">
        <f aca="false">Welfare/(Size)</f>
        <v>307.232241294646</v>
      </c>
      <c r="AA10" s="6" t="n">
        <f aca="false">Profit/(Size)</f>
        <v>-39.9944726861182</v>
      </c>
      <c r="AB10" s="6" t="n">
        <f aca="false">Utility/(Size)</f>
        <v>347.226713980764</v>
      </c>
      <c r="AD10" s="4" t="n">
        <f aca="false">(EXP(alpha*(zeta-2*a*psi))*((EXP(alpha*a*psi)-EXP(alpha*b*psi))^2))/((EXP(alpha*a*psi)-EXP(alpha*(b*psi)))*(alpha^2)*(psi^2))</f>
        <v>12.9907812302604</v>
      </c>
      <c r="AE10" s="4" t="n">
        <f aca="false">(EXP(alpha*(zeta+(2*b-a)*psi))*(-1+EXP(alpha*(-1)*Size*psi))*(EXP(alpha*(a*psi))-EXP(alpha*(b*psi))))/(((EXP(alpha*a*psi)-EXP(alpha*(b*psi)))^2)*(alpha^2)*(psi^2))</f>
        <v>3.47975867661385E-032</v>
      </c>
      <c r="AF10" s="5" t="n">
        <f aca="false">BCS+Taxjj*BCPTJJ+2*(Taxij*BCPTIJ)+BCPTII</f>
        <v>21045.0655930219</v>
      </c>
      <c r="AG10" s="5" t="n">
        <f aca="false">Taxij*BUTIJ+BUTII</f>
        <v>175375.546608516</v>
      </c>
      <c r="AH10" s="2" t="n">
        <f aca="false">TaxCost+TaxUtility</f>
        <v>196420.612201538</v>
      </c>
      <c r="AI10" s="2" t="n">
        <f aca="false">TaxWelfare/Size</f>
        <v>392.841224403075</v>
      </c>
    </row>
    <row r="11" customFormat="false" ht="13" hidden="false" customHeight="false" outlineLevel="0" collapsed="false">
      <c r="A11" s="2" t="n">
        <v>0.700413517897206</v>
      </c>
      <c r="B11" s="2" t="n">
        <v>0.700413517897206</v>
      </c>
      <c r="C11" s="2" t="n">
        <v>1000</v>
      </c>
      <c r="D11" s="2" t="n">
        <v>0</v>
      </c>
      <c r="E11" s="2" t="n">
        <f aca="false">Size-a</f>
        <v>1000</v>
      </c>
      <c r="F11" s="4" t="n">
        <f aca="false">(EXP(alpha*(Tau+OldTau+zeta-2*a*psi))*((EXP(alpha*a*psi)-EXP(alpha*b*psi))^2))/((EXP(alpha*a*psi)-EXP(alpha*(2*OldTau+b*psi)))*(alpha^2)*(psi^2))</f>
        <v>3.20083890729348</v>
      </c>
      <c r="G11" s="4" t="n">
        <f aca="false">(EXP(alpha*(zeta+(2*b-a)*psi))*(-1+EXP(alpha*(-1)*Size*psi))*(EXP(alpha*(2*(Tau+OldTau)+a*psi))-EXP(alpha*(2*(Tau+OldTau)+b*psi))))/(((EXP(alpha*a*psi)-EXP(alpha*(2*OldTau+b*psi)))^2)*(alpha^2)*(psi^2))</f>
        <v>5.6587444319167E-066</v>
      </c>
      <c r="H11" s="5" t="n">
        <f aca="false">-Beta/alpha</f>
        <v>180</v>
      </c>
      <c r="I11" s="5" t="n">
        <f aca="false">(-EXP(alpha*zeta)*Beta*(-1+EXP(alpha*Size*psi)-Size*alpha*psi))/((alpha^3)*(psi^2))</f>
        <v>348412.752595584</v>
      </c>
      <c r="J11" s="5" t="n">
        <f aca="false">Beta*Theta</f>
        <v>14.4</v>
      </c>
      <c r="K11" s="5" t="n">
        <f aca="false">Beta*Theta</f>
        <v>14.4</v>
      </c>
      <c r="L11" s="5" t="n">
        <f aca="false">kappa</f>
        <v>90</v>
      </c>
      <c r="M11" s="5" t="n">
        <f aca="false">Gamma*Size</f>
        <v>0</v>
      </c>
      <c r="N11" s="5" t="n">
        <f aca="false">Size*Beta*Phi</f>
        <v>3240</v>
      </c>
      <c r="O11" s="5" t="n">
        <f aca="false">-(EXP(alpha*a*psi)+EXP(alpha*b*psi)*(-1+Size*psi*alpha))*(Beta*Phi)/((alpha*psi)*(EXP(alpha*a*psi)-EXP(alpha*b*psi)))</f>
        <v>21.6</v>
      </c>
      <c r="P11" s="5" t="n">
        <f aca="false">(EXP(alpha*(zeta-a*psi))*Beta*Phi*(-EXP(alpha*a*psi)*(-2+(-1)*Size*alpha*psi)+EXP(alpha*b*psi)*(-2+Size*alpha*psi)))/((alpha^3)*(psi^3))</f>
        <v>41528.9294368965</v>
      </c>
      <c r="Q11" s="5" t="n">
        <f aca="false">Tau*Beta</f>
        <v>126.074433221497</v>
      </c>
      <c r="R11" s="5" t="n">
        <f aca="false">Tau*Beta</f>
        <v>126.074433221497</v>
      </c>
      <c r="S11" s="6" t="n">
        <f aca="false">Tau</f>
        <v>0.700413517897206</v>
      </c>
      <c r="T11" s="5" t="n">
        <f aca="false">Profit+Utility</f>
        <v>307946.601662816</v>
      </c>
      <c r="U11" s="5" t="n">
        <f aca="false">(2*ij*BRIJ)+2*jj*BRJJ</f>
        <v>807.087902140683</v>
      </c>
      <c r="V11" s="5" t="n">
        <f aca="false">2*(ij*BCCIJ)+(2*jj*BCCJJ)+BCS+jj*BCPTJJ+2*(ij*BCPTIJ)+BCPTII+BCk</f>
        <v>41849.3898382216</v>
      </c>
      <c r="W11" s="5" t="n">
        <f aca="false">ij*BUTIJ+BUTII</f>
        <v>348988.903598897</v>
      </c>
      <c r="X11" s="5" t="n">
        <f aca="false">Revenue-Cost</f>
        <v>-41042.301936081</v>
      </c>
      <c r="Y11" s="5" t="n">
        <f aca="false">Size</f>
        <v>1000</v>
      </c>
      <c r="Z11" s="6" t="n">
        <f aca="false">Welfare/(Size)</f>
        <v>307.946601662816</v>
      </c>
      <c r="AA11" s="6" t="n">
        <f aca="false">Profit/(Size)</f>
        <v>-41.042301936081</v>
      </c>
      <c r="AB11" s="6" t="n">
        <f aca="false">Utility/(Size)</f>
        <v>348.988903598897</v>
      </c>
      <c r="AD11" s="4" t="n">
        <f aca="false">(EXP(alpha*(zeta-2*a*psi))*((EXP(alpha*a*psi)-EXP(alpha*b*psi))^2))/((EXP(alpha*a*psi)-EXP(alpha*(b*psi)))*(alpha^2)*(psi^2))</f>
        <v>12.9907812302604</v>
      </c>
      <c r="AE11" s="4" t="n">
        <f aca="false">(EXP(alpha*(zeta+(2*b-a)*psi))*(-1+EXP(alpha*(-1)*Size*psi))*(EXP(alpha*(a*psi))-EXP(alpha*(b*psi))))/(((EXP(alpha*a*psi)-EXP(alpha*(b*psi)))^2)*(alpha^2)*(psi^2))</f>
        <v>9.32101020934996E-065</v>
      </c>
      <c r="AF11" s="5" t="n">
        <f aca="false">BCS+Taxjj*BCPTJJ+2*(Taxij*BCPTIJ)+BCPTII</f>
        <v>42090.1311860438</v>
      </c>
      <c r="AG11" s="5" t="n">
        <f aca="false">Taxij*BUTIJ+BUTII</f>
        <v>350751.093217031</v>
      </c>
      <c r="AH11" s="2" t="n">
        <f aca="false">TaxCost+TaxUtility</f>
        <v>392841.224403075</v>
      </c>
      <c r="AI11" s="2" t="n">
        <f aca="false">TaxWelfare/Size</f>
        <v>392.841224403075</v>
      </c>
    </row>
    <row r="12" customFormat="false" ht="13" hidden="false" customHeight="false" outlineLevel="0" collapsed="false"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5"/>
      <c r="U12" s="5"/>
      <c r="V12" s="5"/>
      <c r="W12" s="5"/>
      <c r="X12" s="5"/>
      <c r="Y12" s="5"/>
      <c r="Z12" s="6"/>
      <c r="AA12" s="6"/>
      <c r="AB12" s="6"/>
      <c r="AD12" s="4"/>
      <c r="AE12" s="4"/>
      <c r="AF12" s="5"/>
      <c r="AG12" s="5"/>
    </row>
    <row r="13" customFormat="false" ht="13" hidden="false" customHeight="false" outlineLevel="0" collapsed="false">
      <c r="A13" s="8" t="s">
        <v>152</v>
      </c>
      <c r="F13" s="2"/>
    </row>
    <row r="14" customFormat="false" ht="13" hidden="false" customHeight="false" outlineLevel="0" collapsed="false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17</v>
      </c>
      <c r="F14" s="3" t="s">
        <v>18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27</v>
      </c>
      <c r="P14" s="2" t="s">
        <v>28</v>
      </c>
      <c r="Q14" s="2" t="s">
        <v>29</v>
      </c>
      <c r="R14" s="2" t="s">
        <v>30</v>
      </c>
      <c r="S14" s="2" t="s">
        <v>31</v>
      </c>
      <c r="T14" s="2" t="s">
        <v>32</v>
      </c>
      <c r="U14" s="2" t="s">
        <v>33</v>
      </c>
      <c r="V14" s="2" t="s">
        <v>34</v>
      </c>
      <c r="W14" s="2" t="s">
        <v>35</v>
      </c>
      <c r="X14" s="2" t="s">
        <v>36</v>
      </c>
      <c r="Y14" s="2" t="s">
        <v>37</v>
      </c>
      <c r="Z14" s="2" t="s">
        <v>38</v>
      </c>
      <c r="AA14" s="2" t="s">
        <v>39</v>
      </c>
      <c r="AB14" s="2" t="s">
        <v>40</v>
      </c>
      <c r="AF14" s="2" t="s">
        <v>148</v>
      </c>
      <c r="AG14" s="2" t="s">
        <v>149</v>
      </c>
      <c r="AH14" s="2" t="s">
        <v>150</v>
      </c>
      <c r="AI14" s="2" t="s">
        <v>151</v>
      </c>
    </row>
    <row r="15" customFormat="false" ht="13" hidden="false" customHeight="false" outlineLevel="0" collapsed="false">
      <c r="A15" s="2" t="n">
        <v>0.588963732531121</v>
      </c>
      <c r="B15" s="2" t="n">
        <v>0.588963732531121</v>
      </c>
      <c r="C15" s="2" t="n">
        <v>1</v>
      </c>
      <c r="D15" s="2" t="n">
        <v>0</v>
      </c>
      <c r="E15" s="2" t="n">
        <f aca="false">Size-a</f>
        <v>1</v>
      </c>
      <c r="F15" s="4" t="n">
        <f aca="false">(EXP(alpha*(Tau+OldTau+zeta-2*a*psi))*((EXP(alpha*a*psi)-EXP(alpha*b*psi))^2))/((EXP(alpha*a*psi)-EXP(alpha*(2*OldTau+b*psi)))*(alpha^2)*(psi^2))</f>
        <v>0.105596219832446</v>
      </c>
      <c r="G15" s="4" t="n">
        <f aca="false">(EXP(alpha*(zeta+(2*b-a)*psi))*(-1+EXP(alpha*(-1)*Size*psi))*(EXP(alpha*(2*(Tau+OldTau)+a*psi))-EXP(alpha*(2*(Tau+OldTau)+b*psi))))/(((EXP(alpha*a*psi)-EXP(alpha*(2*OldTau+b*psi)))^2)*(alpha^2)*(psi^2))</f>
        <v>0.0380771825540694</v>
      </c>
      <c r="H15" s="5" t="n">
        <f aca="false">-Beta/alpha</f>
        <v>180</v>
      </c>
      <c r="I15" s="5" t="n">
        <f aca="false">(-EXP(alpha*zeta)*Beta*(-1+EXP(alpha*Size*psi)-Size*alpha*psi))/((alpha^3)*(psi^2))</f>
        <v>25.0388962482082</v>
      </c>
      <c r="J15" s="5" t="n">
        <f aca="false">Beta*Theta</f>
        <v>14.4</v>
      </c>
      <c r="K15" s="5" t="n">
        <f aca="false">Beta*Theta</f>
        <v>14.4</v>
      </c>
      <c r="L15" s="5" t="n">
        <v>0</v>
      </c>
      <c r="M15" s="5" t="n">
        <f aca="false">Gamma*Size</f>
        <v>0</v>
      </c>
      <c r="N15" s="5" t="n">
        <f aca="false">Size*Beta*Phi</f>
        <v>3.24</v>
      </c>
      <c r="O15" s="5" t="n">
        <f aca="false">-(EXP(alpha*a*psi)+EXP(alpha*b*psi)*(-1+Size*psi*alpha))*(Beta*Phi)/((alpha*psi)*(EXP(alpha*a*psi)-EXP(alpha*b*psi)))</f>
        <v>1.57951517936842</v>
      </c>
      <c r="P15" s="5" t="n">
        <f aca="false">(EXP(alpha*(zeta-a*psi))*Beta*Phi*(-EXP(alpha*a*psi)*(-2+(-1)*Size*alpha*psi)+EXP(alpha*b*psi)*(-2+Size*alpha*psi)))/((alpha^3)*(psi^3))</f>
        <v>0.146515554131081</v>
      </c>
      <c r="Q15" s="5" t="n">
        <f aca="false">Tau*Beta</f>
        <v>106.013471855602</v>
      </c>
      <c r="R15" s="5" t="n">
        <f aca="false">Tau*Beta</f>
        <v>106.013471855602</v>
      </c>
      <c r="S15" s="6" t="n">
        <f aca="false">Tau</f>
        <v>0.588963732531121</v>
      </c>
      <c r="T15" s="5" t="n">
        <f aca="false">Profit+Utility</f>
        <v>69.7675869400947</v>
      </c>
      <c r="U15" s="5" t="n">
        <f aca="false">(2*ij*BRIJ)+2*jj*BRJJ</f>
        <v>30.4626324006027</v>
      </c>
      <c r="V15" s="5" t="n">
        <f aca="false">2*(ij*BCCIJ)+(2*jj*BCCJJ)+BCS+jj*BCPTJJ+2*(ij*BCPTIJ)+BCPTII+BCk</f>
        <v>4.74126127855645</v>
      </c>
      <c r="W15" s="5" t="n">
        <f aca="false">ij*BUTIJ+BUTII</f>
        <v>44.0462158180484</v>
      </c>
      <c r="X15" s="5" t="n">
        <f aca="false">Revenue-Cost</f>
        <v>25.7213711220463</v>
      </c>
      <c r="Y15" s="5" t="n">
        <f aca="false">Size</f>
        <v>1</v>
      </c>
      <c r="Z15" s="6" t="n">
        <f aca="false">Welfare/(Size)</f>
        <v>69.7675869400947</v>
      </c>
      <c r="AA15" s="6" t="n">
        <f aca="false">Profit/(Size)</f>
        <v>25.7213711220463</v>
      </c>
      <c r="AB15" s="6" t="n">
        <f aca="false">Utility/(Size)</f>
        <v>44.0462158180484</v>
      </c>
      <c r="AD15" s="4" t="n">
        <f aca="false">(EXP(alpha*(zeta-2*a*psi))*((EXP(alpha*a*psi)-EXP(alpha*b*psi))^2))/((EXP(alpha*a*psi)-EXP(alpha*(b*psi)))*(alpha^2)*(psi^2))</f>
        <v>1.80951220538235</v>
      </c>
      <c r="AE15" s="4" t="n">
        <f aca="false">(EXP(alpha*(zeta+(2*b-a)*psi))*(-1+EXP(alpha*(-1)*Size*psi))*(EXP(alpha*(a*psi))-EXP(alpha*(b*psi))))/(((EXP(alpha*a*psi)-EXP(alpha*(b*psi)))^2)*(alpha^2)*(psi^2))</f>
        <v>11.1812690248781</v>
      </c>
      <c r="AF15" s="5" t="n">
        <f aca="false">BCS+Taxjj*BCPTJJ+2*(Taxij*BCPTIJ)+BCPTII</f>
        <v>42.0901311860437</v>
      </c>
      <c r="AG15" s="5" t="n">
        <f aca="false">Taxij*BUTIJ+BUTII</f>
        <v>350.751093217031</v>
      </c>
      <c r="AH15" s="2" t="n">
        <f aca="false">TaxCost+TaxUtility</f>
        <v>392.841224403075</v>
      </c>
      <c r="AI15" s="2" t="n">
        <f aca="false">TaxWelfare/Size</f>
        <v>392.841224403075</v>
      </c>
    </row>
    <row r="16" customFormat="false" ht="13" hidden="false" customHeight="false" outlineLevel="0" collapsed="false">
      <c r="A16" s="2" t="n">
        <v>0.597746822068981</v>
      </c>
      <c r="B16" s="2" t="n">
        <v>0.597746822068981</v>
      </c>
      <c r="C16" s="2" t="n">
        <v>2</v>
      </c>
      <c r="D16" s="2" t="n">
        <v>0</v>
      </c>
      <c r="E16" s="2" t="n">
        <f aca="false">Size-a</f>
        <v>2</v>
      </c>
      <c r="F16" s="4" t="n">
        <f aca="false">(EXP(alpha*(Tau+OldTau+zeta-2*a*psi))*((EXP(alpha*a*psi)-EXP(alpha*b*psi))^2))/((EXP(alpha*a*psi)-EXP(alpha*(2*OldTau+b*psi)))*(alpha^2)*(psi^2))</f>
        <v>0.34030113008378</v>
      </c>
      <c r="G16" s="4" t="n">
        <f aca="false">(EXP(alpha*(zeta+(2*b-a)*psi))*(-1+EXP(alpha*(-1)*Size*psi))*(EXP(alpha*(2*(Tau+OldTau)+a*psi))-EXP(alpha*(2*(Tau+OldTau)+b*psi))))/(((EXP(alpha*a*psi)-EXP(alpha*(2*OldTau+b*psi)))^2)*(alpha^2)*(psi^2))</f>
        <v>0.0983092164911977</v>
      </c>
      <c r="H16" s="5" t="n">
        <f aca="false">-Beta/alpha</f>
        <v>180</v>
      </c>
      <c r="I16" s="5" t="n">
        <f aca="false">(-EXP(alpha*zeta)*Beta*(-1+EXP(alpha*Size*psi)-Size*alpha*psi))/((alpha^3)*(psi^2))</f>
        <v>95.4469035152439</v>
      </c>
      <c r="J16" s="5" t="n">
        <f aca="false">Beta*Theta</f>
        <v>14.4</v>
      </c>
      <c r="K16" s="5" t="n">
        <f aca="false">Beta*Theta</f>
        <v>14.4</v>
      </c>
      <c r="L16" s="5" t="n">
        <v>0</v>
      </c>
      <c r="M16" s="5" t="n">
        <f aca="false">Gamma*Size</f>
        <v>0</v>
      </c>
      <c r="N16" s="5" t="n">
        <f aca="false">Size*Beta*Phi</f>
        <v>6.48</v>
      </c>
      <c r="O16" s="5" t="n">
        <f aca="false">-(EXP(alpha*a*psi)+EXP(alpha*b*psi)*(-1+Size*psi*alpha))*(Beta*Phi)/((alpha*psi)*(EXP(alpha*a*psi)-EXP(alpha*b*psi)))</f>
        <v>3.07824248045466</v>
      </c>
      <c r="P16" s="5" t="n">
        <f aca="false">(EXP(alpha*(zeta-a*psi))*Beta*Phi*(-EXP(alpha*a*psi)*(-2+(-1)*Size*alpha*psi)+EXP(alpha*b*psi)*(-2+Size*alpha*psi)))/((alpha^3)*(psi^3))</f>
        <v>1.08926665858103</v>
      </c>
      <c r="Q16" s="5" t="n">
        <f aca="false">Tau*Beta</f>
        <v>107.594427972417</v>
      </c>
      <c r="R16" s="5" t="n">
        <f aca="false">Tau*Beta</f>
        <v>107.594427972417</v>
      </c>
      <c r="S16" s="6" t="n">
        <f aca="false">Tau</f>
        <v>0.597746822068981</v>
      </c>
      <c r="T16" s="5" t="n">
        <f aca="false">Profit+Utility</f>
        <v>234.631818463016</v>
      </c>
      <c r="U16" s="5" t="n">
        <f aca="false">(2*ij*BRIJ)+2*jj*BRJJ</f>
        <v>94.3840586850361</v>
      </c>
      <c r="V16" s="5" t="n">
        <f aca="false">2*(ij*BCCIJ)+(2*jj*BCCJJ)+BCS+jj*BCPTJJ+2*(ij*BCPTIJ)+BCPTII+BCk</f>
        <v>16.4533471523446</v>
      </c>
      <c r="W16" s="5" t="n">
        <f aca="false">ij*BUTIJ+BUTII</f>
        <v>156.701106930324</v>
      </c>
      <c r="X16" s="5" t="n">
        <f aca="false">Revenue-Cost</f>
        <v>77.9307115326915</v>
      </c>
      <c r="Y16" s="5" t="n">
        <f aca="false">Size</f>
        <v>2</v>
      </c>
      <c r="Z16" s="6" t="n">
        <f aca="false">Welfare/(Size)</f>
        <v>117.315909231508</v>
      </c>
      <c r="AA16" s="6" t="n">
        <f aca="false">Profit/(Size)</f>
        <v>38.9653557663458</v>
      </c>
      <c r="AB16" s="6" t="n">
        <f aca="false">Utility/(Size)</f>
        <v>78.3505534651621</v>
      </c>
      <c r="AD16" s="4" t="n">
        <f aca="false">(EXP(alpha*(zeta-2*a*psi))*((EXP(alpha*a*psi)-EXP(alpha*b*psi))^2))/((EXP(alpha*a*psi)-EXP(alpha*(b*psi)))*(alpha^2)*(psi^2))</f>
        <v>3.36697379399344</v>
      </c>
      <c r="AE16" s="4" t="n">
        <f aca="false">(EXP(alpha*(zeta+(2*b-a)*psi))*(-1+EXP(alpha*(-1)*Size*psi))*(EXP(alpha*(a*psi))-EXP(alpha*(b*psi))))/(((EXP(alpha*a*psi)-EXP(alpha*(b*psi)))^2)*(alpha^2)*(psi^2))</f>
        <v>9.62380743626698</v>
      </c>
      <c r="AF16" s="5" t="n">
        <f aca="false">BCS+Taxjj*BCPTJJ+2*(Taxij*BCPTIJ)+BCPTII</f>
        <v>84.1802623720875</v>
      </c>
      <c r="AG16" s="5" t="n">
        <f aca="false">Taxij*BUTIJ+BUTII</f>
        <v>701.502186434063</v>
      </c>
      <c r="AH16" s="2" t="n">
        <f aca="false">TaxCost+TaxUtility</f>
        <v>785.68244880615</v>
      </c>
      <c r="AI16" s="2" t="n">
        <f aca="false">TaxWelfare/Size</f>
        <v>392.841224403075</v>
      </c>
    </row>
    <row r="17" customFormat="false" ht="13" hidden="false" customHeight="false" outlineLevel="0" collapsed="false">
      <c r="A17" s="2" t="n">
        <v>0.621942558784777</v>
      </c>
      <c r="B17" s="2" t="n">
        <v>0.621942558784777</v>
      </c>
      <c r="C17" s="2" t="n">
        <v>5</v>
      </c>
      <c r="D17" s="2" t="n">
        <v>0</v>
      </c>
      <c r="E17" s="2" t="n">
        <f aca="false">Size-a</f>
        <v>5</v>
      </c>
      <c r="F17" s="4" t="n">
        <f aca="false">(EXP(alpha*(Tau+OldTau+zeta-2*a*psi))*((EXP(alpha*a*psi)-EXP(alpha*b*psi))^2))/((EXP(alpha*a*psi)-EXP(alpha*(2*OldTau+b*psi)))*(alpha^2)*(psi^2))</f>
        <v>1.20685989737883</v>
      </c>
      <c r="G17" s="4" t="n">
        <f aca="false">(EXP(alpha*(zeta+(2*b-a)*psi))*(-1+EXP(alpha*(-1)*Size*psi))*(EXP(alpha*(2*(Tau+OldTau)+a*psi))-EXP(alpha*(2*(Tau+OldTau)+b*psi))))/(((EXP(alpha*a*psi)-EXP(alpha*(2*OldTau+b*psi)))^2)*(alpha^2)*(psi^2))</f>
        <v>0.190236105245996</v>
      </c>
      <c r="H17" s="5" t="n">
        <f aca="false">-Beta/alpha</f>
        <v>180</v>
      </c>
      <c r="I17" s="5" t="n">
        <f aca="false">(-EXP(alpha*zeta)*Beta*(-1+EXP(alpha*Size*psi)-Size*alpha*psi))/((alpha^3)*(psi^2))</f>
        <v>519.968743125424</v>
      </c>
      <c r="J17" s="5" t="n">
        <f aca="false">Beta*Theta</f>
        <v>14.4</v>
      </c>
      <c r="K17" s="5" t="n">
        <f aca="false">Beta*Theta</f>
        <v>14.4</v>
      </c>
      <c r="L17" s="5" t="n">
        <v>0</v>
      </c>
      <c r="M17" s="5" t="n">
        <f aca="false">Gamma*Size</f>
        <v>0</v>
      </c>
      <c r="N17" s="5" t="n">
        <f aca="false">Size*Beta*Phi</f>
        <v>16.2</v>
      </c>
      <c r="O17" s="5" t="n">
        <f aca="false">-(EXP(alpha*a*psi)+EXP(alpha*b*psi)*(-1+Size*psi*alpha))*(Beta*Phi)/((alpha*psi)*(EXP(alpha*a*psi)-EXP(alpha*b*psi)))</f>
        <v>7.09686682268204</v>
      </c>
      <c r="P17" s="5" t="n">
        <f aca="false">(EXP(alpha*(zeta-a*psi))*Beta*Phi*(-EXP(alpha*a*psi)*(-2+(-1)*Size*alpha*psi)+EXP(alpha*b*psi)*(-2+Size*alpha*psi)))/((alpha^3)*(psi^3))</f>
        <v>13.7516932837258</v>
      </c>
      <c r="Q17" s="5" t="n">
        <f aca="false">Tau*Beta</f>
        <v>111.94966058126</v>
      </c>
      <c r="R17" s="5" t="n">
        <f aca="false">Tau*Beta</f>
        <v>111.94966058126</v>
      </c>
      <c r="S17" s="6" t="n">
        <f aca="false">Tau</f>
        <v>0.621942558784777</v>
      </c>
      <c r="T17" s="5" t="n">
        <f aca="false">Profit+Utility</f>
        <v>975.812640245209</v>
      </c>
      <c r="U17" s="5" t="n">
        <f aca="false">(2*ij*BRIJ)+2*jj*BRJJ</f>
        <v>312.808846586569</v>
      </c>
      <c r="V17" s="5" t="n">
        <f aca="false">2*(ij*BCCIJ)+(2*jj*BCCJJ)+BCS+jj*BCPTJJ+2*(ij*BCPTIJ)+BCPTII+BCk</f>
        <v>74.1997309949724</v>
      </c>
      <c r="W17" s="5" t="n">
        <f aca="false">ij*BUTIJ+BUTII</f>
        <v>737.203524653613</v>
      </c>
      <c r="X17" s="5" t="n">
        <f aca="false">Revenue-Cost</f>
        <v>238.609115591596</v>
      </c>
      <c r="Y17" s="5" t="n">
        <f aca="false">Size</f>
        <v>5</v>
      </c>
      <c r="Z17" s="6" t="n">
        <f aca="false">Welfare/(Size)</f>
        <v>195.162528049042</v>
      </c>
      <c r="AA17" s="6" t="n">
        <f aca="false">Profit/(Size)</f>
        <v>47.7218231183193</v>
      </c>
      <c r="AB17" s="6" t="n">
        <f aca="false">Utility/(Size)</f>
        <v>147.440704930723</v>
      </c>
      <c r="AD17" s="4" t="n">
        <f aca="false">(EXP(alpha*(zeta-2*a*psi))*((EXP(alpha*a*psi)-EXP(alpha*b*psi))^2))/((EXP(alpha*a*psi)-EXP(alpha*(b*psi)))*(alpha^2)*(psi^2))</f>
        <v>6.85437068310963</v>
      </c>
      <c r="AE17" s="4" t="n">
        <f aca="false">(EXP(alpha*(zeta+(2*b-a)*psi))*(-1+EXP(alpha*(-1)*Size*psi))*(EXP(alpha*(a*psi))-EXP(alpha*(b*psi))))/(((EXP(alpha*a*psi)-EXP(alpha*(b*psi)))^2)*(alpha^2)*(psi^2))</f>
        <v>6.13641054715079</v>
      </c>
      <c r="AF17" s="5" t="n">
        <f aca="false">BCS+Taxjj*BCPTJJ+2*(Taxij*BCPTIJ)+BCPTII</f>
        <v>210.450655930219</v>
      </c>
      <c r="AG17" s="5" t="n">
        <f aca="false">Taxij*BUTIJ+BUTII</f>
        <v>1753.75546608516</v>
      </c>
      <c r="AH17" s="2" t="n">
        <f aca="false">TaxCost+TaxUtility</f>
        <v>1964.20612201538</v>
      </c>
      <c r="AI17" s="2" t="n">
        <f aca="false">TaxWelfare/Size</f>
        <v>392.841224403075</v>
      </c>
    </row>
    <row r="18" customFormat="false" ht="13" hidden="false" customHeight="false" outlineLevel="0" collapsed="false">
      <c r="A18" s="2" t="n">
        <v>0.652780900524423</v>
      </c>
      <c r="B18" s="2" t="n">
        <v>0.652780900524423</v>
      </c>
      <c r="C18" s="2" t="n">
        <v>10</v>
      </c>
      <c r="D18" s="2" t="n">
        <v>0</v>
      </c>
      <c r="E18" s="2" t="n">
        <f aca="false">Size-a</f>
        <v>10</v>
      </c>
      <c r="F18" s="4" t="n">
        <f aca="false">(EXP(alpha*(Tau+OldTau+zeta-2*a*psi))*((EXP(alpha*a*psi)-EXP(alpha*b*psi))^2))/((EXP(alpha*a*psi)-EXP(alpha*(2*OldTau+b*psi)))*(alpha^2)*(psi^2))</f>
        <v>2.26164346753039</v>
      </c>
      <c r="G18" s="4" t="n">
        <f aca="false">(EXP(alpha*(zeta+(2*b-a)*psi))*(-1+EXP(alpha*(-1)*Size*psi))*(EXP(alpha*(2*(Tau+OldTau)+a*psi))-EXP(alpha*(2*(Tau+OldTau)+b*psi))))/(((EXP(alpha*a*psi)-EXP(alpha*(2*OldTau+b*psi)))^2)*(alpha^2)*(psi^2))</f>
        <v>0.145570968121884</v>
      </c>
      <c r="H18" s="5" t="n">
        <f aca="false">-Beta/alpha</f>
        <v>180</v>
      </c>
      <c r="I18" s="5" t="n">
        <f aca="false">(-EXP(alpha*zeta)*Beta*(-1+EXP(alpha*Size*psi)-Size*alpha*psi))/((alpha^3)*(psi^2))</f>
        <v>1690.92462806846</v>
      </c>
      <c r="J18" s="5" t="n">
        <f aca="false">Beta*Theta</f>
        <v>14.4</v>
      </c>
      <c r="K18" s="5" t="n">
        <f aca="false">Beta*Theta</f>
        <v>14.4</v>
      </c>
      <c r="L18" s="5" t="n">
        <v>0</v>
      </c>
      <c r="M18" s="5" t="n">
        <f aca="false">Gamma*Size</f>
        <v>0</v>
      </c>
      <c r="N18" s="5" t="n">
        <f aca="false">Size*Beta*Phi</f>
        <v>32.4</v>
      </c>
      <c r="O18" s="5" t="n">
        <f aca="false">-(EXP(alpha*a*psi)+EXP(alpha*b*psi)*(-1+Size*psi*alpha))*(Beta*Phi)/((alpha*psi)*(EXP(alpha*a*psi)-EXP(alpha*b*psi)))</f>
        <v>12.2941718960407</v>
      </c>
      <c r="P18" s="5" t="n">
        <f aca="false">(EXP(alpha*(zeta-a*psi))*Beta*Phi*(-EXP(alpha*a*psi)*(-2+(-1)*Size*alpha*psi)+EXP(alpha*b*psi)*(-2+Size*alpha*psi)))/((alpha^3)*(psi^3))</f>
        <v>78.836375998096</v>
      </c>
      <c r="Q18" s="5" t="n">
        <f aca="false">Tau*Beta</f>
        <v>117.500562094396</v>
      </c>
      <c r="R18" s="5" t="n">
        <f aca="false">Tau*Beta</f>
        <v>117.500562094396</v>
      </c>
      <c r="S18" s="6" t="n">
        <f aca="false">Tau</f>
        <v>0.652780900524423</v>
      </c>
      <c r="T18" s="5" t="n">
        <f aca="false">Profit+Utility</f>
        <v>2455.22783253892</v>
      </c>
      <c r="U18" s="5" t="n">
        <f aca="false">(2*ij*BRIJ)+2*jj*BRJJ</f>
        <v>565.698098541773</v>
      </c>
      <c r="V18" s="5" t="n">
        <f aca="false">2*(ij*BCCIJ)+(2*jj*BCCJJ)+BCS+jj*BCPTJJ+2*(ij*BCPTIJ)+BCPTII+BCk</f>
        <v>208.490718226783</v>
      </c>
      <c r="W18" s="5" t="n">
        <f aca="false">ij*BUTIJ+BUTII</f>
        <v>2098.02045222393</v>
      </c>
      <c r="X18" s="5" t="n">
        <f aca="false">Revenue-Cost</f>
        <v>357.20738031499</v>
      </c>
      <c r="Y18" s="5" t="n">
        <f aca="false">Size</f>
        <v>10</v>
      </c>
      <c r="Z18" s="6" t="n">
        <f aca="false">Welfare/(Size)</f>
        <v>245.522783253892</v>
      </c>
      <c r="AA18" s="6" t="n">
        <f aca="false">Profit/(Size)</f>
        <v>35.720738031499</v>
      </c>
      <c r="AB18" s="6" t="n">
        <f aca="false">Utility/(Size)</f>
        <v>209.802045222393</v>
      </c>
      <c r="AD18" s="4" t="n">
        <f aca="false">(EXP(alpha*(zeta-2*a*psi))*((EXP(alpha*a*psi)-EXP(alpha*b*psi))^2))/((EXP(alpha*a*psi)-EXP(alpha*(b*psi)))*(alpha^2)*(psi^2))</f>
        <v>10.0921461338992</v>
      </c>
      <c r="AE18" s="4" t="n">
        <f aca="false">(EXP(alpha*(zeta+(2*b-a)*psi))*(-1+EXP(alpha*(-1)*Size*psi))*(EXP(alpha*(a*psi))-EXP(alpha*(b*psi))))/(((EXP(alpha*a*psi)-EXP(alpha*(b*psi)))^2)*(alpha^2)*(psi^2))</f>
        <v>2.89863509636122</v>
      </c>
      <c r="AF18" s="5" t="n">
        <f aca="false">BCS+Taxjj*BCPTJJ+2*(Taxij*BCPTIJ)+BCPTII</f>
        <v>420.901311860438</v>
      </c>
      <c r="AG18" s="5" t="n">
        <f aca="false">Taxij*BUTIJ+BUTII</f>
        <v>3507.51093217031</v>
      </c>
      <c r="AH18" s="2" t="n">
        <f aca="false">TaxCost+TaxUtility</f>
        <v>3928.41224403075</v>
      </c>
      <c r="AI18" s="2" t="n">
        <f aca="false">TaxWelfare/Size</f>
        <v>392.841224403075</v>
      </c>
    </row>
    <row r="19" customFormat="false" ht="13" hidden="false" customHeight="false" outlineLevel="0" collapsed="false">
      <c r="A19" s="2" t="n">
        <v>0.684749188925444</v>
      </c>
      <c r="B19" s="2" t="n">
        <v>0.684749188925444</v>
      </c>
      <c r="C19" s="2" t="n">
        <v>20</v>
      </c>
      <c r="D19" s="2" t="n">
        <v>0</v>
      </c>
      <c r="E19" s="2" t="n">
        <f aca="false">Size-a</f>
        <v>20</v>
      </c>
      <c r="F19" s="4" t="n">
        <f aca="false">(EXP(alpha*(Tau+OldTau+zeta-2*a*psi))*((EXP(alpha*a*psi)-EXP(alpha*b*psi))^2))/((EXP(alpha*a*psi)-EXP(alpha*(2*OldTau+b*psi)))*(alpha^2)*(psi^2))</f>
        <v>3.02025603643053</v>
      </c>
      <c r="G19" s="4" t="n">
        <f aca="false">(EXP(alpha*(zeta+(2*b-a)*psi))*(-1+EXP(alpha*(-1)*Size*psi))*(EXP(alpha*(2*(Tau+OldTau)+a*psi))-EXP(alpha*(2*(Tau+OldTau)+b*psi))))/(((EXP(alpha*a*psi)-EXP(alpha*(2*OldTau+b*psi)))^2)*(alpha^2)*(psi^2))</f>
        <v>0.0387192498004409</v>
      </c>
      <c r="H19" s="5" t="n">
        <f aca="false">-Beta/alpha</f>
        <v>180</v>
      </c>
      <c r="I19" s="5" t="n">
        <f aca="false">(-EXP(alpha*zeta)*Beta*(-1+EXP(alpha*Size*psi)-Size*alpha*psi))/((alpha^3)*(psi^2))</f>
        <v>4793.10036728108</v>
      </c>
      <c r="J19" s="5" t="n">
        <f aca="false">Beta*Theta</f>
        <v>14.4</v>
      </c>
      <c r="K19" s="5" t="n">
        <f aca="false">Beta*Theta</f>
        <v>14.4</v>
      </c>
      <c r="L19" s="5" t="n">
        <v>0</v>
      </c>
      <c r="M19" s="5" t="n">
        <f aca="false">Gamma*Size</f>
        <v>0</v>
      </c>
      <c r="N19" s="5" t="n">
        <f aca="false">Size*Beta*Phi</f>
        <v>64.8</v>
      </c>
      <c r="O19" s="5" t="n">
        <f aca="false">-(EXP(alpha*a*psi)+EXP(alpha*b*psi)*(-1+Size*psi*alpha))*(Beta*Phi)/((alpha*psi)*(EXP(alpha*a*psi)-EXP(alpha*b*psi)))</f>
        <v>18.2047588673666</v>
      </c>
      <c r="P19" s="5" t="n">
        <f aca="false">(EXP(alpha*(zeta-a*psi))*Beta*Phi*(-EXP(alpha*a*psi)*(-2+(-1)*Size*alpha*psi)+EXP(alpha*b*psi)*(-2+Size*alpha*psi)))/((alpha^3)*(psi^3))</f>
        <v>350.452349206022</v>
      </c>
      <c r="Q19" s="5" t="n">
        <f aca="false">Tau*Beta</f>
        <v>123.25485400658</v>
      </c>
      <c r="R19" s="5" t="n">
        <f aca="false">Tau*Beta</f>
        <v>123.25485400658</v>
      </c>
      <c r="S19" s="6" t="n">
        <f aca="false">Tau</f>
        <v>0.684749188925444</v>
      </c>
      <c r="T19" s="5" t="n">
        <f aca="false">Profit+Utility</f>
        <v>5539.78764790845</v>
      </c>
      <c r="U19" s="5" t="n">
        <f aca="false">(2*ij*BRIJ)+2*jj*BRJJ</f>
        <v>754.067104628268</v>
      </c>
      <c r="V19" s="5" t="n">
        <f aca="false">2*(ij*BCCIJ)+(2*jj*BCCJJ)+BCS+jj*BCPTJJ+2*(ij*BCPTIJ)+BCPTII+BCk</f>
        <v>551.025910558395</v>
      </c>
      <c r="W19" s="5" t="n">
        <f aca="false">ij*BUTIJ+BUTII</f>
        <v>5336.74645383858</v>
      </c>
      <c r="X19" s="5" t="n">
        <f aca="false">Revenue-Cost</f>
        <v>203.041194069873</v>
      </c>
      <c r="Y19" s="5" t="n">
        <f aca="false">Size</f>
        <v>20</v>
      </c>
      <c r="Z19" s="6" t="n">
        <f aca="false">Welfare/(Size)</f>
        <v>276.989382395422</v>
      </c>
      <c r="AA19" s="6" t="n">
        <f aca="false">Profit/(Size)</f>
        <v>10.1520597034936</v>
      </c>
      <c r="AB19" s="6" t="n">
        <f aca="false">Utility/(Size)</f>
        <v>266.837322691929</v>
      </c>
      <c r="AD19" s="4" t="n">
        <f aca="false">(EXP(alpha*(zeta-2*a*psi))*((EXP(alpha*a*psi)-EXP(alpha*b*psi))^2))/((EXP(alpha*a*psi)-EXP(alpha*(b*psi)))*(alpha^2)*(psi^2))</f>
        <v>12.3440083169975</v>
      </c>
      <c r="AE19" s="4" t="n">
        <f aca="false">(EXP(alpha*(zeta+(2*b-a)*psi))*(-1+EXP(alpha*(-1)*Size*psi))*(EXP(alpha*(a*psi))-EXP(alpha*(b*psi))))/(((EXP(alpha*a*psi)-EXP(alpha*(b*psi)))^2)*(alpha^2)*(psi^2))</f>
        <v>0.646772913262939</v>
      </c>
      <c r="AF19" s="5" t="n">
        <f aca="false">BCS+Taxjj*BCPTJJ+2*(Taxij*BCPTIJ)+BCPTII</f>
        <v>841.802623720875</v>
      </c>
      <c r="AG19" s="5" t="n">
        <f aca="false">Taxij*BUTIJ+BUTII</f>
        <v>7015.02186434063</v>
      </c>
      <c r="AH19" s="2" t="n">
        <f aca="false">TaxCost+TaxUtility</f>
        <v>7856.8244880615</v>
      </c>
      <c r="AI19" s="2" t="n">
        <f aca="false">TaxWelfare/Size</f>
        <v>392.841224403075</v>
      </c>
    </row>
    <row r="20" customFormat="false" ht="13" hidden="false" customHeight="false" outlineLevel="0" collapsed="false">
      <c r="A20" s="2" t="n">
        <v>0.700071638032619</v>
      </c>
      <c r="B20" s="2" t="n">
        <v>0.700071638032619</v>
      </c>
      <c r="C20" s="2" t="n">
        <v>50</v>
      </c>
      <c r="D20" s="2" t="n">
        <v>0</v>
      </c>
      <c r="E20" s="2" t="n">
        <f aca="false">Size-a</f>
        <v>50</v>
      </c>
      <c r="F20" s="4" t="n">
        <f aca="false">(EXP(alpha*(Tau+OldTau+zeta-2*a*psi))*((EXP(alpha*a*psi)-EXP(alpha*b*psi))^2))/((EXP(alpha*a*psi)-EXP(alpha*(2*OldTau+b*psi)))*(alpha^2)*(psi^2))</f>
        <v>3.19992252199764</v>
      </c>
      <c r="G20" s="4" t="n">
        <f aca="false">(EXP(alpha*(zeta+(2*b-a)*psi))*(-1+EXP(alpha*(-1)*Size*psi))*(EXP(alpha*(2*(Tau+OldTau)+a*psi))-EXP(alpha*(2*(Tau+OldTau)+b*psi))))/(((EXP(alpha*a*psi)-EXP(alpha*(2*OldTau+b*psi)))^2)*(alpha^2)*(psi^2))</f>
        <v>0.000436430987360352</v>
      </c>
      <c r="H20" s="5" t="n">
        <f aca="false">-Beta/alpha</f>
        <v>180</v>
      </c>
      <c r="I20" s="5" t="n">
        <f aca="false">(-EXP(alpha*zeta)*Beta*(-1+EXP(alpha*Size*psi)-Size*alpha*psi))/((alpha^3)*(psi^2))</f>
        <v>15200.5073390545</v>
      </c>
      <c r="J20" s="5" t="n">
        <f aca="false">Beta*Theta</f>
        <v>14.4</v>
      </c>
      <c r="K20" s="5" t="n">
        <f aca="false">Beta*Theta</f>
        <v>14.4</v>
      </c>
      <c r="L20" s="5" t="n">
        <v>0</v>
      </c>
      <c r="M20" s="5" t="n">
        <f aca="false">Gamma*Size</f>
        <v>0</v>
      </c>
      <c r="N20" s="5" t="n">
        <f aca="false">Size*Beta*Phi</f>
        <v>162</v>
      </c>
      <c r="O20" s="5" t="n">
        <f aca="false">-(EXP(alpha*a*psi)+EXP(alpha*b*psi)*(-1+Size*psi*alpha))*(Beta*Phi)/((alpha*psi)*(EXP(alpha*a*psi)-EXP(alpha*b*psi)))</f>
        <v>21.5103507484362</v>
      </c>
      <c r="P20" s="5" t="n">
        <f aca="false">(EXP(alpha*(zeta-a*psi))*Beta*Phi*(-EXP(alpha*a*psi)*(-2+(-1)*Size*alpha*psi)+EXP(alpha*b*psi)*(-2+Size*alpha*psi)))/((alpha^3)*(psi^3))</f>
        <v>1544.77917175571</v>
      </c>
      <c r="Q20" s="5" t="n">
        <f aca="false">Tau*Beta</f>
        <v>126.012894845871</v>
      </c>
      <c r="R20" s="5" t="n">
        <f aca="false">Tau*Beta</f>
        <v>126.012894845871</v>
      </c>
      <c r="S20" s="6" t="n">
        <f aca="false">Tau</f>
        <v>0.700071638032619</v>
      </c>
      <c r="T20" s="5" t="n">
        <f aca="false">Profit+Utility</f>
        <v>14808.3832623835</v>
      </c>
      <c r="U20" s="5" t="n">
        <f aca="false">(2*ij*BRIJ)+2*jj*BRJJ</f>
        <v>806.572992423085</v>
      </c>
      <c r="V20" s="5" t="n">
        <f aca="false">2*(ij*BCCIJ)+(2*jj*BCCJJ)+BCS+jj*BCPTJJ+2*(ij*BCPTIJ)+BCPTII+BCk</f>
        <v>1774.68312305361</v>
      </c>
      <c r="W20" s="5" t="n">
        <f aca="false">ij*BUTIJ+BUTII</f>
        <v>15776.4933930141</v>
      </c>
      <c r="X20" s="5" t="n">
        <f aca="false">Revenue-Cost</f>
        <v>-968.11013063053</v>
      </c>
      <c r="Y20" s="5" t="n">
        <f aca="false">Size</f>
        <v>50</v>
      </c>
      <c r="Z20" s="6" t="n">
        <f aca="false">Welfare/(Size)</f>
        <v>296.167665247671</v>
      </c>
      <c r="AA20" s="6" t="n">
        <f aca="false">Profit/(Size)</f>
        <v>-19.3622026126106</v>
      </c>
      <c r="AB20" s="6" t="n">
        <f aca="false">Utility/(Size)</f>
        <v>315.529867860281</v>
      </c>
      <c r="AD20" s="4" t="n">
        <f aca="false">(EXP(alpha*(zeta-2*a*psi))*((EXP(alpha*a*psi)-EXP(alpha*b*psi))^2))/((EXP(alpha*a*psi)-EXP(alpha*(b*psi)))*(alpha^2)*(psi^2))</f>
        <v>12.983596232206</v>
      </c>
      <c r="AE20" s="4" t="n">
        <f aca="false">(EXP(alpha*(zeta+(2*b-a)*psi))*(-1+EXP(alpha*(-1)*Size*psi))*(EXP(alpha*(a*psi))-EXP(alpha*(b*psi))))/(((EXP(alpha*a*psi)-EXP(alpha*(b*psi)))^2)*(alpha^2)*(psi^2))</f>
        <v>0.00718499805446688</v>
      </c>
      <c r="AF20" s="5" t="n">
        <f aca="false">BCS+Taxjj*BCPTJJ+2*(Taxij*BCPTIJ)+BCPTII</f>
        <v>2104.50655930219</v>
      </c>
      <c r="AG20" s="5" t="n">
        <f aca="false">Taxij*BUTIJ+BUTII</f>
        <v>17537.5546608516</v>
      </c>
      <c r="AH20" s="2" t="n">
        <f aca="false">TaxCost+TaxUtility</f>
        <v>19642.0612201538</v>
      </c>
      <c r="AI20" s="2" t="n">
        <f aca="false">TaxWelfare/Size</f>
        <v>392.841224403075</v>
      </c>
    </row>
    <row r="21" customFormat="false" ht="13" hidden="false" customHeight="false" outlineLevel="0" collapsed="false">
      <c r="A21" s="2" t="n">
        <v>0.700413164833922</v>
      </c>
      <c r="B21" s="2" t="n">
        <v>0.700413164833922</v>
      </c>
      <c r="C21" s="2" t="n">
        <v>100</v>
      </c>
      <c r="D21" s="2" t="n">
        <v>0</v>
      </c>
      <c r="E21" s="2" t="n">
        <f aca="false">Size-a</f>
        <v>100</v>
      </c>
      <c r="F21" s="4" t="n">
        <f aca="false">(EXP(alpha*(Tau+OldTau+zeta-2*a*psi))*((EXP(alpha*a*psi)-EXP(alpha*b*psi))^2))/((EXP(alpha*a*psi)-EXP(alpha*(2*OldTau+b*psi)))*(alpha^2)*(psi^2))</f>
        <v>3.20083945045704</v>
      </c>
      <c r="G21" s="4" t="n">
        <f aca="false">(EXP(alpha*(zeta+(2*b-a)*psi))*(-1+EXP(alpha*(-1)*Size*psi))*(EXP(alpha*(2*(Tau+OldTau)+a*psi))-EXP(alpha*(2*(Tau+OldTau)+b*psi))))/(((EXP(alpha*a*psi)-EXP(alpha*(2*OldTau+b*psi)))^2)*(alpha^2)*(psi^2))</f>
        <v>2.41254570790699E-007</v>
      </c>
      <c r="H21" s="5" t="n">
        <f aca="false">-Beta/alpha</f>
        <v>180</v>
      </c>
      <c r="I21" s="5" t="n">
        <f aca="false">(-EXP(alpha*zeta)*Beta*(-1+EXP(alpha*Size*psi)-Size*alpha*psi))/((alpha^3)*(psi^2))</f>
        <v>32736.7694155601</v>
      </c>
      <c r="J21" s="5" t="n">
        <f aca="false">Beta*Theta</f>
        <v>14.4</v>
      </c>
      <c r="K21" s="5" t="n">
        <f aca="false">Beta*Theta</f>
        <v>14.4</v>
      </c>
      <c r="L21" s="5" t="n">
        <v>0</v>
      </c>
      <c r="M21" s="5" t="n">
        <f aca="false">Gamma*Size</f>
        <v>0</v>
      </c>
      <c r="N21" s="5" t="n">
        <f aca="false">Size*Beta*Phi</f>
        <v>324</v>
      </c>
      <c r="O21" s="5" t="n">
        <f aca="false">-(EXP(alpha*a*psi)+EXP(alpha*b*psi)*(-1+Size*psi*alpha))*(Beta*Phi)/((alpha*psi)*(EXP(alpha*a*psi)-EXP(alpha*b*psi)))</f>
        <v>21.5999008876178</v>
      </c>
      <c r="P21" s="5" t="n">
        <f aca="false">(EXP(alpha*(zeta-a*psi))*Beta*Phi*(-EXP(alpha*a*psi)*(-2+(-1)*Size*alpha*psi)+EXP(alpha*b*psi)*(-2+Size*alpha*psi)))/((alpha^3)*(psi^3))</f>
        <v>3647.81282867692</v>
      </c>
      <c r="Q21" s="5" t="n">
        <f aca="false">Tau*Beta</f>
        <v>126.074369670106</v>
      </c>
      <c r="R21" s="5" t="n">
        <f aca="false">Tau*Beta</f>
        <v>126.074369670106</v>
      </c>
      <c r="S21" s="6" t="n">
        <f aca="false">Tau</f>
        <v>0.700413164833922</v>
      </c>
      <c r="T21" s="5" t="n">
        <f aca="false">Profit+Utility</f>
        <v>30241.7354899987</v>
      </c>
      <c r="U21" s="5" t="n">
        <f aca="false">(2*ij*BRIJ)+2*jj*BRJJ</f>
        <v>807.087693095196</v>
      </c>
      <c r="V21" s="5" t="n">
        <f aca="false">2*(ij*BCCIJ)+(2*jj*BCCJJ)+BCS+jj*BCPTJJ+2*(ij*BCPTIJ)+BCPTII+BCk</f>
        <v>3878.2727197388</v>
      </c>
      <c r="W21" s="5" t="n">
        <f aca="false">ij*BUTIJ+BUTII</f>
        <v>33312.9205166424</v>
      </c>
      <c r="X21" s="5" t="n">
        <f aca="false">Revenue-Cost</f>
        <v>-3071.1850266436</v>
      </c>
      <c r="Y21" s="5" t="n">
        <f aca="false">Size</f>
        <v>100</v>
      </c>
      <c r="Z21" s="6" t="n">
        <f aca="false">Welfare/(Size)</f>
        <v>302.417354899987</v>
      </c>
      <c r="AA21" s="6" t="n">
        <f aca="false">Profit/(Size)</f>
        <v>-30.711850266436</v>
      </c>
      <c r="AB21" s="6" t="n">
        <f aca="false">Utility/(Size)</f>
        <v>333.129205166424</v>
      </c>
      <c r="AD21" s="4" t="n">
        <f aca="false">(EXP(alpha*(zeta-2*a*psi))*((EXP(alpha*a*psi)-EXP(alpha*b*psi))^2))/((EXP(alpha*a*psi)-EXP(alpha*(b*psi)))*(alpha^2)*(psi^2))</f>
        <v>12.9907772563503</v>
      </c>
      <c r="AE21" s="4" t="n">
        <f aca="false">(EXP(alpha*(zeta+(2*b-a)*psi))*(-1+EXP(alpha*(-1)*Size*psi))*(EXP(alpha*(a*psi))-EXP(alpha*(b*psi))))/(((EXP(alpha*a*psi)-EXP(alpha*(b*psi)))^2)*(alpha^2)*(psi^2))</f>
        <v>3.97391012346822E-006</v>
      </c>
      <c r="AF21" s="5" t="n">
        <f aca="false">BCS+Taxjj*BCPTJJ+2*(Taxij*BCPTIJ)+BCPTII</f>
        <v>4209.01311860438</v>
      </c>
      <c r="AG21" s="5" t="n">
        <f aca="false">Taxij*BUTIJ+BUTII</f>
        <v>35075.1093217031</v>
      </c>
      <c r="AH21" s="2" t="n">
        <f aca="false">TaxCost+TaxUtility</f>
        <v>39284.1224403075</v>
      </c>
      <c r="AI21" s="2" t="n">
        <f aca="false">TaxWelfare/Size</f>
        <v>392.841224403075</v>
      </c>
    </row>
    <row r="22" customFormat="false" ht="13" hidden="false" customHeight="false" outlineLevel="0" collapsed="false">
      <c r="A22" s="2" t="n">
        <v>0.70041351789653</v>
      </c>
      <c r="B22" s="2" t="n">
        <v>0.70041351789653</v>
      </c>
      <c r="C22" s="2" t="n">
        <v>200</v>
      </c>
      <c r="D22" s="2" t="n">
        <v>0</v>
      </c>
      <c r="E22" s="2" t="n">
        <f aca="false">Size-a</f>
        <v>200</v>
      </c>
      <c r="F22" s="4" t="n">
        <f aca="false">(EXP(alpha*(Tau+OldTau+zeta-2*a*psi))*((EXP(alpha*a*psi)-EXP(alpha*b*psi))^2))/((EXP(alpha*a*psi)-EXP(alpha*(2*OldTau+b*psi)))*(alpha^2)*(psi^2))</f>
        <v>3.20083890729728</v>
      </c>
      <c r="G22" s="4" t="n">
        <f aca="false">(EXP(alpha*(zeta+(2*b-a)*psi))*(-1+EXP(alpha*(-1)*Size*psi))*(EXP(alpha*(2*(Tau+OldTau)+a*psi))-EXP(alpha*(2*(Tau+OldTau)+b*psi))))/(((EXP(alpha*a*psi)-EXP(alpha*(2*OldTau+b*psi)))^2)*(alpha^2)*(psi^2))</f>
        <v>7.38002628384127E-014</v>
      </c>
      <c r="H22" s="5" t="n">
        <f aca="false">-Beta/alpha</f>
        <v>180</v>
      </c>
      <c r="I22" s="5" t="n">
        <f aca="false">(-EXP(alpha*zeta)*Beta*(-1+EXP(alpha*Size*psi)-Size*alpha*psi))/((alpha^3)*(psi^2))</f>
        <v>67811.8780219596</v>
      </c>
      <c r="J22" s="5" t="n">
        <f aca="false">Beta*Theta</f>
        <v>14.4</v>
      </c>
      <c r="K22" s="5" t="n">
        <f aca="false">Beta*Theta</f>
        <v>14.4</v>
      </c>
      <c r="L22" s="5" t="n">
        <v>0</v>
      </c>
      <c r="M22" s="5" t="n">
        <f aca="false">Gamma*Size</f>
        <v>0</v>
      </c>
      <c r="N22" s="5" t="n">
        <f aca="false">Size*Beta*Phi</f>
        <v>648</v>
      </c>
      <c r="O22" s="5" t="n">
        <f aca="false">-(EXP(alpha*a*psi)+EXP(alpha*b*psi)*(-1+Size*psi*alpha))*(Beta*Phi)/((alpha*psi)*(EXP(alpha*a*psi)-EXP(alpha*b*psi)))</f>
        <v>21.5999999999394</v>
      </c>
      <c r="P22" s="5" t="n">
        <f aca="false">(EXP(alpha*(zeta-a*psi))*Beta*Phi*(-EXP(alpha*a*psi)*(-2+(-1)*Size*alpha*psi)+EXP(alpha*b*psi)*(-2+Size*alpha*psi)))/((alpha^3)*(psi^3))</f>
        <v>7856.82448806234</v>
      </c>
      <c r="Q22" s="5" t="n">
        <f aca="false">Tau*Beta</f>
        <v>126.074433221375</v>
      </c>
      <c r="R22" s="5" t="n">
        <f aca="false">Tau*Beta</f>
        <v>126.074433221375</v>
      </c>
      <c r="S22" s="6" t="n">
        <f aca="false">Tau</f>
        <v>0.70041351789653</v>
      </c>
      <c r="T22" s="5" t="n">
        <f aca="false">Profit+Utility</f>
        <v>61107.8320380266</v>
      </c>
      <c r="U22" s="5" t="n">
        <f aca="false">(2*ij*BRIJ)+2*jj*BRJJ</f>
        <v>807.087902140882</v>
      </c>
      <c r="V22" s="5" t="n">
        <f aca="false">2*(ij*BCCIJ)+(2*jj*BCCJJ)+BCS+jj*BCPTJJ+2*(ij*BCPTIJ)+BCPTII+BCk</f>
        <v>8087.28488938741</v>
      </c>
      <c r="W22" s="5" t="n">
        <f aca="false">ij*BUTIJ+BUTII</f>
        <v>68388.0290252731</v>
      </c>
      <c r="X22" s="5" t="n">
        <f aca="false">Revenue-Cost</f>
        <v>-7280.19698724653</v>
      </c>
      <c r="Y22" s="5" t="n">
        <f aca="false">Size</f>
        <v>200</v>
      </c>
      <c r="Z22" s="6" t="n">
        <f aca="false">Welfare/(Size)</f>
        <v>305.539160190133</v>
      </c>
      <c r="AA22" s="6" t="n">
        <f aca="false">Profit/(Size)</f>
        <v>-36.4009849362326</v>
      </c>
      <c r="AB22" s="6" t="n">
        <f aca="false">Utility/(Size)</f>
        <v>341.940145126366</v>
      </c>
      <c r="AD22" s="4" t="n">
        <f aca="false">(EXP(alpha*(zeta-2*a*psi))*((EXP(alpha*a*psi)-EXP(alpha*b*psi))^2))/((EXP(alpha*a*psi)-EXP(alpha*(b*psi)))*(alpha^2)*(psi^2))</f>
        <v>12.9907812302592</v>
      </c>
      <c r="AE22" s="4" t="n">
        <f aca="false">(EXP(alpha*(zeta+(2*b-a)*psi))*(-1+EXP(alpha*(-1)*Size*psi))*(EXP(alpha*(a*psi))-EXP(alpha*(b*psi))))/(((EXP(alpha*a*psi)-EXP(alpha*(b*psi)))^2)*(alpha^2)*(psi^2))</f>
        <v>1.21562832823463E-012</v>
      </c>
      <c r="AF22" s="5" t="n">
        <f aca="false">BCS+Taxjj*BCPTJJ+2*(Taxij*BCPTIJ)+BCPTII</f>
        <v>8418.02623720875</v>
      </c>
      <c r="AG22" s="5" t="n">
        <f aca="false">Taxij*BUTIJ+BUTII</f>
        <v>70150.2186434063</v>
      </c>
      <c r="AH22" s="2" t="n">
        <f aca="false">TaxCost+TaxUtility</f>
        <v>78568.244880615</v>
      </c>
      <c r="AI22" s="2" t="n">
        <f aca="false">TaxWelfare/Size</f>
        <v>392.841224403075</v>
      </c>
    </row>
    <row r="23" customFormat="false" ht="13" hidden="false" customHeight="false" outlineLevel="0" collapsed="false">
      <c r="A23" s="2" t="n">
        <v>0.700413517896604</v>
      </c>
      <c r="B23" s="2" t="n">
        <v>0.700413517896604</v>
      </c>
      <c r="C23" s="2" t="n">
        <v>500</v>
      </c>
      <c r="D23" s="2" t="n">
        <v>0</v>
      </c>
      <c r="E23" s="2" t="n">
        <f aca="false">Size-a</f>
        <v>500</v>
      </c>
      <c r="F23" s="4" t="n">
        <f aca="false">(EXP(alpha*(Tau+OldTau+zeta-2*a*psi))*((EXP(alpha*a*psi)-EXP(alpha*b*psi))^2))/((EXP(alpha*a*psi)-EXP(alpha*(2*OldTau+b*psi)))*(alpha^2)*(psi^2))</f>
        <v>3.20083890729734</v>
      </c>
      <c r="G23" s="4" t="n">
        <f aca="false">(EXP(alpha*(zeta+(2*b-a)*psi))*(-1+EXP(alpha*(-1)*Size*psi))*(EXP(alpha*(2*(Tau+OldTau)+a*psi))-EXP(alpha*(2*(Tau+OldTau)+b*psi))))/(((EXP(alpha*a*psi)-EXP(alpha*(2*OldTau+b*psi)))^2)*(alpha^2)*(psi^2))</f>
        <v>2.11254623624354E-033</v>
      </c>
      <c r="H23" s="5" t="n">
        <f aca="false">-Beta/alpha</f>
        <v>180</v>
      </c>
      <c r="I23" s="5" t="n">
        <f aca="false">(-EXP(alpha*zeta)*Beta*(-1+EXP(alpha*Size*psi)-Size*alpha*psi))/((alpha^3)*(psi^2))</f>
        <v>173037.205987069</v>
      </c>
      <c r="J23" s="5" t="n">
        <f aca="false">Beta*Theta</f>
        <v>14.4</v>
      </c>
      <c r="K23" s="5" t="n">
        <f aca="false">Beta*Theta</f>
        <v>14.4</v>
      </c>
      <c r="L23" s="5" t="n">
        <v>0</v>
      </c>
      <c r="M23" s="5" t="n">
        <f aca="false">Gamma*Size</f>
        <v>0</v>
      </c>
      <c r="N23" s="5" t="n">
        <f aca="false">Size*Beta*Phi</f>
        <v>1620</v>
      </c>
      <c r="O23" s="5" t="n">
        <f aca="false">-(EXP(alpha*a*psi)+EXP(alpha*b*psi)*(-1+Size*psi*alpha))*(Beta*Phi)/((alpha*psi)*(EXP(alpha*a*psi)-EXP(alpha*b*psi)))</f>
        <v>21.6</v>
      </c>
      <c r="P23" s="5" t="n">
        <f aca="false">(EXP(alpha*(zeta-a*psi))*Beta*Phi*(-EXP(alpha*a*psi)*(-2+(-1)*Size*alpha*psi)+EXP(alpha*b*psi)*(-2+Size*alpha*psi)))/((alpha^3)*(psi^3))</f>
        <v>20483.8638438746</v>
      </c>
      <c r="Q23" s="5" t="n">
        <f aca="false">Tau*Beta</f>
        <v>126.074433221389</v>
      </c>
      <c r="R23" s="5" t="n">
        <f aca="false">Tau*Beta</f>
        <v>126.074433221389</v>
      </c>
      <c r="S23" s="6" t="n">
        <f aca="false">Tau</f>
        <v>0.700413517896604</v>
      </c>
      <c r="T23" s="5" t="n">
        <f aca="false">Profit+Utility</f>
        <v>153706.120647323</v>
      </c>
      <c r="U23" s="5" t="n">
        <f aca="false">(2*ij*BRIJ)+2*jj*BRJJ</f>
        <v>807.087902140961</v>
      </c>
      <c r="V23" s="5" t="n">
        <f aca="false">2*(ij*BCCIJ)+(2*jj*BCCJJ)+BCS+jj*BCPTJJ+2*(ij*BCPTIJ)+BCPTII+BCk</f>
        <v>20714.3242452</v>
      </c>
      <c r="W23" s="5" t="n">
        <f aca="false">ij*BUTIJ+BUTII</f>
        <v>173613.356990382</v>
      </c>
      <c r="X23" s="5" t="n">
        <f aca="false">Revenue-Cost</f>
        <v>-19907.2363430591</v>
      </c>
      <c r="Y23" s="5" t="n">
        <f aca="false">Size</f>
        <v>500</v>
      </c>
      <c r="Z23" s="6" t="n">
        <f aca="false">Welfare/(Size)</f>
        <v>307.412241294646</v>
      </c>
      <c r="AA23" s="6" t="n">
        <f aca="false">Profit/(Size)</f>
        <v>-39.8144726861182</v>
      </c>
      <c r="AB23" s="6" t="n">
        <f aca="false">Utility/(Size)</f>
        <v>347.226713980765</v>
      </c>
      <c r="AD23" s="4" t="n">
        <f aca="false">(EXP(alpha*(zeta-2*a*psi))*((EXP(alpha*a*psi)-EXP(alpha*b*psi))^2))/((EXP(alpha*a*psi)-EXP(alpha*(b*psi)))*(alpha^2)*(psi^2))</f>
        <v>12.9907812302604</v>
      </c>
      <c r="AE23" s="4" t="n">
        <f aca="false">(EXP(alpha*(zeta+(2*b-a)*psi))*(-1+EXP(alpha*(-1)*Size*psi))*(EXP(alpha*(a*psi))-EXP(alpha*(b*psi))))/(((EXP(alpha*a*psi)-EXP(alpha*(b*psi)))^2)*(alpha^2)*(psi^2))</f>
        <v>3.47975867661385E-032</v>
      </c>
      <c r="AF23" s="5" t="n">
        <f aca="false">BCS+Taxjj*BCPTJJ+2*(Taxij*BCPTIJ)+BCPTII</f>
        <v>21045.0655930219</v>
      </c>
      <c r="AG23" s="5" t="n">
        <f aca="false">Taxij*BUTIJ+BUTII</f>
        <v>175375.546608516</v>
      </c>
      <c r="AH23" s="2" t="n">
        <f aca="false">TaxCost+TaxUtility</f>
        <v>196420.612201538</v>
      </c>
      <c r="AI23" s="2" t="n">
        <f aca="false">TaxWelfare/Size</f>
        <v>392.841224403075</v>
      </c>
    </row>
    <row r="24" customFormat="false" ht="13" hidden="false" customHeight="false" outlineLevel="0" collapsed="false">
      <c r="A24" s="2" t="n">
        <v>0.700413517896812</v>
      </c>
      <c r="B24" s="2" t="n">
        <v>0.700413517896812</v>
      </c>
      <c r="C24" s="2" t="n">
        <v>1000</v>
      </c>
      <c r="D24" s="2" t="n">
        <v>0</v>
      </c>
      <c r="E24" s="2" t="n">
        <f aca="false">Size-a</f>
        <v>1000</v>
      </c>
      <c r="F24" s="4" t="n">
        <f aca="false">(EXP(alpha*(Tau+OldTau+zeta-2*a*psi))*((EXP(alpha*a*psi)-EXP(alpha*b*psi))^2))/((EXP(alpha*a*psi)-EXP(alpha*(2*OldTau+b*psi)))*(alpha^2)*(psi^2))</f>
        <v>3.200838907296</v>
      </c>
      <c r="G24" s="4" t="n">
        <f aca="false">(EXP(alpha*(zeta+(2*b-a)*psi))*(-1+EXP(alpha*(-1)*Size*psi))*(EXP(alpha*(2*(Tau+OldTau)+a*psi))-EXP(alpha*(2*(Tau+OldTau)+b*psi))))/(((EXP(alpha*a*psi)-EXP(alpha*(2*OldTau+b*psi)))^2)*(alpha^2)*(psi^2))</f>
        <v>5.6587444319256E-066</v>
      </c>
      <c r="H24" s="5" t="n">
        <f aca="false">-Beta/alpha</f>
        <v>180</v>
      </c>
      <c r="I24" s="5" t="n">
        <f aca="false">(-EXP(alpha*zeta)*Beta*(-1+EXP(alpha*Size*psi)-Size*alpha*psi))/((alpha^3)*(psi^2))</f>
        <v>348412.752595584</v>
      </c>
      <c r="J24" s="5" t="n">
        <f aca="false">Beta*Theta</f>
        <v>14.4</v>
      </c>
      <c r="K24" s="5" t="n">
        <f aca="false">Beta*Theta</f>
        <v>14.4</v>
      </c>
      <c r="L24" s="5" t="n">
        <v>0</v>
      </c>
      <c r="M24" s="5" t="n">
        <f aca="false">Gamma*Size</f>
        <v>0</v>
      </c>
      <c r="N24" s="5" t="n">
        <f aca="false">Size*Beta*Phi</f>
        <v>3240</v>
      </c>
      <c r="O24" s="5" t="n">
        <f aca="false">-(EXP(alpha*a*psi)+EXP(alpha*b*psi)*(-1+Size*psi*alpha))*(Beta*Phi)/((alpha*psi)*(EXP(alpha*a*psi)-EXP(alpha*b*psi)))</f>
        <v>21.6</v>
      </c>
      <c r="P24" s="5" t="n">
        <f aca="false">(EXP(alpha*(zeta-a*psi))*Beta*Phi*(-EXP(alpha*a*psi)*(-2+(-1)*Size*alpha*psi)+EXP(alpha*b*psi)*(-2+Size*alpha*psi)))/((alpha^3)*(psi^3))</f>
        <v>41528.9294368965</v>
      </c>
      <c r="Q24" s="5" t="n">
        <f aca="false">Tau*Beta</f>
        <v>126.074433221426</v>
      </c>
      <c r="R24" s="5" t="n">
        <f aca="false">Tau*Beta</f>
        <v>126.074433221426</v>
      </c>
      <c r="S24" s="6" t="n">
        <f aca="false">Tau</f>
        <v>0.700413517896812</v>
      </c>
      <c r="T24" s="5" t="n">
        <f aca="false">Profit+Utility</f>
        <v>308036.601662817</v>
      </c>
      <c r="U24" s="5" t="n">
        <f aca="false">(2*ij*BRIJ)+2*jj*BRJJ</f>
        <v>807.087902140865</v>
      </c>
      <c r="V24" s="5" t="n">
        <f aca="false">2*(ij*BCCIJ)+(2*jj*BCCJJ)+BCS+jj*BCPTJJ+2*(ij*BCPTIJ)+BCPTII+BCk</f>
        <v>41759.3898382218</v>
      </c>
      <c r="W24" s="5" t="n">
        <f aca="false">ij*BUTIJ+BUTII</f>
        <v>348988.903598898</v>
      </c>
      <c r="X24" s="5" t="n">
        <f aca="false">Revenue-Cost</f>
        <v>-40952.301936081</v>
      </c>
      <c r="Y24" s="5" t="n">
        <f aca="false">Size</f>
        <v>1000</v>
      </c>
      <c r="Z24" s="6" t="n">
        <f aca="false">Welfare/(Size)</f>
        <v>308.036601662817</v>
      </c>
      <c r="AA24" s="6" t="n">
        <f aca="false">Profit/(Size)</f>
        <v>-40.952301936081</v>
      </c>
      <c r="AB24" s="6" t="n">
        <f aca="false">Utility/(Size)</f>
        <v>348.988903598898</v>
      </c>
      <c r="AD24" s="4" t="n">
        <f aca="false">(EXP(alpha*(zeta-2*a*psi))*((EXP(alpha*a*psi)-EXP(alpha*b*psi))^2))/((EXP(alpha*a*psi)-EXP(alpha*(b*psi)))*(alpha^2)*(psi^2))</f>
        <v>12.9907812302604</v>
      </c>
      <c r="AE24" s="4" t="n">
        <f aca="false">(EXP(alpha*(zeta+(2*b-a)*psi))*(-1+EXP(alpha*(-1)*Size*psi))*(EXP(alpha*(a*psi))-EXP(alpha*(b*psi))))/(((EXP(alpha*a*psi)-EXP(alpha*(b*psi)))^2)*(alpha^2)*(psi^2))</f>
        <v>9.32101020934996E-065</v>
      </c>
      <c r="AF24" s="5" t="n">
        <f aca="false">BCS+Taxjj*BCPTJJ+2*(Taxij*BCPTIJ)+BCPTII</f>
        <v>42090.1311860438</v>
      </c>
      <c r="AG24" s="5" t="n">
        <f aca="false">Taxij*BUTIJ+BUTII</f>
        <v>350751.093217031</v>
      </c>
      <c r="AH24" s="2" t="n">
        <f aca="false">TaxCost+TaxUtility</f>
        <v>392841.224403075</v>
      </c>
      <c r="AI24" s="2" t="n">
        <f aca="false">TaxWelfare/Size</f>
        <v>392.841224403075</v>
      </c>
    </row>
    <row r="25" customFormat="false" ht="13" hidden="false" customHeight="false" outlineLevel="0" collapsed="false">
      <c r="F25" s="4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  <c r="T25" s="5"/>
      <c r="U25" s="5"/>
      <c r="V25" s="5"/>
      <c r="W25" s="5"/>
      <c r="X25" s="5"/>
      <c r="Y25" s="5"/>
      <c r="Z25" s="6"/>
      <c r="AA25" s="6"/>
      <c r="AB25" s="6"/>
      <c r="AD25" s="4"/>
      <c r="AE25" s="4"/>
      <c r="AF25" s="5"/>
      <c r="AG25" s="5"/>
    </row>
    <row r="26" customFormat="false" ht="13" hidden="false" customHeight="false" outlineLevel="0" collapsed="false">
      <c r="A26" s="8" t="s">
        <v>153</v>
      </c>
    </row>
    <row r="27" customFormat="false" ht="13" hidden="false" customHeight="false" outlineLevel="0" collapsed="false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3" t="s">
        <v>18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27</v>
      </c>
      <c r="P27" s="2" t="s">
        <v>28</v>
      </c>
      <c r="Q27" s="2" t="s">
        <v>29</v>
      </c>
      <c r="R27" s="2" t="s">
        <v>30</v>
      </c>
      <c r="S27" s="2" t="s">
        <v>31</v>
      </c>
      <c r="T27" s="2" t="s">
        <v>32</v>
      </c>
      <c r="U27" s="2" t="s">
        <v>33</v>
      </c>
      <c r="V27" s="2" t="s">
        <v>34</v>
      </c>
      <c r="W27" s="2" t="s">
        <v>35</v>
      </c>
      <c r="X27" s="2" t="s">
        <v>36</v>
      </c>
      <c r="Y27" s="2" t="s">
        <v>37</v>
      </c>
      <c r="Z27" s="2" t="s">
        <v>38</v>
      </c>
      <c r="AA27" s="2" t="s">
        <v>39</v>
      </c>
      <c r="AB27" s="2" t="s">
        <v>40</v>
      </c>
      <c r="AF27" s="2" t="s">
        <v>148</v>
      </c>
      <c r="AG27" s="2" t="s">
        <v>149</v>
      </c>
      <c r="AH27" s="2" t="s">
        <v>150</v>
      </c>
      <c r="AI27" s="2" t="s">
        <v>151</v>
      </c>
    </row>
    <row r="28" customFormat="false" ht="13" hidden="false" customHeight="false" outlineLevel="0" collapsed="false">
      <c r="A28" s="2" t="n">
        <v>0.508970671803567</v>
      </c>
      <c r="B28" s="2" t="n">
        <v>0.508970671803567</v>
      </c>
      <c r="C28" s="2" t="n">
        <v>1</v>
      </c>
      <c r="D28" s="2" t="n">
        <v>0</v>
      </c>
      <c r="E28" s="2" t="n">
        <f aca="false">Size-a</f>
        <v>1</v>
      </c>
      <c r="F28" s="4" t="n">
        <f aca="false">(EXP(alpha*(Tau+OldTau+zeta-2*a*psi))*((EXP(alpha*a*psi)-EXP(alpha*b*psi))^2))/((EXP(alpha*a*psi)-EXP(alpha*(2*OldTau+b*psi)))*(alpha^2)*(psi^2))</f>
        <v>0.132186272279365</v>
      </c>
      <c r="G28" s="4" t="n">
        <f aca="false">(EXP(alpha*(zeta+(2*b-a)*psi))*(-1+EXP(alpha*(-1)*Size*psi))*(EXP(alpha*(2*(Tau+OldTau)+a*psi))-EXP(alpha*(2*(Tau+OldTau)+b*psi))))/(((EXP(alpha*a*psi)-EXP(alpha*(2*OldTau+b*psi)))^2)*(alpha^2)*(psi^2))</f>
        <v>0.0596679028674888</v>
      </c>
      <c r="H28" s="5" t="n">
        <f aca="false">-Beta/alpha</f>
        <v>180</v>
      </c>
      <c r="I28" s="5" t="n">
        <f aca="false">(-EXP(alpha*zeta)*Beta*(-1+EXP(alpha*Size*psi)-Size*alpha*psi))/((alpha^3)*(psi^2))</f>
        <v>25.0388962482082</v>
      </c>
      <c r="J28" s="5" t="n">
        <v>0</v>
      </c>
      <c r="K28" s="5" t="n">
        <v>0</v>
      </c>
      <c r="L28" s="5" t="n">
        <f aca="false">kappa</f>
        <v>90</v>
      </c>
      <c r="M28" s="5" t="n">
        <f aca="false">Gamma*Size</f>
        <v>0</v>
      </c>
      <c r="N28" s="5" t="n">
        <f aca="false">Size*Beta*Phi</f>
        <v>3.24</v>
      </c>
      <c r="O28" s="5" t="n">
        <f aca="false">-(EXP(alpha*a*psi)+EXP(alpha*b*psi)*(-1+Size*psi*alpha))*(Beta*Phi)/((alpha*psi)*(EXP(alpha*a*psi)-EXP(alpha*b*psi)))</f>
        <v>1.57951517936842</v>
      </c>
      <c r="P28" s="5" t="n">
        <f aca="false">(EXP(alpha*(zeta-a*psi))*Beta*Phi*(-EXP(alpha*a*psi)*(-2+(-1)*Size*alpha*psi)+EXP(alpha*b*psi)*(-2+Size*alpha*psi)))/((alpha^3)*(psi^3))</f>
        <v>0.146515554131081</v>
      </c>
      <c r="Q28" s="5" t="n">
        <f aca="false">Tau*Beta</f>
        <v>91.614720924642</v>
      </c>
      <c r="R28" s="5" t="n">
        <f aca="false">Tau*Beta</f>
        <v>91.614720924642</v>
      </c>
      <c r="S28" s="6" t="n">
        <f aca="false">Tau</f>
        <v>0.508970671803567</v>
      </c>
      <c r="T28" s="5" t="n">
        <f aca="false">Profit+Utility</f>
        <v>-6.77166131945395</v>
      </c>
      <c r="U28" s="5" t="n">
        <f aca="false">(2*ij*BRIJ)+2*jj*BRJJ</f>
        <v>35.1533334286128</v>
      </c>
      <c r="V28" s="5" t="n">
        <f aca="false">2*(ij*BCCIJ)+(2*jj*BCCJJ)+BCS+jj*BCPTJJ+2*(ij*BCPTIJ)+BCPTII+BCk</f>
        <v>90.7574200065605</v>
      </c>
      <c r="W28" s="5" t="n">
        <f aca="false">ij*BUTIJ+BUTII</f>
        <v>48.8324252584938</v>
      </c>
      <c r="X28" s="5" t="n">
        <f aca="false">Revenue-Cost</f>
        <v>-55.6040865779478</v>
      </c>
      <c r="Y28" s="5" t="n">
        <f aca="false">Size</f>
        <v>1</v>
      </c>
      <c r="Z28" s="6" t="n">
        <f aca="false">Welfare/(Size)</f>
        <v>-6.77166131945395</v>
      </c>
      <c r="AA28" s="6" t="n">
        <f aca="false">Profit/(Size)</f>
        <v>-55.6040865779478</v>
      </c>
      <c r="AB28" s="6" t="n">
        <f aca="false">Utility/(Size)</f>
        <v>48.8324252584938</v>
      </c>
      <c r="AD28" s="4" t="n">
        <f aca="false">(EXP(alpha*(zeta-2*a*psi))*((EXP(alpha*a*psi)-EXP(alpha*b*psi))^2))/((EXP(alpha*a*psi)-EXP(alpha*(b*psi)))*(alpha^2)*(psi^2))</f>
        <v>1.80951220538235</v>
      </c>
      <c r="AE28" s="4" t="n">
        <f aca="false">(EXP(alpha*(zeta+(2*b-a)*psi))*(-1+EXP(alpha*(-1)*Size*psi))*(EXP(alpha*(a*psi))-EXP(alpha*(b*psi))))/(((EXP(alpha*a*psi)-EXP(alpha*(b*psi)))^2)*(alpha^2)*(psi^2))</f>
        <v>11.1812690248781</v>
      </c>
      <c r="AF28" s="5" t="n">
        <f aca="false">BCS+Taxjj*BCPTJJ+2*(Taxij*BCPTIJ)+BCPTII</f>
        <v>42.0901311860437</v>
      </c>
      <c r="AG28" s="5" t="n">
        <f aca="false">Taxij*BUTIJ+BUTII</f>
        <v>350.751093217031</v>
      </c>
      <c r="AH28" s="2" t="n">
        <f aca="false">TaxCost+TaxUtility</f>
        <v>392.841224403075</v>
      </c>
      <c r="AI28" s="2" t="n">
        <f aca="false">TaxWelfare/Size</f>
        <v>392.841224403075</v>
      </c>
    </row>
    <row r="29" customFormat="false" ht="13" hidden="false" customHeight="false" outlineLevel="0" collapsed="false">
      <c r="A29" s="2" t="n">
        <v>0.517777803622307</v>
      </c>
      <c r="B29" s="2" t="n">
        <v>0.517777803622307</v>
      </c>
      <c r="C29" s="2" t="n">
        <v>2</v>
      </c>
      <c r="D29" s="2" t="n">
        <v>0</v>
      </c>
      <c r="E29" s="2" t="n">
        <f aca="false">Size-a</f>
        <v>2</v>
      </c>
      <c r="F29" s="4" t="n">
        <f aca="false">(EXP(alpha*(Tau+OldTau+zeta-2*a*psi))*((EXP(alpha*a*psi)-EXP(alpha*b*psi))^2))/((EXP(alpha*a*psi)-EXP(alpha*(2*OldTau+b*psi)))*(alpha^2)*(psi^2))</f>
        <v>0.420385475744848</v>
      </c>
      <c r="G29" s="4" t="n">
        <f aca="false">(EXP(alpha*(zeta+(2*b-a)*psi))*(-1+EXP(alpha*(-1)*Size*psi))*(EXP(alpha*(2*(Tau+OldTau)+a*psi))-EXP(alpha*(2*(Tau+OldTau)+b*psi))))/(((EXP(alpha*a*psi)-EXP(alpha*(2*OldTau+b*psi)))^2)*(alpha^2)*(psi^2))</f>
        <v>0.150024731380383</v>
      </c>
      <c r="H29" s="5" t="n">
        <f aca="false">-Beta/alpha</f>
        <v>180</v>
      </c>
      <c r="I29" s="5" t="n">
        <f aca="false">(-EXP(alpha*zeta)*Beta*(-1+EXP(alpha*Size*psi)-Size*alpha*psi))/((alpha^3)*(psi^2))</f>
        <v>95.4469035152439</v>
      </c>
      <c r="J29" s="5" t="n">
        <v>0</v>
      </c>
      <c r="K29" s="5" t="n">
        <v>0</v>
      </c>
      <c r="L29" s="5" t="n">
        <f aca="false">kappa</f>
        <v>90</v>
      </c>
      <c r="M29" s="5" t="n">
        <f aca="false">Gamma*Size</f>
        <v>0</v>
      </c>
      <c r="N29" s="5" t="n">
        <f aca="false">Size*Beta*Phi</f>
        <v>6.48</v>
      </c>
      <c r="O29" s="5" t="n">
        <f aca="false">-(EXP(alpha*a*psi)+EXP(alpha*b*psi)*(-1+Size*psi*alpha))*(Beta*Phi)/((alpha*psi)*(EXP(alpha*a*psi)-EXP(alpha*b*psi)))</f>
        <v>3.07824248045466</v>
      </c>
      <c r="P29" s="5" t="n">
        <f aca="false">(EXP(alpha*(zeta-a*psi))*Beta*Phi*(-EXP(alpha*a*psi)*(-2+(-1)*Size*alpha*psi)+EXP(alpha*b*psi)*(-2+Size*alpha*psi)))/((alpha^3)*(psi^3))</f>
        <v>1.08926665858103</v>
      </c>
      <c r="Q29" s="5" t="n">
        <f aca="false">Tau*Beta</f>
        <v>93.2000046520152</v>
      </c>
      <c r="R29" s="5" t="n">
        <f aca="false">Tau*Beta</f>
        <v>93.2000046520152</v>
      </c>
      <c r="S29" s="6" t="n">
        <f aca="false">Tau</f>
        <v>0.517777803622307</v>
      </c>
      <c r="T29" s="5" t="n">
        <f aca="false">Profit+Utility</f>
        <v>182.79123328744</v>
      </c>
      <c r="U29" s="5" t="n">
        <f aca="false">(2*ij*BRIJ)+2*jj*BRJJ</f>
        <v>106.324467915257</v>
      </c>
      <c r="V29" s="5" t="n">
        <f aca="false">2*(ij*BCCIJ)+(2*jj*BCCJJ)+BCS+jj*BCPTJJ+2*(ij*BCPTIJ)+BCPTII+BCk</f>
        <v>94.6495237771338</v>
      </c>
      <c r="W29" s="5" t="n">
        <f aca="false">ij*BUTIJ+BUTII</f>
        <v>171.116289149316</v>
      </c>
      <c r="X29" s="5" t="n">
        <f aca="false">Revenue-Cost</f>
        <v>11.6749441381231</v>
      </c>
      <c r="Y29" s="5" t="n">
        <f aca="false">Size</f>
        <v>2</v>
      </c>
      <c r="Z29" s="6" t="n">
        <f aca="false">Welfare/(Size)</f>
        <v>91.3956166437198</v>
      </c>
      <c r="AA29" s="6" t="n">
        <f aca="false">Profit/(Size)</f>
        <v>5.83747206906157</v>
      </c>
      <c r="AB29" s="6" t="n">
        <f aca="false">Utility/(Size)</f>
        <v>85.5581445746582</v>
      </c>
      <c r="AD29" s="4" t="n">
        <f aca="false">(EXP(alpha*(zeta-2*a*psi))*((EXP(alpha*a*psi)-EXP(alpha*b*psi))^2))/((EXP(alpha*a*psi)-EXP(alpha*(b*psi)))*(alpha^2)*(psi^2))</f>
        <v>3.36697379399344</v>
      </c>
      <c r="AE29" s="4" t="n">
        <f aca="false">(EXP(alpha*(zeta+(2*b-a)*psi))*(-1+EXP(alpha*(-1)*Size*psi))*(EXP(alpha*(a*psi))-EXP(alpha*(b*psi))))/(((EXP(alpha*a*psi)-EXP(alpha*(b*psi)))^2)*(alpha^2)*(psi^2))</f>
        <v>9.62380743626698</v>
      </c>
      <c r="AF29" s="5" t="n">
        <f aca="false">BCS+Taxjj*BCPTJJ+2*(Taxij*BCPTIJ)+BCPTII</f>
        <v>84.1802623720875</v>
      </c>
      <c r="AG29" s="5" t="n">
        <f aca="false">Taxij*BUTIJ+BUTII</f>
        <v>701.502186434063</v>
      </c>
      <c r="AH29" s="2" t="n">
        <f aca="false">TaxCost+TaxUtility</f>
        <v>785.68244880615</v>
      </c>
      <c r="AI29" s="2" t="n">
        <f aca="false">TaxWelfare/Size</f>
        <v>392.841224403075</v>
      </c>
    </row>
    <row r="30" customFormat="false" ht="13" hidden="false" customHeight="false" outlineLevel="0" collapsed="false">
      <c r="A30" s="2" t="n">
        <v>0.542111557375821</v>
      </c>
      <c r="B30" s="2" t="n">
        <v>0.542111557375821</v>
      </c>
      <c r="C30" s="2" t="n">
        <v>5</v>
      </c>
      <c r="D30" s="2" t="n">
        <v>0</v>
      </c>
      <c r="E30" s="2" t="n">
        <f aca="false">Size-a</f>
        <v>5</v>
      </c>
      <c r="F30" s="4" t="n">
        <f aca="false">(EXP(alpha*(Tau+OldTau+zeta-2*a*psi))*((EXP(alpha*a*psi)-EXP(alpha*b*psi))^2))/((EXP(alpha*a*psi)-EXP(alpha*(2*OldTau+b*psi)))*(alpha^2)*(psi^2))</f>
        <v>1.45550209268782</v>
      </c>
      <c r="G30" s="4" t="n">
        <f aca="false">(EXP(alpha*(zeta+(2*b-a)*psi))*(-1+EXP(alpha*(-1)*Size*psi))*(EXP(alpha*(2*(Tau+OldTau)+a*psi))-EXP(alpha*(2*(Tau+OldTau)+b*psi))))/(((EXP(alpha*a*psi)-EXP(alpha*(2*OldTau+b*psi)))^2)*(alpha^2)*(psi^2))</f>
        <v>0.276697287374299</v>
      </c>
      <c r="H30" s="5" t="n">
        <f aca="false">-Beta/alpha</f>
        <v>180</v>
      </c>
      <c r="I30" s="5" t="n">
        <f aca="false">(-EXP(alpha*zeta)*Beta*(-1+EXP(alpha*Size*psi)-Size*alpha*psi))/((alpha^3)*(psi^2))</f>
        <v>519.968743125424</v>
      </c>
      <c r="J30" s="5" t="n">
        <v>0</v>
      </c>
      <c r="K30" s="5" t="n">
        <v>0</v>
      </c>
      <c r="L30" s="5" t="n">
        <f aca="false">kappa</f>
        <v>90</v>
      </c>
      <c r="M30" s="5" t="n">
        <f aca="false">Gamma*Size</f>
        <v>0</v>
      </c>
      <c r="N30" s="5" t="n">
        <f aca="false">Size*Beta*Phi</f>
        <v>16.2</v>
      </c>
      <c r="O30" s="5" t="n">
        <f aca="false">-(EXP(alpha*a*psi)+EXP(alpha*b*psi)*(-1+Size*psi*alpha))*(Beta*Phi)/((alpha*psi)*(EXP(alpha*a*psi)-EXP(alpha*b*psi)))</f>
        <v>7.09686682268204</v>
      </c>
      <c r="P30" s="5" t="n">
        <f aca="false">(EXP(alpha*(zeta-a*psi))*Beta*Phi*(-EXP(alpha*a*psi)*(-2+(-1)*Size*alpha*psi)+EXP(alpha*b*psi)*(-2+Size*alpha*psi)))/((alpha^3)*(psi^3))</f>
        <v>13.7516932837258</v>
      </c>
      <c r="Q30" s="5" t="n">
        <f aca="false">Tau*Beta</f>
        <v>97.5800803276479</v>
      </c>
      <c r="R30" s="5" t="n">
        <f aca="false">Tau*Beta</f>
        <v>97.5800803276479</v>
      </c>
      <c r="S30" s="6" t="n">
        <f aca="false">Tau</f>
        <v>0.542111557375821</v>
      </c>
      <c r="T30" s="5" t="n">
        <f aca="false">Profit+Utility</f>
        <v>991.122230746087</v>
      </c>
      <c r="U30" s="5" t="n">
        <f aca="false">(2*ij*BRIJ)+2*jj*BRJJ</f>
        <v>338.056309299927</v>
      </c>
      <c r="V30" s="5" t="n">
        <f aca="false">2*(ij*BCCIJ)+(2*jj*BCCJJ)+BCS+jj*BCPTJJ+2*(ij*BCPTIJ)+BCPTII+BCk</f>
        <v>128.89319836307</v>
      </c>
      <c r="W30" s="5" t="n">
        <f aca="false">ij*BUTIJ+BUTII</f>
        <v>781.959119809231</v>
      </c>
      <c r="X30" s="5" t="n">
        <f aca="false">Revenue-Cost</f>
        <v>209.163110936856</v>
      </c>
      <c r="Y30" s="5" t="n">
        <f aca="false">Size</f>
        <v>5</v>
      </c>
      <c r="Z30" s="6" t="n">
        <f aca="false">Welfare/(Size)</f>
        <v>198.224446149217</v>
      </c>
      <c r="AA30" s="6" t="n">
        <f aca="false">Profit/(Size)</f>
        <v>41.8326221873712</v>
      </c>
      <c r="AB30" s="6" t="n">
        <f aca="false">Utility/(Size)</f>
        <v>156.391823961846</v>
      </c>
      <c r="AD30" s="4" t="n">
        <f aca="false">(EXP(alpha*(zeta-2*a*psi))*((EXP(alpha*a*psi)-EXP(alpha*b*psi))^2))/((EXP(alpha*a*psi)-EXP(alpha*(b*psi)))*(alpha^2)*(psi^2))</f>
        <v>6.85437068310963</v>
      </c>
      <c r="AE30" s="4" t="n">
        <f aca="false">(EXP(alpha*(zeta+(2*b-a)*psi))*(-1+EXP(alpha*(-1)*Size*psi))*(EXP(alpha*(a*psi))-EXP(alpha*(b*psi))))/(((EXP(alpha*a*psi)-EXP(alpha*(b*psi)))^2)*(alpha^2)*(psi^2))</f>
        <v>6.13641054715079</v>
      </c>
      <c r="AF30" s="5" t="n">
        <f aca="false">BCS+Taxjj*BCPTJJ+2*(Taxij*BCPTIJ)+BCPTII</f>
        <v>210.450655930219</v>
      </c>
      <c r="AG30" s="5" t="n">
        <f aca="false">Taxij*BUTIJ+BUTII</f>
        <v>1753.75546608516</v>
      </c>
      <c r="AH30" s="2" t="n">
        <f aca="false">TaxCost+TaxUtility</f>
        <v>1964.20612201538</v>
      </c>
      <c r="AI30" s="2" t="n">
        <f aca="false">TaxWelfare/Size</f>
        <v>392.841224403075</v>
      </c>
    </row>
    <row r="31" customFormat="false" ht="13" hidden="false" customHeight="false" outlineLevel="0" collapsed="false">
      <c r="A31" s="2" t="n">
        <v>0.5733111627054</v>
      </c>
      <c r="B31" s="2" t="n">
        <v>0.5733111627054</v>
      </c>
      <c r="C31" s="2" t="n">
        <v>10</v>
      </c>
      <c r="D31" s="2" t="n">
        <v>0</v>
      </c>
      <c r="E31" s="2" t="n">
        <f aca="false">Size-a</f>
        <v>10</v>
      </c>
      <c r="F31" s="4" t="n">
        <f aca="false">(EXP(alpha*(Tau+OldTau+zeta-2*a*psi))*((EXP(alpha*a*psi)-EXP(alpha*b*psi))^2))/((EXP(alpha*a*psi)-EXP(alpha*(2*OldTau+b*psi)))*(alpha^2)*(psi^2))</f>
        <v>2.6809766223581</v>
      </c>
      <c r="G31" s="4" t="n">
        <f aca="false">(EXP(alpha*(zeta+(2*b-a)*psi))*(-1+EXP(alpha*(-1)*Size*psi))*(EXP(alpha*(2*(Tau+OldTau)+a*psi))-EXP(alpha*(2*(Tau+OldTau)+b*psi))))/(((EXP(alpha*a*psi)-EXP(alpha*(2*OldTau+b*psi)))^2)*(alpha^2)*(psi^2))</f>
        <v>0.204556149197482</v>
      </c>
      <c r="H31" s="5" t="n">
        <f aca="false">-Beta/alpha</f>
        <v>180</v>
      </c>
      <c r="I31" s="5" t="n">
        <f aca="false">(-EXP(alpha*zeta)*Beta*(-1+EXP(alpha*Size*psi)-Size*alpha*psi))/((alpha^3)*(psi^2))</f>
        <v>1690.92462806846</v>
      </c>
      <c r="J31" s="5" t="n">
        <v>0</v>
      </c>
      <c r="K31" s="5" t="n">
        <v>0</v>
      </c>
      <c r="L31" s="5" t="n">
        <f aca="false">kappa</f>
        <v>90</v>
      </c>
      <c r="M31" s="5" t="n">
        <f aca="false">Gamma*Size</f>
        <v>0</v>
      </c>
      <c r="N31" s="5" t="n">
        <f aca="false">Size*Beta*Phi</f>
        <v>32.4</v>
      </c>
      <c r="O31" s="5" t="n">
        <f aca="false">-(EXP(alpha*a*psi)+EXP(alpha*b*psi)*(-1+Size*psi*alpha))*(Beta*Phi)/((alpha*psi)*(EXP(alpha*a*psi)-EXP(alpha*b*psi)))</f>
        <v>12.2941718960407</v>
      </c>
      <c r="P31" s="5" t="n">
        <f aca="false">(EXP(alpha*(zeta-a*psi))*Beta*Phi*(-EXP(alpha*a*psi)*(-2+(-1)*Size*alpha*psi)+EXP(alpha*b*psi)*(-2+Size*alpha*psi)))/((alpha^3)*(psi^3))</f>
        <v>78.836375998096</v>
      </c>
      <c r="Q31" s="5" t="n">
        <f aca="false">Tau*Beta</f>
        <v>103.196009286972</v>
      </c>
      <c r="R31" s="5" t="n">
        <f aca="false">Tau*Beta</f>
        <v>103.196009286972</v>
      </c>
      <c r="S31" s="6" t="n">
        <f aca="false">Tau</f>
        <v>0.5733111627054</v>
      </c>
      <c r="T31" s="5" t="n">
        <f aca="false">Profit+Utility</f>
        <v>2527.66658335437</v>
      </c>
      <c r="U31" s="5" t="n">
        <f aca="false">(2*ij*BRIJ)+2*jj*BRJJ</f>
        <v>595.550933382624</v>
      </c>
      <c r="V31" s="5" t="n">
        <f aca="false">2*(ij*BCCIJ)+(2*jj*BCCJJ)+BCS+jj*BCPTJJ+2*(ij*BCPTIJ)+BCPTII+BCk</f>
        <v>241.384770121168</v>
      </c>
      <c r="W31" s="5" t="n">
        <f aca="false">ij*BUTIJ+BUTII</f>
        <v>2173.50042009292</v>
      </c>
      <c r="X31" s="5" t="n">
        <f aca="false">Revenue-Cost</f>
        <v>354.166163261456</v>
      </c>
      <c r="Y31" s="5" t="n">
        <f aca="false">Size</f>
        <v>10</v>
      </c>
      <c r="Z31" s="6" t="n">
        <f aca="false">Welfare/(Size)</f>
        <v>252.766658335437</v>
      </c>
      <c r="AA31" s="6" t="n">
        <f aca="false">Profit/(Size)</f>
        <v>35.4166163261456</v>
      </c>
      <c r="AB31" s="6" t="n">
        <f aca="false">Utility/(Size)</f>
        <v>217.350042009292</v>
      </c>
      <c r="AD31" s="4" t="n">
        <f aca="false">(EXP(alpha*(zeta-2*a*psi))*((EXP(alpha*a*psi)-EXP(alpha*b*psi))^2))/((EXP(alpha*a*psi)-EXP(alpha*(b*psi)))*(alpha^2)*(psi^2))</f>
        <v>10.0921461338992</v>
      </c>
      <c r="AE31" s="4" t="n">
        <f aca="false">(EXP(alpha*(zeta+(2*b-a)*psi))*(-1+EXP(alpha*(-1)*Size*psi))*(EXP(alpha*(a*psi))-EXP(alpha*(b*psi))))/(((EXP(alpha*a*psi)-EXP(alpha*(b*psi)))^2)*(alpha^2)*(psi^2))</f>
        <v>2.89863509636122</v>
      </c>
      <c r="AF31" s="5" t="n">
        <f aca="false">BCS+Taxjj*BCPTJJ+2*(Taxij*BCPTIJ)+BCPTII</f>
        <v>420.901311860438</v>
      </c>
      <c r="AG31" s="5" t="n">
        <f aca="false">Taxij*BUTIJ+BUTII</f>
        <v>3507.51093217031</v>
      </c>
      <c r="AH31" s="2" t="n">
        <f aca="false">TaxCost+TaxUtility</f>
        <v>3928.41224403075</v>
      </c>
      <c r="AI31" s="2" t="n">
        <f aca="false">TaxWelfare/Size</f>
        <v>392.841224403075</v>
      </c>
    </row>
    <row r="32" customFormat="false" ht="13" hidden="false" customHeight="false" outlineLevel="0" collapsed="false">
      <c r="A32" s="2" t="n">
        <v>0.605025103072638</v>
      </c>
      <c r="B32" s="2" t="n">
        <v>0.605025103072638</v>
      </c>
      <c r="C32" s="2" t="n">
        <v>20</v>
      </c>
      <c r="D32" s="2" t="n">
        <v>0</v>
      </c>
      <c r="E32" s="2" t="n">
        <f aca="false">Size-a</f>
        <v>20</v>
      </c>
      <c r="F32" s="4" t="n">
        <f aca="false">(EXP(alpha*(Tau+OldTau+zeta-2*a*psi))*((EXP(alpha*a*psi)-EXP(alpha*b*psi))^2))/((EXP(alpha*a*psi)-EXP(alpha*(2*OldTau+b*psi)))*(alpha^2)*(psi^2))</f>
        <v>3.55021556397551</v>
      </c>
      <c r="G32" s="4" t="n">
        <f aca="false">(EXP(alpha*(zeta+(2*b-a)*psi))*(-1+EXP(alpha*(-1)*Size*psi))*(EXP(alpha*(2*(Tau+OldTau)+a*psi))-EXP(alpha*(2*(Tau+OldTau)+b*psi))))/(((EXP(alpha*a*psi)-EXP(alpha*(2*OldTau+b*psi)))^2)*(alpha^2)*(psi^2))</f>
        <v>0.0534993935795817</v>
      </c>
      <c r="H32" s="5" t="n">
        <f aca="false">-Beta/alpha</f>
        <v>180</v>
      </c>
      <c r="I32" s="5" t="n">
        <f aca="false">(-EXP(alpha*zeta)*Beta*(-1+EXP(alpha*Size*psi)-Size*alpha*psi))/((alpha^3)*(psi^2))</f>
        <v>4793.10036728108</v>
      </c>
      <c r="J32" s="5" t="n">
        <v>0</v>
      </c>
      <c r="K32" s="5" t="n">
        <v>0</v>
      </c>
      <c r="L32" s="5" t="n">
        <f aca="false">kappa</f>
        <v>90</v>
      </c>
      <c r="M32" s="5" t="n">
        <f aca="false">Gamma*Size</f>
        <v>0</v>
      </c>
      <c r="N32" s="5" t="n">
        <f aca="false">Size*Beta*Phi</f>
        <v>64.8</v>
      </c>
      <c r="O32" s="5" t="n">
        <f aca="false">-(EXP(alpha*a*psi)+EXP(alpha*b*psi)*(-1+Size*psi*alpha))*(Beta*Phi)/((alpha*psi)*(EXP(alpha*a*psi)-EXP(alpha*b*psi)))</f>
        <v>18.2047588673666</v>
      </c>
      <c r="P32" s="5" t="n">
        <f aca="false">(EXP(alpha*(zeta-a*psi))*Beta*Phi*(-EXP(alpha*a*psi)*(-2+(-1)*Size*alpha*psi)+EXP(alpha*b*psi)*(-2+Size*alpha*psi)))/((alpha^3)*(psi^3))</f>
        <v>350.452349206022</v>
      </c>
      <c r="Q32" s="5" t="n">
        <f aca="false">Tau*Beta</f>
        <v>108.904518553075</v>
      </c>
      <c r="R32" s="5" t="n">
        <f aca="false">Tau*Beta</f>
        <v>108.904518553075</v>
      </c>
      <c r="S32" s="6" t="n">
        <f aca="false">Tau</f>
        <v>0.605025103072638</v>
      </c>
      <c r="T32" s="5" t="n">
        <f aca="false">Profit+Utility</f>
        <v>5643.8801072581</v>
      </c>
      <c r="U32" s="5" t="n">
        <f aca="false">(2*ij*BRIJ)+2*jj*BRJJ</f>
        <v>784.921684910104</v>
      </c>
      <c r="V32" s="5" t="n">
        <f aca="false">2*(ij*BCCIJ)+(2*jj*BCCJJ)+BCS+jj*BCPTJJ+2*(ij*BCPTIJ)+BCPTII+BCk</f>
        <v>573.180746448672</v>
      </c>
      <c r="W32" s="5" t="n">
        <f aca="false">ij*BUTIJ+BUTII</f>
        <v>5432.13916879667</v>
      </c>
      <c r="X32" s="5" t="n">
        <f aca="false">Revenue-Cost</f>
        <v>211.740938461432</v>
      </c>
      <c r="Y32" s="5" t="n">
        <f aca="false">Size</f>
        <v>20</v>
      </c>
      <c r="Z32" s="6" t="n">
        <f aca="false">Welfare/(Size)</f>
        <v>282.194005362905</v>
      </c>
      <c r="AA32" s="6" t="n">
        <f aca="false">Profit/(Size)</f>
        <v>10.5870469230716</v>
      </c>
      <c r="AB32" s="6" t="n">
        <f aca="false">Utility/(Size)</f>
        <v>271.606958439834</v>
      </c>
      <c r="AD32" s="4" t="n">
        <f aca="false">(EXP(alpha*(zeta-2*a*psi))*((EXP(alpha*a*psi)-EXP(alpha*b*psi))^2))/((EXP(alpha*a*psi)-EXP(alpha*(b*psi)))*(alpha^2)*(psi^2))</f>
        <v>12.3440083169975</v>
      </c>
      <c r="AE32" s="4" t="n">
        <f aca="false">(EXP(alpha*(zeta+(2*b-a)*psi))*(-1+EXP(alpha*(-1)*Size*psi))*(EXP(alpha*(a*psi))-EXP(alpha*(b*psi))))/(((EXP(alpha*a*psi)-EXP(alpha*(b*psi)))^2)*(alpha^2)*(psi^2))</f>
        <v>0.646772913262939</v>
      </c>
      <c r="AF32" s="5" t="n">
        <f aca="false">BCS+Taxjj*BCPTJJ+2*(Taxij*BCPTIJ)+BCPTII</f>
        <v>841.802623720875</v>
      </c>
      <c r="AG32" s="5" t="n">
        <f aca="false">Taxij*BUTIJ+BUTII</f>
        <v>7015.02186434063</v>
      </c>
      <c r="AH32" s="2" t="n">
        <f aca="false">TaxCost+TaxUtility</f>
        <v>7856.8244880615</v>
      </c>
      <c r="AI32" s="2" t="n">
        <f aca="false">TaxWelfare/Size</f>
        <v>392.841224403075</v>
      </c>
    </row>
    <row r="33" customFormat="false" ht="13" hidden="false" customHeight="false" outlineLevel="0" collapsed="false">
      <c r="A33" s="2" t="n">
        <v>0.619940626034165</v>
      </c>
      <c r="B33" s="2" t="n">
        <v>0.619940626034165</v>
      </c>
      <c r="C33" s="2" t="n">
        <v>50</v>
      </c>
      <c r="D33" s="2" t="n">
        <v>0</v>
      </c>
      <c r="E33" s="2" t="n">
        <f aca="false">Size-a</f>
        <v>50</v>
      </c>
      <c r="F33" s="4" t="n">
        <f aca="false">(EXP(alpha*(Tau+OldTau+zeta-2*a*psi))*((EXP(alpha*a*psi)-EXP(alpha*b*psi))^2))/((EXP(alpha*a*psi)-EXP(alpha*(2*OldTau+b*psi)))*(alpha^2)*(psi^2))</f>
        <v>3.75621698028386</v>
      </c>
      <c r="G33" s="4" t="n">
        <f aca="false">(EXP(alpha*(zeta+(2*b-a)*psi))*(-1+EXP(alpha*(-1)*Size*psi))*(EXP(alpha*(2*(Tau+OldTau)+a*psi))-EXP(alpha*(2*(Tau+OldTau)+b*psi))))/(((EXP(alpha*a*psi)-EXP(alpha*(2*OldTau+b*psi)))^2)*(alpha^2)*(psi^2))</f>
        <v>0.000601364788883872</v>
      </c>
      <c r="H33" s="5" t="n">
        <f aca="false">-Beta/alpha</f>
        <v>180</v>
      </c>
      <c r="I33" s="5" t="n">
        <f aca="false">(-EXP(alpha*zeta)*Beta*(-1+EXP(alpha*Size*psi)-Size*alpha*psi))/((alpha^3)*(psi^2))</f>
        <v>15200.5073390545</v>
      </c>
      <c r="J33" s="5" t="n">
        <v>0</v>
      </c>
      <c r="K33" s="5" t="n">
        <v>0</v>
      </c>
      <c r="L33" s="5" t="n">
        <f aca="false">kappa</f>
        <v>90</v>
      </c>
      <c r="M33" s="5" t="n">
        <f aca="false">Gamma*Size</f>
        <v>0</v>
      </c>
      <c r="N33" s="5" t="n">
        <f aca="false">Size*Beta*Phi</f>
        <v>162</v>
      </c>
      <c r="O33" s="5" t="n">
        <f aca="false">-(EXP(alpha*a*psi)+EXP(alpha*b*psi)*(-1+Size*psi*alpha))*(Beta*Phi)/((alpha*psi)*(EXP(alpha*a*psi)-EXP(alpha*b*psi)))</f>
        <v>21.5103507484362</v>
      </c>
      <c r="P33" s="5" t="n">
        <f aca="false">(EXP(alpha*(zeta-a*psi))*Beta*Phi*(-EXP(alpha*a*psi)*(-2+(-1)*Size*alpha*psi)+EXP(alpha*b*psi)*(-2+Size*alpha*psi)))/((alpha^3)*(psi^3))</f>
        <v>1544.77917175571</v>
      </c>
      <c r="Q33" s="5" t="n">
        <f aca="false">Tau*Beta</f>
        <v>111.58931268615</v>
      </c>
      <c r="R33" s="5" t="n">
        <f aca="false">Tau*Beta</f>
        <v>111.58931268615</v>
      </c>
      <c r="S33" s="6" t="n">
        <f aca="false">Tau</f>
        <v>0.619940626034165</v>
      </c>
      <c r="T33" s="5" t="n">
        <f aca="false">Profit+Utility</f>
        <v>14918.5962672146</v>
      </c>
      <c r="U33" s="5" t="n">
        <f aca="false">(2*ij*BRIJ)+2*jj*BRJJ</f>
        <v>838.441554026772</v>
      </c>
      <c r="V33" s="5" t="n">
        <f aca="false">2*(ij*BCCIJ)+(2*jj*BCCJJ)+BCS+jj*BCPTJJ+2*(ij*BCPTIJ)+BCPTII+BCk</f>
        <v>1796.47168231779</v>
      </c>
      <c r="W33" s="5" t="n">
        <f aca="false">ij*BUTIJ+BUTII</f>
        <v>15876.6263955056</v>
      </c>
      <c r="X33" s="5" t="n">
        <f aca="false">Revenue-Cost</f>
        <v>-958.030128291018</v>
      </c>
      <c r="Y33" s="5" t="n">
        <f aca="false">Size</f>
        <v>50</v>
      </c>
      <c r="Z33" s="6" t="n">
        <f aca="false">Welfare/(Size)</f>
        <v>298.371925344291</v>
      </c>
      <c r="AA33" s="6" t="n">
        <f aca="false">Profit/(Size)</f>
        <v>-19.1606025658204</v>
      </c>
      <c r="AB33" s="6" t="n">
        <f aca="false">Utility/(Size)</f>
        <v>317.532527910112</v>
      </c>
      <c r="AD33" s="4" t="n">
        <f aca="false">(EXP(alpha*(zeta-2*a*psi))*((EXP(alpha*a*psi)-EXP(alpha*b*psi))^2))/((EXP(alpha*a*psi)-EXP(alpha*(b*psi)))*(alpha^2)*(psi^2))</f>
        <v>12.983596232206</v>
      </c>
      <c r="AE33" s="4" t="n">
        <f aca="false">(EXP(alpha*(zeta+(2*b-a)*psi))*(-1+EXP(alpha*(-1)*Size*psi))*(EXP(alpha*(a*psi))-EXP(alpha*(b*psi))))/(((EXP(alpha*a*psi)-EXP(alpha*(b*psi)))^2)*(alpha^2)*(psi^2))</f>
        <v>0.00718499805446688</v>
      </c>
      <c r="AF33" s="5" t="n">
        <f aca="false">BCS+Taxjj*BCPTJJ+2*(Taxij*BCPTIJ)+BCPTII</f>
        <v>2104.50655930219</v>
      </c>
      <c r="AG33" s="5" t="n">
        <f aca="false">Taxij*BUTIJ+BUTII</f>
        <v>17537.5546608516</v>
      </c>
      <c r="AH33" s="2" t="n">
        <f aca="false">TaxCost+TaxUtility</f>
        <v>19642.0612201538</v>
      </c>
      <c r="AI33" s="2" t="n">
        <f aca="false">TaxWelfare/Size</f>
        <v>392.841224403075</v>
      </c>
    </row>
    <row r="34" customFormat="false" ht="13" hidden="false" customHeight="false" outlineLevel="0" collapsed="false">
      <c r="A34" s="2" t="n">
        <v>0.620266630343794</v>
      </c>
      <c r="B34" s="2" t="n">
        <v>0.620266630343794</v>
      </c>
      <c r="C34" s="2" t="n">
        <v>100</v>
      </c>
      <c r="D34" s="2" t="n">
        <v>0</v>
      </c>
      <c r="E34" s="2" t="n">
        <f aca="false">Size-a</f>
        <v>100</v>
      </c>
      <c r="F34" s="4" t="n">
        <f aca="false">(EXP(alpha*(Tau+OldTau+zeta-2*a*psi))*((EXP(alpha*a*psi)-EXP(alpha*b*psi))^2))/((EXP(alpha*a*psi)-EXP(alpha*(2*OldTau+b*psi)))*(alpha^2)*(psi^2))</f>
        <v>3.75732093350485</v>
      </c>
      <c r="G34" s="4" t="n">
        <f aca="false">(EXP(alpha*(zeta+(2*b-a)*psi))*(-1+EXP(alpha*(-1)*Size*psi))*(EXP(alpha*(2*(Tau+OldTau)+a*psi))-EXP(alpha*(2*(Tau+OldTau)+b*psi))))/(((EXP(alpha*a*psi)-EXP(alpha*(2*OldTau+b*psi)))^2)*(alpha^2)*(psi^2))</f>
        <v>3.32433171023057E-007</v>
      </c>
      <c r="H34" s="5" t="n">
        <f aca="false">-Beta/alpha</f>
        <v>180</v>
      </c>
      <c r="I34" s="5" t="n">
        <f aca="false">(-EXP(alpha*zeta)*Beta*(-1+EXP(alpha*Size*psi)-Size*alpha*psi))/((alpha^3)*(psi^2))</f>
        <v>32736.7694155601</v>
      </c>
      <c r="J34" s="5" t="n">
        <v>0</v>
      </c>
      <c r="K34" s="5" t="n">
        <v>0</v>
      </c>
      <c r="L34" s="5" t="n">
        <f aca="false">kappa</f>
        <v>90</v>
      </c>
      <c r="M34" s="5" t="n">
        <f aca="false">Gamma*Size</f>
        <v>0</v>
      </c>
      <c r="N34" s="5" t="n">
        <f aca="false">Size*Beta*Phi</f>
        <v>324</v>
      </c>
      <c r="O34" s="5" t="n">
        <f aca="false">-(EXP(alpha*a*psi)+EXP(alpha*b*psi)*(-1+Size*psi*alpha))*(Beta*Phi)/((alpha*psi)*(EXP(alpha*a*psi)-EXP(alpha*b*psi)))</f>
        <v>21.5999008876178</v>
      </c>
      <c r="P34" s="5" t="n">
        <f aca="false">(EXP(alpha*(zeta-a*psi))*Beta*Phi*(-EXP(alpha*a*psi)*(-2+(-1)*Size*alpha*psi)+EXP(alpha*b*psi)*(-2+Size*alpha*psi)))/((alpha^3)*(psi^3))</f>
        <v>3647.81282867692</v>
      </c>
      <c r="Q34" s="5" t="n">
        <f aca="false">Tau*Beta</f>
        <v>111.647993461883</v>
      </c>
      <c r="R34" s="5" t="n">
        <f aca="false">Tau*Beta</f>
        <v>111.647993461883</v>
      </c>
      <c r="S34" s="6" t="n">
        <f aca="false">Tau</f>
        <v>0.620266630343794</v>
      </c>
      <c r="T34" s="5" t="n">
        <f aca="false">Profit+Utility</f>
        <v>30351.9534879396</v>
      </c>
      <c r="U34" s="5" t="n">
        <f aca="false">(2*ij*BRIJ)+2*jj*BRJJ</f>
        <v>838.994760267283</v>
      </c>
      <c r="V34" s="5" t="n">
        <f aca="false">2*(ij*BCCIJ)+(2*jj*BCCJJ)+BCS+jj*BCPTJJ+2*(ij*BCPTIJ)+BCPTII+BCk</f>
        <v>3900.12845591862</v>
      </c>
      <c r="W34" s="5" t="n">
        <f aca="false">ij*BUTIJ+BUTII</f>
        <v>33413.087183591</v>
      </c>
      <c r="X34" s="5" t="n">
        <f aca="false">Revenue-Cost</f>
        <v>-3061.13369565134</v>
      </c>
      <c r="Y34" s="5" t="n">
        <f aca="false">Size</f>
        <v>100</v>
      </c>
      <c r="Z34" s="6" t="n">
        <f aca="false">Welfare/(Size)</f>
        <v>303.519534879396</v>
      </c>
      <c r="AA34" s="6" t="n">
        <f aca="false">Profit/(Size)</f>
        <v>-30.6113369565134</v>
      </c>
      <c r="AB34" s="6" t="n">
        <f aca="false">Utility/(Size)</f>
        <v>334.13087183591</v>
      </c>
      <c r="AD34" s="4" t="n">
        <f aca="false">(EXP(alpha*(zeta-2*a*psi))*((EXP(alpha*a*psi)-EXP(alpha*b*psi))^2))/((EXP(alpha*a*psi)-EXP(alpha*(b*psi)))*(alpha^2)*(psi^2))</f>
        <v>12.9907772563503</v>
      </c>
      <c r="AE34" s="4" t="n">
        <f aca="false">(EXP(alpha*(zeta+(2*b-a)*psi))*(-1+EXP(alpha*(-1)*Size*psi))*(EXP(alpha*(a*psi))-EXP(alpha*(b*psi))))/(((EXP(alpha*a*psi)-EXP(alpha*(b*psi)))^2)*(alpha^2)*(psi^2))</f>
        <v>3.97391012346822E-006</v>
      </c>
      <c r="AF34" s="5" t="n">
        <f aca="false">BCS+Taxjj*BCPTJJ+2*(Taxij*BCPTIJ)+BCPTII</f>
        <v>4209.01311860438</v>
      </c>
      <c r="AG34" s="5" t="n">
        <f aca="false">Taxij*BUTIJ+BUTII</f>
        <v>35075.1093217031</v>
      </c>
      <c r="AH34" s="2" t="n">
        <f aca="false">TaxCost+TaxUtility</f>
        <v>39284.1224403075</v>
      </c>
      <c r="AI34" s="2" t="n">
        <f aca="false">TaxWelfare/Size</f>
        <v>392.841224403075</v>
      </c>
    </row>
    <row r="35" customFormat="false" ht="13" hidden="false" customHeight="false" outlineLevel="0" collapsed="false">
      <c r="A35" s="2" t="n">
        <v>0.62026695552187</v>
      </c>
      <c r="B35" s="2" t="n">
        <v>0.62026695552187</v>
      </c>
      <c r="C35" s="2" t="n">
        <v>200</v>
      </c>
      <c r="D35" s="2" t="n">
        <v>0</v>
      </c>
      <c r="E35" s="2" t="n">
        <f aca="false">Size-a</f>
        <v>200</v>
      </c>
      <c r="F35" s="4" t="n">
        <f aca="false">(EXP(alpha*(Tau+OldTau+zeta-2*a*psi))*((EXP(alpha*a*psi)-EXP(alpha*b*psi))^2))/((EXP(alpha*a*psi)-EXP(alpha*(2*OldTau+b*psi)))*(alpha^2)*(psi^2))</f>
        <v>3.75732045622107</v>
      </c>
      <c r="G35" s="4" t="n">
        <f aca="false">(EXP(alpha*(zeta+(2*b-a)*psi))*(-1+EXP(alpha*(-1)*Size*psi))*(EXP(alpha*(2*(Tau+OldTau)+a*psi))-EXP(alpha*(2*(Tau+OldTau)+b*psi))))/(((EXP(alpha*a*psi)-EXP(alpha*(2*OldTau+b*psi)))^2)*(alpha^2)*(psi^2))</f>
        <v>1.01691990376676E-013</v>
      </c>
      <c r="H35" s="5" t="n">
        <f aca="false">-Beta/alpha</f>
        <v>180</v>
      </c>
      <c r="I35" s="5" t="n">
        <f aca="false">(-EXP(alpha*zeta)*Beta*(-1+EXP(alpha*Size*psi)-Size*alpha*psi))/((alpha^3)*(psi^2))</f>
        <v>67811.8780219596</v>
      </c>
      <c r="J35" s="5" t="n">
        <v>0</v>
      </c>
      <c r="K35" s="5" t="n">
        <v>0</v>
      </c>
      <c r="L35" s="5" t="n">
        <f aca="false">kappa</f>
        <v>90</v>
      </c>
      <c r="M35" s="5" t="n">
        <f aca="false">Gamma*Size</f>
        <v>0</v>
      </c>
      <c r="N35" s="5" t="n">
        <f aca="false">Size*Beta*Phi</f>
        <v>648</v>
      </c>
      <c r="O35" s="5" t="n">
        <f aca="false">-(EXP(alpha*a*psi)+EXP(alpha*b*psi)*(-1+Size*psi*alpha))*(Beta*Phi)/((alpha*psi)*(EXP(alpha*a*psi)-EXP(alpha*b*psi)))</f>
        <v>21.5999999999394</v>
      </c>
      <c r="P35" s="5" t="n">
        <f aca="false">(EXP(alpha*(zeta-a*psi))*Beta*Phi*(-EXP(alpha*a*psi)*(-2+(-1)*Size*alpha*psi)+EXP(alpha*b*psi)*(-2+Size*alpha*psi)))/((alpha^3)*(psi^3))</f>
        <v>7856.82448806234</v>
      </c>
      <c r="Q35" s="5" t="n">
        <f aca="false">Tau*Beta</f>
        <v>111.648051993937</v>
      </c>
      <c r="R35" s="5" t="n">
        <f aca="false">Tau*Beta</f>
        <v>111.648051993937</v>
      </c>
      <c r="S35" s="6" t="n">
        <f aca="false">Tau</f>
        <v>0.62026695552187</v>
      </c>
      <c r="T35" s="5" t="n">
        <f aca="false">Profit+Utility</f>
        <v>61218.0499916168</v>
      </c>
      <c r="U35" s="5" t="n">
        <f aca="false">(2*ij*BRIJ)+2*jj*BRJJ</f>
        <v>838.995019308126</v>
      </c>
      <c r="V35" s="5" t="n">
        <f aca="false">2*(ij*BCCIJ)+(2*jj*BCCJJ)+BCS+jj*BCPTJJ+2*(ij*BCPTIJ)+BCPTII+BCk</f>
        <v>8109.1407317707</v>
      </c>
      <c r="W35" s="5" t="n">
        <f aca="false">ij*BUTIJ+BUTII</f>
        <v>68488.1957040794</v>
      </c>
      <c r="X35" s="5" t="n">
        <f aca="false">Revenue-Cost</f>
        <v>-7270.14571246258</v>
      </c>
      <c r="Y35" s="5" t="n">
        <f aca="false">Size</f>
        <v>200</v>
      </c>
      <c r="Z35" s="6" t="n">
        <f aca="false">Welfare/(Size)</f>
        <v>306.090249958084</v>
      </c>
      <c r="AA35" s="6" t="n">
        <f aca="false">Profit/(Size)</f>
        <v>-36.3507285623129</v>
      </c>
      <c r="AB35" s="6" t="n">
        <f aca="false">Utility/(Size)</f>
        <v>342.440978520397</v>
      </c>
      <c r="AD35" s="4" t="n">
        <f aca="false">(EXP(alpha*(zeta-2*a*psi))*((EXP(alpha*a*psi)-EXP(alpha*b*psi))^2))/((EXP(alpha*a*psi)-EXP(alpha*(b*psi)))*(alpha^2)*(psi^2))</f>
        <v>12.9907812302592</v>
      </c>
      <c r="AE35" s="4" t="n">
        <f aca="false">(EXP(alpha*(zeta+(2*b-a)*psi))*(-1+EXP(alpha*(-1)*Size*psi))*(EXP(alpha*(a*psi))-EXP(alpha*(b*psi))))/(((EXP(alpha*a*psi)-EXP(alpha*(b*psi)))^2)*(alpha^2)*(psi^2))</f>
        <v>1.21562832823463E-012</v>
      </c>
      <c r="AF35" s="5" t="n">
        <f aca="false">BCS+Taxjj*BCPTJJ+2*(Taxij*BCPTIJ)+BCPTII</f>
        <v>8418.02623720875</v>
      </c>
      <c r="AG35" s="5" t="n">
        <f aca="false">Taxij*BUTIJ+BUTII</f>
        <v>70150.2186434063</v>
      </c>
      <c r="AH35" s="2" t="n">
        <f aca="false">TaxCost+TaxUtility</f>
        <v>78568.244880615</v>
      </c>
      <c r="AI35" s="2" t="n">
        <f aca="false">TaxWelfare/Size</f>
        <v>392.841224403075</v>
      </c>
    </row>
    <row r="36" customFormat="false" ht="13" hidden="false" customHeight="false" outlineLevel="0" collapsed="false">
      <c r="A36" s="2" t="n">
        <v>0.620266955522128</v>
      </c>
      <c r="B36" s="2" t="n">
        <v>0.620266955522128</v>
      </c>
      <c r="C36" s="2" t="n">
        <v>500</v>
      </c>
      <c r="D36" s="2" t="n">
        <v>0</v>
      </c>
      <c r="E36" s="2" t="n">
        <f aca="false">Size-a</f>
        <v>500</v>
      </c>
      <c r="F36" s="4" t="n">
        <f aca="false">(EXP(alpha*(Tau+OldTau+zeta-2*a*psi))*((EXP(alpha*a*psi)-EXP(alpha*b*psi))^2))/((EXP(alpha*a*psi)-EXP(alpha*(2*OldTau+b*psi)))*(alpha^2)*(psi^2))</f>
        <v>3.75732045621974</v>
      </c>
      <c r="G36" s="4" t="n">
        <f aca="false">(EXP(alpha*(zeta+(2*b-a)*psi))*(-1+EXP(alpha*(-1)*Size*psi))*(EXP(alpha*(2*(Tau+OldTau)+a*psi))-EXP(alpha*(2*(Tau+OldTau)+b*psi))))/(((EXP(alpha*a*psi)-EXP(alpha*(2*OldTau+b*psi)))^2)*(alpha^2)*(psi^2))</f>
        <v>2.91095211946025E-033</v>
      </c>
      <c r="H36" s="5" t="n">
        <f aca="false">-Beta/alpha</f>
        <v>180</v>
      </c>
      <c r="I36" s="5" t="n">
        <f aca="false">(-EXP(alpha*zeta)*Beta*(-1+EXP(alpha*Size*psi)-Size*alpha*psi))/((alpha^3)*(psi^2))</f>
        <v>173037.205987069</v>
      </c>
      <c r="J36" s="5" t="n">
        <v>0</v>
      </c>
      <c r="K36" s="5" t="n">
        <v>0</v>
      </c>
      <c r="L36" s="5" t="n">
        <f aca="false">kappa</f>
        <v>90</v>
      </c>
      <c r="M36" s="5" t="n">
        <f aca="false">Gamma*Size</f>
        <v>0</v>
      </c>
      <c r="N36" s="5" t="n">
        <f aca="false">Size*Beta*Phi</f>
        <v>1620</v>
      </c>
      <c r="O36" s="5" t="n">
        <f aca="false">-(EXP(alpha*a*psi)+EXP(alpha*b*psi)*(-1+Size*psi*alpha))*(Beta*Phi)/((alpha*psi)*(EXP(alpha*a*psi)-EXP(alpha*b*psi)))</f>
        <v>21.6</v>
      </c>
      <c r="P36" s="5" t="n">
        <f aca="false">(EXP(alpha*(zeta-a*psi))*Beta*Phi*(-EXP(alpha*a*psi)*(-2+(-1)*Size*alpha*psi)+EXP(alpha*b*psi)*(-2+Size*alpha*psi)))/((alpha^3)*(psi^3))</f>
        <v>20483.8638438746</v>
      </c>
      <c r="Q36" s="5" t="n">
        <f aca="false">Tau*Beta</f>
        <v>111.648051993983</v>
      </c>
      <c r="R36" s="5" t="n">
        <f aca="false">Tau*Beta</f>
        <v>111.648051993983</v>
      </c>
      <c r="S36" s="6" t="n">
        <f aca="false">Tau</f>
        <v>0.620266955522128</v>
      </c>
      <c r="T36" s="5" t="n">
        <f aca="false">Profit+Utility</f>
        <v>153816.338600913</v>
      </c>
      <c r="U36" s="5" t="n">
        <f aca="false">(2*ij*BRIJ)+2*jj*BRJJ</f>
        <v>838.995019308154</v>
      </c>
      <c r="V36" s="5" t="n">
        <f aca="false">2*(ij*BCCIJ)+(2*jj*BCCJJ)+BCS+jj*BCPTJJ+2*(ij*BCPTIJ)+BCPTII+BCk</f>
        <v>20736.1800875833</v>
      </c>
      <c r="W36" s="5" t="n">
        <f aca="false">ij*BUTIJ+BUTII</f>
        <v>173713.523669188</v>
      </c>
      <c r="X36" s="5" t="n">
        <f aca="false">Revenue-Cost</f>
        <v>-19897.1850682752</v>
      </c>
      <c r="Y36" s="5" t="n">
        <f aca="false">Size</f>
        <v>500</v>
      </c>
      <c r="Z36" s="6" t="n">
        <f aca="false">Welfare/(Size)</f>
        <v>307.632677201826</v>
      </c>
      <c r="AA36" s="6" t="n">
        <f aca="false">Profit/(Size)</f>
        <v>-39.7943701365503</v>
      </c>
      <c r="AB36" s="6" t="n">
        <f aca="false">Utility/(Size)</f>
        <v>347.427047338377</v>
      </c>
      <c r="AD36" s="4" t="n">
        <f aca="false">(EXP(alpha*(zeta-2*a*psi))*((EXP(alpha*a*psi)-EXP(alpha*b*psi))^2))/((EXP(alpha*a*psi)-EXP(alpha*(b*psi)))*(alpha^2)*(psi^2))</f>
        <v>12.9907812302604</v>
      </c>
      <c r="AE36" s="4" t="n">
        <f aca="false">(EXP(alpha*(zeta+(2*b-a)*psi))*(-1+EXP(alpha*(-1)*Size*psi))*(EXP(alpha*(a*psi))-EXP(alpha*(b*psi))))/(((EXP(alpha*a*psi)-EXP(alpha*(b*psi)))^2)*(alpha^2)*(psi^2))</f>
        <v>3.47975867661385E-032</v>
      </c>
      <c r="AF36" s="5" t="n">
        <f aca="false">BCS+Taxjj*BCPTJJ+2*(Taxij*BCPTIJ)+BCPTII</f>
        <v>21045.0655930219</v>
      </c>
      <c r="AG36" s="5" t="n">
        <f aca="false">Taxij*BUTIJ+BUTII</f>
        <v>175375.546608516</v>
      </c>
      <c r="AH36" s="2" t="n">
        <f aca="false">TaxCost+TaxUtility</f>
        <v>196420.612201538</v>
      </c>
      <c r="AI36" s="2" t="n">
        <f aca="false">TaxWelfare/Size</f>
        <v>392.841224403075</v>
      </c>
    </row>
    <row r="37" customFormat="false" ht="13" hidden="false" customHeight="false" outlineLevel="0" collapsed="false">
      <c r="A37" s="2" t="n">
        <v>0.620266955521955</v>
      </c>
      <c r="B37" s="2" t="n">
        <v>0.620266955521955</v>
      </c>
      <c r="C37" s="2" t="n">
        <v>1000</v>
      </c>
      <c r="D37" s="2" t="n">
        <v>0</v>
      </c>
      <c r="E37" s="2" t="n">
        <f aca="false">Size-a</f>
        <v>1000</v>
      </c>
      <c r="F37" s="4" t="n">
        <f aca="false">(EXP(alpha*(Tau+OldTau+zeta-2*a*psi))*((EXP(alpha*a*psi)-EXP(alpha*b*psi))^2))/((EXP(alpha*a*psi)-EXP(alpha*(2*OldTau+b*psi)))*(alpha^2)*(psi^2))</f>
        <v>3.75732045622103</v>
      </c>
      <c r="G37" s="4" t="n">
        <f aca="false">(EXP(alpha*(zeta+(2*b-a)*psi))*(-1+EXP(alpha*(-1)*Size*psi))*(EXP(alpha*(2*(Tau+OldTau)+a*psi))-EXP(alpha*(2*(Tau+OldTau)+b*psi))))/(((EXP(alpha*a*psi)-EXP(alpha*(2*OldTau+b*psi)))^2)*(alpha^2)*(psi^2))</f>
        <v>7.79738394124496E-066</v>
      </c>
      <c r="H37" s="5" t="n">
        <f aca="false">-Beta/alpha</f>
        <v>180</v>
      </c>
      <c r="I37" s="5" t="n">
        <f aca="false">(-EXP(alpha*zeta)*Beta*(-1+EXP(alpha*Size*psi)-Size*alpha*psi))/((alpha^3)*(psi^2))</f>
        <v>348412.752595584</v>
      </c>
      <c r="J37" s="5" t="n">
        <v>0</v>
      </c>
      <c r="K37" s="5" t="n">
        <v>0</v>
      </c>
      <c r="L37" s="5" t="n">
        <f aca="false">kappa</f>
        <v>90</v>
      </c>
      <c r="M37" s="5" t="n">
        <f aca="false">Gamma*Size</f>
        <v>0</v>
      </c>
      <c r="N37" s="5" t="n">
        <f aca="false">Size*Beta*Phi</f>
        <v>3240</v>
      </c>
      <c r="O37" s="5" t="n">
        <f aca="false">-(EXP(alpha*a*psi)+EXP(alpha*b*psi)*(-1+Size*psi*alpha))*(Beta*Phi)/((alpha*psi)*(EXP(alpha*a*psi)-EXP(alpha*b*psi)))</f>
        <v>21.6</v>
      </c>
      <c r="P37" s="5" t="n">
        <f aca="false">(EXP(alpha*(zeta-a*psi))*Beta*Phi*(-EXP(alpha*a*psi)*(-2+(-1)*Size*alpha*psi)+EXP(alpha*b*psi)*(-2+Size*alpha*psi)))/((alpha^3)*(psi^3))</f>
        <v>41528.9294368965</v>
      </c>
      <c r="Q37" s="5" t="n">
        <f aca="false">Tau*Beta</f>
        <v>111.648051993952</v>
      </c>
      <c r="R37" s="5" t="n">
        <f aca="false">Tau*Beta</f>
        <v>111.648051993952</v>
      </c>
      <c r="S37" s="6" t="n">
        <f aca="false">Tau</f>
        <v>0.620266955521955</v>
      </c>
      <c r="T37" s="5" t="n">
        <f aca="false">Profit+Utility</f>
        <v>308146.819616407</v>
      </c>
      <c r="U37" s="5" t="n">
        <f aca="false">(2*ij*BRIJ)+2*jj*BRJJ</f>
        <v>838.99501930821</v>
      </c>
      <c r="V37" s="5" t="n">
        <f aca="false">2*(ij*BCCIJ)+(2*jj*BCCJJ)+BCS+jj*BCPTJJ+2*(ij*BCPTIJ)+BCPTII+BCk</f>
        <v>41781.2456806053</v>
      </c>
      <c r="W37" s="5" t="n">
        <f aca="false">ij*BUTIJ+BUTII</f>
        <v>349089.070277704</v>
      </c>
      <c r="X37" s="5" t="n">
        <f aca="false">Revenue-Cost</f>
        <v>-40942.2506612971</v>
      </c>
      <c r="Y37" s="5" t="n">
        <f aca="false">Size</f>
        <v>1000</v>
      </c>
      <c r="Z37" s="6" t="n">
        <f aca="false">Welfare/(Size)</f>
        <v>308.146819616407</v>
      </c>
      <c r="AA37" s="6" t="n">
        <f aca="false">Profit/(Size)</f>
        <v>-40.942250661297</v>
      </c>
      <c r="AB37" s="6" t="n">
        <f aca="false">Utility/(Size)</f>
        <v>349.089070277704</v>
      </c>
      <c r="AD37" s="4" t="n">
        <f aca="false">(EXP(alpha*(zeta-2*a*psi))*((EXP(alpha*a*psi)-EXP(alpha*b*psi))^2))/((EXP(alpha*a*psi)-EXP(alpha*(b*psi)))*(alpha^2)*(psi^2))</f>
        <v>12.9907812302604</v>
      </c>
      <c r="AE37" s="4" t="n">
        <f aca="false">(EXP(alpha*(zeta+(2*b-a)*psi))*(-1+EXP(alpha*(-1)*Size*psi))*(EXP(alpha*(a*psi))-EXP(alpha*(b*psi))))/(((EXP(alpha*a*psi)-EXP(alpha*(b*psi)))^2)*(alpha^2)*(psi^2))</f>
        <v>9.32101020934996E-065</v>
      </c>
      <c r="AF37" s="5" t="n">
        <f aca="false">BCS+Taxjj*BCPTJJ+2*(Taxij*BCPTIJ)+BCPTII</f>
        <v>42090.1311860438</v>
      </c>
      <c r="AG37" s="5" t="n">
        <f aca="false">Taxij*BUTIJ+BUTII</f>
        <v>350751.093217031</v>
      </c>
      <c r="AH37" s="2" t="n">
        <f aca="false">TaxCost+TaxUtility</f>
        <v>392841.224403075</v>
      </c>
      <c r="AI37" s="2" t="n">
        <f aca="false">TaxWelfare/Size</f>
        <v>392.841224403075</v>
      </c>
    </row>
    <row r="38" customFormat="false" ht="13" hidden="false" customHeight="false" outlineLevel="0" collapsed="false">
      <c r="F38" s="4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6"/>
      <c r="T38" s="5"/>
      <c r="U38" s="5"/>
      <c r="V38" s="5"/>
      <c r="W38" s="5"/>
      <c r="X38" s="5"/>
      <c r="Y38" s="5"/>
      <c r="Z38" s="6"/>
      <c r="AA38" s="6"/>
      <c r="AB38" s="6"/>
      <c r="AD38" s="4"/>
      <c r="AE38" s="4"/>
      <c r="AF38" s="5"/>
      <c r="AG38" s="5"/>
    </row>
    <row r="39" customFormat="false" ht="13" hidden="false" customHeight="false" outlineLevel="0" collapsed="false">
      <c r="A39" s="8" t="s">
        <v>154</v>
      </c>
    </row>
    <row r="40" customFormat="false" ht="13" hidden="false" customHeight="false" outlineLevel="0" collapsed="false">
      <c r="A40" s="2" t="s">
        <v>13</v>
      </c>
      <c r="B40" s="2" t="s">
        <v>14</v>
      </c>
      <c r="C40" s="2" t="s">
        <v>15</v>
      </c>
      <c r="D40" s="2" t="s">
        <v>16</v>
      </c>
      <c r="E40" s="2" t="s">
        <v>17</v>
      </c>
      <c r="F40" s="3" t="s">
        <v>18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27</v>
      </c>
      <c r="P40" s="2" t="s">
        <v>28</v>
      </c>
      <c r="Q40" s="2" t="s">
        <v>29</v>
      </c>
      <c r="R40" s="2" t="s">
        <v>30</v>
      </c>
      <c r="S40" s="2" t="s">
        <v>31</v>
      </c>
      <c r="T40" s="2" t="s">
        <v>32</v>
      </c>
      <c r="U40" s="2" t="s">
        <v>33</v>
      </c>
      <c r="V40" s="2" t="s">
        <v>34</v>
      </c>
      <c r="W40" s="2" t="s">
        <v>35</v>
      </c>
      <c r="X40" s="2" t="s">
        <v>36</v>
      </c>
      <c r="Y40" s="2" t="s">
        <v>37</v>
      </c>
      <c r="Z40" s="2" t="s">
        <v>38</v>
      </c>
      <c r="AA40" s="2" t="s">
        <v>39</v>
      </c>
      <c r="AB40" s="2" t="s">
        <v>40</v>
      </c>
      <c r="AF40" s="2" t="s">
        <v>148</v>
      </c>
      <c r="AG40" s="2" t="s">
        <v>149</v>
      </c>
      <c r="AH40" s="2" t="s">
        <v>150</v>
      </c>
      <c r="AI40" s="2" t="s">
        <v>151</v>
      </c>
    </row>
    <row r="41" customFormat="false" ht="13" hidden="false" customHeight="false" outlineLevel="0" collapsed="false">
      <c r="A41" s="2" t="n">
        <v>0.508970671803305</v>
      </c>
      <c r="B41" s="2" t="n">
        <v>0.508970671803305</v>
      </c>
      <c r="C41" s="2" t="n">
        <v>1</v>
      </c>
      <c r="D41" s="2" t="n">
        <v>0</v>
      </c>
      <c r="E41" s="2" t="n">
        <f aca="false">Size-a</f>
        <v>1</v>
      </c>
      <c r="F41" s="4" t="n">
        <f aca="false">(EXP(alpha*(Tau+OldTau+zeta-2*a*psi))*((EXP(alpha*a*psi)-EXP(alpha*b*psi))^2))/((EXP(alpha*a*psi)-EXP(alpha*(2*OldTau+b*psi)))*(alpha^2)*(psi^2))</f>
        <v>0.132186272279465</v>
      </c>
      <c r="G41" s="4" t="n">
        <f aca="false">(EXP(alpha*(zeta+(2*b-a)*psi))*(-1+EXP(alpha*(-1)*Size*psi))*(EXP(alpha*(2*(Tau+OldTau)+a*psi))-EXP(alpha*(2*(Tau+OldTau)+b*psi))))/(((EXP(alpha*a*psi)-EXP(alpha*(2*OldTau+b*psi)))^2)*(alpha^2)*(psi^2))</f>
        <v>0.0596679028675795</v>
      </c>
      <c r="H41" s="5" t="n">
        <f aca="false">-Beta/alpha</f>
        <v>180</v>
      </c>
      <c r="I41" s="5" t="n">
        <f aca="false">(-EXP(alpha*zeta)*Beta*(-1+EXP(alpha*Size*psi)-Size*alpha*psi))/((alpha^3)*(psi^2))</f>
        <v>25.0388962482082</v>
      </c>
      <c r="J41" s="5" t="n">
        <v>0</v>
      </c>
      <c r="K41" s="5" t="n">
        <v>0</v>
      </c>
      <c r="L41" s="5" t="n">
        <v>45</v>
      </c>
      <c r="M41" s="5" t="n">
        <f aca="false">Gamma*Size</f>
        <v>0</v>
      </c>
      <c r="N41" s="5" t="n">
        <f aca="false">Size*Beta*Phi</f>
        <v>3.24</v>
      </c>
      <c r="O41" s="5" t="n">
        <f aca="false">-(EXP(alpha*a*psi)+EXP(alpha*b*psi)*(-1+Size*psi*alpha))*(Beta*Phi)/((alpha*psi)*(EXP(alpha*a*psi)-EXP(alpha*b*psi)))</f>
        <v>1.57951517936842</v>
      </c>
      <c r="P41" s="5" t="n">
        <f aca="false">(EXP(alpha*(zeta-a*psi))*Beta*Phi*(-EXP(alpha*a*psi)*(-2+(-1)*Size*alpha*psi)+EXP(alpha*b*psi)*(-2+Size*alpha*psi)))/((alpha^3)*(psi^3))</f>
        <v>0.146515554131081</v>
      </c>
      <c r="Q41" s="5" t="n">
        <f aca="false">Tau*Beta</f>
        <v>91.6147209245949</v>
      </c>
      <c r="R41" s="5" t="n">
        <f aca="false">Tau*Beta</f>
        <v>91.6147209245949</v>
      </c>
      <c r="S41" s="6" t="n">
        <f aca="false">Tau</f>
        <v>0.508970671803305</v>
      </c>
      <c r="T41" s="5" t="n">
        <f aca="false">Profit+Utility</f>
        <v>38.2283386805805</v>
      </c>
      <c r="U41" s="5" t="n">
        <f aca="false">(2*ij*BRIJ)+2*jj*BRJJ</f>
        <v>35.1533334286297</v>
      </c>
      <c r="V41" s="5" t="n">
        <f aca="false">2*(ij*BCCIJ)+(2*jj*BCCJJ)+BCS+jj*BCPTJJ+2*(ij*BCPTIJ)+BCPTII+BCk</f>
        <v>45.7574200065611</v>
      </c>
      <c r="W41" s="5" t="n">
        <f aca="false">ij*BUTIJ+BUTII</f>
        <v>48.8324252585119</v>
      </c>
      <c r="X41" s="5" t="n">
        <f aca="false">Revenue-Cost</f>
        <v>-10.6040865779314</v>
      </c>
      <c r="Y41" s="5" t="n">
        <f aca="false">Size</f>
        <v>1</v>
      </c>
      <c r="Z41" s="6" t="n">
        <f aca="false">Welfare/(Size)</f>
        <v>38.2283386805805</v>
      </c>
      <c r="AA41" s="6" t="n">
        <f aca="false">Profit/(Size)</f>
        <v>-10.6040865779314</v>
      </c>
      <c r="AB41" s="6" t="n">
        <f aca="false">Utility/(Size)</f>
        <v>48.8324252585119</v>
      </c>
      <c r="AD41" s="4" t="n">
        <f aca="false">(EXP(alpha*(zeta-2*a*psi))*((EXP(alpha*a*psi)-EXP(alpha*b*psi))^2))/((EXP(alpha*a*psi)-EXP(alpha*(b*psi)))*(alpha^2)*(psi^2))</f>
        <v>1.80951220538235</v>
      </c>
      <c r="AE41" s="4" t="n">
        <f aca="false">(EXP(alpha*(zeta+(2*b-a)*psi))*(-1+EXP(alpha*(-1)*Size*psi))*(EXP(alpha*(a*psi))-EXP(alpha*(b*psi))))/(((EXP(alpha*a*psi)-EXP(alpha*(b*psi)))^2)*(alpha^2)*(psi^2))</f>
        <v>11.1812690248781</v>
      </c>
      <c r="AF41" s="5" t="n">
        <f aca="false">BCS+Taxjj*BCPTJJ+2*(Taxij*BCPTIJ)+BCPTII</f>
        <v>42.0901311860437</v>
      </c>
      <c r="AG41" s="5" t="n">
        <f aca="false">Taxij*BUTIJ+BUTII</f>
        <v>350.751093217031</v>
      </c>
      <c r="AH41" s="2" t="n">
        <f aca="false">TaxCost+TaxUtility</f>
        <v>392.841224403075</v>
      </c>
      <c r="AI41" s="2" t="n">
        <f aca="false">TaxWelfare/Size</f>
        <v>392.841224403075</v>
      </c>
    </row>
    <row r="42" customFormat="false" ht="13" hidden="false" customHeight="false" outlineLevel="0" collapsed="false">
      <c r="A42" s="2" t="n">
        <v>0.51777780362187</v>
      </c>
      <c r="B42" s="2" t="n">
        <v>0.51777780362187</v>
      </c>
      <c r="C42" s="2" t="n">
        <v>2</v>
      </c>
      <c r="D42" s="2" t="n">
        <v>0</v>
      </c>
      <c r="E42" s="2" t="n">
        <f aca="false">Size-a</f>
        <v>2</v>
      </c>
      <c r="F42" s="4" t="n">
        <f aca="false">(EXP(alpha*(Tau+OldTau+zeta-2*a*psi))*((EXP(alpha*a*psi)-EXP(alpha*b*psi))^2))/((EXP(alpha*a*psi)-EXP(alpha*(2*OldTau+b*psi)))*(alpha^2)*(psi^2))</f>
        <v>0.420385475745346</v>
      </c>
      <c r="G42" s="4" t="n">
        <f aca="false">(EXP(alpha*(zeta+(2*b-a)*psi))*(-1+EXP(alpha*(-1)*Size*psi))*(EXP(alpha*(2*(Tau+OldTau)+a*psi))-EXP(alpha*(2*(Tau+OldTau)+b*psi))))/(((EXP(alpha*a*psi)-EXP(alpha*(2*OldTau+b*psi)))^2)*(alpha^2)*(psi^2))</f>
        <v>0.150024731380738</v>
      </c>
      <c r="H42" s="5" t="n">
        <f aca="false">-Beta/alpha</f>
        <v>180</v>
      </c>
      <c r="I42" s="5" t="n">
        <f aca="false">(-EXP(alpha*zeta)*Beta*(-1+EXP(alpha*Size*psi)-Size*alpha*psi))/((alpha^3)*(psi^2))</f>
        <v>95.4469035152439</v>
      </c>
      <c r="J42" s="5" t="n">
        <v>0</v>
      </c>
      <c r="K42" s="5" t="n">
        <v>0</v>
      </c>
      <c r="L42" s="5" t="n">
        <v>45</v>
      </c>
      <c r="M42" s="5" t="n">
        <f aca="false">Gamma*Size</f>
        <v>0</v>
      </c>
      <c r="N42" s="5" t="n">
        <f aca="false">Size*Beta*Phi</f>
        <v>6.48</v>
      </c>
      <c r="O42" s="5" t="n">
        <f aca="false">-(EXP(alpha*a*psi)+EXP(alpha*b*psi)*(-1+Size*psi*alpha))*(Beta*Phi)/((alpha*psi)*(EXP(alpha*a*psi)-EXP(alpha*b*psi)))</f>
        <v>3.07824248045466</v>
      </c>
      <c r="P42" s="5" t="n">
        <f aca="false">(EXP(alpha*(zeta-a*psi))*Beta*Phi*(-EXP(alpha*a*psi)*(-2+(-1)*Size*alpha*psi)+EXP(alpha*b*psi)*(-2+Size*alpha*psi)))/((alpha^3)*(psi^3))</f>
        <v>1.08926665858103</v>
      </c>
      <c r="Q42" s="5" t="n">
        <f aca="false">Tau*Beta</f>
        <v>93.2000046519366</v>
      </c>
      <c r="R42" s="5" t="n">
        <f aca="false">Tau*Beta</f>
        <v>93.2000046519366</v>
      </c>
      <c r="S42" s="6" t="n">
        <f aca="false">Tau</f>
        <v>0.51777780362187</v>
      </c>
      <c r="T42" s="5" t="n">
        <f aca="false">Profit+Utility</f>
        <v>227.791233287593</v>
      </c>
      <c r="U42" s="5" t="n">
        <f aca="false">(2*ij*BRIJ)+2*jj*BRJJ</f>
        <v>106.324467915326</v>
      </c>
      <c r="V42" s="5" t="n">
        <f aca="false">2*(ij*BCCIJ)+(2*jj*BCCJJ)+BCS+jj*BCPTJJ+2*(ij*BCPTIJ)+BCPTII+BCk</f>
        <v>49.6495237771392</v>
      </c>
      <c r="W42" s="5" t="n">
        <f aca="false">ij*BUTIJ+BUTII</f>
        <v>171.116289149406</v>
      </c>
      <c r="X42" s="5" t="n">
        <f aca="false">Revenue-Cost</f>
        <v>56.6749441381872</v>
      </c>
      <c r="Y42" s="5" t="n">
        <f aca="false">Size</f>
        <v>2</v>
      </c>
      <c r="Z42" s="6" t="n">
        <f aca="false">Welfare/(Size)</f>
        <v>113.895616643797</v>
      </c>
      <c r="AA42" s="6" t="n">
        <f aca="false">Profit/(Size)</f>
        <v>28.3374720690936</v>
      </c>
      <c r="AB42" s="6" t="n">
        <f aca="false">Utility/(Size)</f>
        <v>85.5581445747031</v>
      </c>
      <c r="AD42" s="4" t="n">
        <f aca="false">(EXP(alpha*(zeta-2*a*psi))*((EXP(alpha*a*psi)-EXP(alpha*b*psi))^2))/((EXP(alpha*a*psi)-EXP(alpha*(b*psi)))*(alpha^2)*(psi^2))</f>
        <v>3.36697379399344</v>
      </c>
      <c r="AE42" s="4" t="n">
        <f aca="false">(EXP(alpha*(zeta+(2*b-a)*psi))*(-1+EXP(alpha*(-1)*Size*psi))*(EXP(alpha*(a*psi))-EXP(alpha*(b*psi))))/(((EXP(alpha*a*psi)-EXP(alpha*(b*psi)))^2)*(alpha^2)*(psi^2))</f>
        <v>9.62380743626698</v>
      </c>
      <c r="AF42" s="5" t="n">
        <f aca="false">BCS+Taxjj*BCPTJJ+2*(Taxij*BCPTIJ)+BCPTII</f>
        <v>84.1802623720875</v>
      </c>
      <c r="AG42" s="5" t="n">
        <f aca="false">Taxij*BUTIJ+BUTII</f>
        <v>701.502186434063</v>
      </c>
      <c r="AH42" s="2" t="n">
        <f aca="false">TaxCost+TaxUtility</f>
        <v>785.68244880615</v>
      </c>
      <c r="AI42" s="2" t="n">
        <f aca="false">TaxWelfare/Size</f>
        <v>392.841224403075</v>
      </c>
    </row>
    <row r="43" customFormat="false" ht="13" hidden="false" customHeight="false" outlineLevel="0" collapsed="false">
      <c r="A43" s="2" t="n">
        <v>0.542111557376068</v>
      </c>
      <c r="B43" s="2" t="n">
        <v>0.542111557376068</v>
      </c>
      <c r="C43" s="2" t="n">
        <v>5</v>
      </c>
      <c r="D43" s="2" t="n">
        <v>0</v>
      </c>
      <c r="E43" s="2" t="n">
        <f aca="false">Size-a</f>
        <v>5</v>
      </c>
      <c r="F43" s="4" t="n">
        <f aca="false">(EXP(alpha*(Tau+OldTau+zeta-2*a*psi))*((EXP(alpha*a*psi)-EXP(alpha*b*psi))^2))/((EXP(alpha*a*psi)-EXP(alpha*(2*OldTau+b*psi)))*(alpha^2)*(psi^2))</f>
        <v>1.45550209268696</v>
      </c>
      <c r="G43" s="4" t="n">
        <f aca="false">(EXP(alpha*(zeta+(2*b-a)*psi))*(-1+EXP(alpha*(-1)*Size*psi))*(EXP(alpha*(2*(Tau+OldTau)+a*psi))-EXP(alpha*(2*(Tau+OldTau)+b*psi))))/(((EXP(alpha*a*psi)-EXP(alpha*(2*OldTau+b*psi)))^2)*(alpha^2)*(psi^2))</f>
        <v>0.276697287373974</v>
      </c>
      <c r="H43" s="5" t="n">
        <f aca="false">-Beta/alpha</f>
        <v>180</v>
      </c>
      <c r="I43" s="5" t="n">
        <f aca="false">(-EXP(alpha*zeta)*Beta*(-1+EXP(alpha*Size*psi)-Size*alpha*psi))/((alpha^3)*(psi^2))</f>
        <v>519.968743125424</v>
      </c>
      <c r="J43" s="5" t="n">
        <v>0</v>
      </c>
      <c r="K43" s="5" t="n">
        <v>0</v>
      </c>
      <c r="L43" s="5" t="n">
        <v>45</v>
      </c>
      <c r="M43" s="5" t="n">
        <f aca="false">Gamma*Size</f>
        <v>0</v>
      </c>
      <c r="N43" s="5" t="n">
        <f aca="false">Size*Beta*Phi</f>
        <v>16.2</v>
      </c>
      <c r="O43" s="5" t="n">
        <f aca="false">-(EXP(alpha*a*psi)+EXP(alpha*b*psi)*(-1+Size*psi*alpha))*(Beta*Phi)/((alpha*psi)*(EXP(alpha*a*psi)-EXP(alpha*b*psi)))</f>
        <v>7.09686682268204</v>
      </c>
      <c r="P43" s="5" t="n">
        <f aca="false">(EXP(alpha*(zeta-a*psi))*Beta*Phi*(-EXP(alpha*a*psi)*(-2+(-1)*Size*alpha*psi)+EXP(alpha*b*psi)*(-2+Size*alpha*psi)))/((alpha^3)*(psi^3))</f>
        <v>13.7516932837258</v>
      </c>
      <c r="Q43" s="5" t="n">
        <f aca="false">Tau*Beta</f>
        <v>97.5800803276923</v>
      </c>
      <c r="R43" s="5" t="n">
        <f aca="false">Tau*Beta</f>
        <v>97.5800803276923</v>
      </c>
      <c r="S43" s="6" t="n">
        <f aca="false">Tau</f>
        <v>0.542111557376068</v>
      </c>
      <c r="T43" s="5" t="n">
        <f aca="false">Profit+Utility</f>
        <v>1036.12223074587</v>
      </c>
      <c r="U43" s="5" t="n">
        <f aca="false">(2*ij*BRIJ)+2*jj*BRJJ</f>
        <v>338.05630929985</v>
      </c>
      <c r="V43" s="5" t="n">
        <f aca="false">2*(ij*BCCIJ)+(2*jj*BCCJJ)+BCS+jj*BCPTJJ+2*(ij*BCPTIJ)+BCPTII+BCk</f>
        <v>83.8931983630529</v>
      </c>
      <c r="W43" s="5" t="n">
        <f aca="false">ij*BUTIJ+BUTII</f>
        <v>781.959119809077</v>
      </c>
      <c r="X43" s="5" t="n">
        <f aca="false">Revenue-Cost</f>
        <v>254.163110936797</v>
      </c>
      <c r="Y43" s="5" t="n">
        <f aca="false">Size</f>
        <v>5</v>
      </c>
      <c r="Z43" s="6" t="n">
        <f aca="false">Welfare/(Size)</f>
        <v>207.224446149175</v>
      </c>
      <c r="AA43" s="6" t="n">
        <f aca="false">Profit/(Size)</f>
        <v>50.8326221873595</v>
      </c>
      <c r="AB43" s="6" t="n">
        <f aca="false">Utility/(Size)</f>
        <v>156.391823961815</v>
      </c>
      <c r="AD43" s="4" t="n">
        <f aca="false">(EXP(alpha*(zeta-2*a*psi))*((EXP(alpha*a*psi)-EXP(alpha*b*psi))^2))/((EXP(alpha*a*psi)-EXP(alpha*(b*psi)))*(alpha^2)*(psi^2))</f>
        <v>6.85437068310963</v>
      </c>
      <c r="AE43" s="4" t="n">
        <f aca="false">(EXP(alpha*(zeta+(2*b-a)*psi))*(-1+EXP(alpha*(-1)*Size*psi))*(EXP(alpha*(a*psi))-EXP(alpha*(b*psi))))/(((EXP(alpha*a*psi)-EXP(alpha*(b*psi)))^2)*(alpha^2)*(psi^2))</f>
        <v>6.13641054715079</v>
      </c>
      <c r="AF43" s="5" t="n">
        <f aca="false">BCS+Taxjj*BCPTJJ+2*(Taxij*BCPTIJ)+BCPTII</f>
        <v>210.450655930219</v>
      </c>
      <c r="AG43" s="5" t="n">
        <f aca="false">Taxij*BUTIJ+BUTII</f>
        <v>1753.75546608516</v>
      </c>
      <c r="AH43" s="2" t="n">
        <f aca="false">TaxCost+TaxUtility</f>
        <v>1964.20612201538</v>
      </c>
      <c r="AI43" s="2" t="n">
        <f aca="false">TaxWelfare/Size</f>
        <v>392.841224403075</v>
      </c>
    </row>
    <row r="44" customFormat="false" ht="13" hidden="false" customHeight="false" outlineLevel="0" collapsed="false">
      <c r="A44" s="2" t="n">
        <v>0.5733111627054</v>
      </c>
      <c r="B44" s="2" t="n">
        <v>0.5733111627054</v>
      </c>
      <c r="C44" s="2" t="n">
        <v>10</v>
      </c>
      <c r="D44" s="2" t="n">
        <v>0</v>
      </c>
      <c r="E44" s="2" t="n">
        <f aca="false">Size-a</f>
        <v>10</v>
      </c>
      <c r="F44" s="4" t="n">
        <f aca="false">(EXP(alpha*(Tau+OldTau+zeta-2*a*psi))*((EXP(alpha*a*psi)-EXP(alpha*b*psi))^2))/((EXP(alpha*a*psi)-EXP(alpha*(2*OldTau+b*psi)))*(alpha^2)*(psi^2))</f>
        <v>2.6809766223581</v>
      </c>
      <c r="G44" s="4" t="n">
        <f aca="false">(EXP(alpha*(zeta+(2*b-a)*psi))*(-1+EXP(alpha*(-1)*Size*psi))*(EXP(alpha*(2*(Tau+OldTau)+a*psi))-EXP(alpha*(2*(Tau+OldTau)+b*psi))))/(((EXP(alpha*a*psi)-EXP(alpha*(2*OldTau+b*psi)))^2)*(alpha^2)*(psi^2))</f>
        <v>0.204556149197481</v>
      </c>
      <c r="H44" s="5" t="n">
        <f aca="false">-Beta/alpha</f>
        <v>180</v>
      </c>
      <c r="I44" s="5" t="n">
        <f aca="false">(-EXP(alpha*zeta)*Beta*(-1+EXP(alpha*Size*psi)-Size*alpha*psi))/((alpha^3)*(psi^2))</f>
        <v>1690.92462806846</v>
      </c>
      <c r="J44" s="5" t="n">
        <v>0</v>
      </c>
      <c r="K44" s="5" t="n">
        <v>0</v>
      </c>
      <c r="L44" s="5" t="n">
        <v>45</v>
      </c>
      <c r="M44" s="5" t="n">
        <f aca="false">Gamma*Size</f>
        <v>0</v>
      </c>
      <c r="N44" s="5" t="n">
        <f aca="false">Size*Beta*Phi</f>
        <v>32.4</v>
      </c>
      <c r="O44" s="5" t="n">
        <f aca="false">-(EXP(alpha*a*psi)+EXP(alpha*b*psi)*(-1+Size*psi*alpha))*(Beta*Phi)/((alpha*psi)*(EXP(alpha*a*psi)-EXP(alpha*b*psi)))</f>
        <v>12.2941718960407</v>
      </c>
      <c r="P44" s="5" t="n">
        <f aca="false">(EXP(alpha*(zeta-a*psi))*Beta*Phi*(-EXP(alpha*a*psi)*(-2+(-1)*Size*alpha*psi)+EXP(alpha*b*psi)*(-2+Size*alpha*psi)))/((alpha^3)*(psi^3))</f>
        <v>78.836375998096</v>
      </c>
      <c r="Q44" s="5" t="n">
        <f aca="false">Tau*Beta</f>
        <v>103.196009286972</v>
      </c>
      <c r="R44" s="5" t="n">
        <f aca="false">Tau*Beta</f>
        <v>103.196009286972</v>
      </c>
      <c r="S44" s="6" t="n">
        <f aca="false">Tau</f>
        <v>0.5733111627054</v>
      </c>
      <c r="T44" s="5" t="n">
        <f aca="false">Profit+Utility</f>
        <v>2572.66658335437</v>
      </c>
      <c r="U44" s="5" t="n">
        <f aca="false">(2*ij*BRIJ)+2*jj*BRJJ</f>
        <v>595.550933382624</v>
      </c>
      <c r="V44" s="5" t="n">
        <f aca="false">2*(ij*BCCIJ)+(2*jj*BCCJJ)+BCS+jj*BCPTJJ+2*(ij*BCPTIJ)+BCPTII+BCk</f>
        <v>196.384770121168</v>
      </c>
      <c r="W44" s="5" t="n">
        <f aca="false">ij*BUTIJ+BUTII</f>
        <v>2173.50042009292</v>
      </c>
      <c r="X44" s="5" t="n">
        <f aca="false">Revenue-Cost</f>
        <v>399.166163261456</v>
      </c>
      <c r="Y44" s="5" t="n">
        <f aca="false">Size</f>
        <v>10</v>
      </c>
      <c r="Z44" s="6" t="n">
        <f aca="false">Welfare/(Size)</f>
        <v>257.266658335437</v>
      </c>
      <c r="AA44" s="6" t="n">
        <f aca="false">Profit/(Size)</f>
        <v>39.9166163261456</v>
      </c>
      <c r="AB44" s="6" t="n">
        <f aca="false">Utility/(Size)</f>
        <v>217.350042009292</v>
      </c>
      <c r="AD44" s="4" t="n">
        <f aca="false">(EXP(alpha*(zeta-2*a*psi))*((EXP(alpha*a*psi)-EXP(alpha*b*psi))^2))/((EXP(alpha*a*psi)-EXP(alpha*(b*psi)))*(alpha^2)*(psi^2))</f>
        <v>10.0921461338992</v>
      </c>
      <c r="AE44" s="4" t="n">
        <f aca="false">(EXP(alpha*(zeta+(2*b-a)*psi))*(-1+EXP(alpha*(-1)*Size*psi))*(EXP(alpha*(a*psi))-EXP(alpha*(b*psi))))/(((EXP(alpha*a*psi)-EXP(alpha*(b*psi)))^2)*(alpha^2)*(psi^2))</f>
        <v>2.89863509636122</v>
      </c>
      <c r="AF44" s="5" t="n">
        <f aca="false">BCS+Taxjj*BCPTJJ+2*(Taxij*BCPTIJ)+BCPTII</f>
        <v>420.901311860438</v>
      </c>
      <c r="AG44" s="5" t="n">
        <f aca="false">Taxij*BUTIJ+BUTII</f>
        <v>3507.51093217031</v>
      </c>
      <c r="AH44" s="2" t="n">
        <f aca="false">TaxCost+TaxUtility</f>
        <v>3928.41224403075</v>
      </c>
      <c r="AI44" s="2" t="n">
        <f aca="false">TaxWelfare/Size</f>
        <v>392.841224403075</v>
      </c>
    </row>
    <row r="45" customFormat="false" ht="13" hidden="false" customHeight="false" outlineLevel="0" collapsed="false">
      <c r="A45" s="2" t="n">
        <v>0.605025103072618</v>
      </c>
      <c r="B45" s="2" t="n">
        <v>0.605025103072618</v>
      </c>
      <c r="C45" s="2" t="n">
        <v>20</v>
      </c>
      <c r="D45" s="2" t="n">
        <v>0</v>
      </c>
      <c r="E45" s="2" t="n">
        <f aca="false">Size-a</f>
        <v>20</v>
      </c>
      <c r="F45" s="4" t="n">
        <f aca="false">(EXP(alpha*(Tau+OldTau+zeta-2*a*psi))*((EXP(alpha*a*psi)-EXP(alpha*b*psi))^2))/((EXP(alpha*a*psi)-EXP(alpha*(2*OldTau+b*psi)))*(alpha^2)*(psi^2))</f>
        <v>3.55021556397565</v>
      </c>
      <c r="G45" s="4" t="n">
        <f aca="false">(EXP(alpha*(zeta+(2*b-a)*psi))*(-1+EXP(alpha*(-1)*Size*psi))*(EXP(alpha*(2*(Tau+OldTau)+a*psi))-EXP(alpha*(2*(Tau+OldTau)+b*psi))))/(((EXP(alpha*a*psi)-EXP(alpha*(2*OldTau+b*psi)))^2)*(alpha^2)*(psi^2))</f>
        <v>0.053499393579586</v>
      </c>
      <c r="H45" s="5" t="n">
        <f aca="false">-Beta/alpha</f>
        <v>180</v>
      </c>
      <c r="I45" s="5" t="n">
        <f aca="false">(-EXP(alpha*zeta)*Beta*(-1+EXP(alpha*Size*psi)-Size*alpha*psi))/((alpha^3)*(psi^2))</f>
        <v>4793.10036728108</v>
      </c>
      <c r="J45" s="5" t="n">
        <v>0</v>
      </c>
      <c r="K45" s="5" t="n">
        <v>0</v>
      </c>
      <c r="L45" s="5" t="n">
        <v>45</v>
      </c>
      <c r="M45" s="5" t="n">
        <f aca="false">Gamma*Size</f>
        <v>0</v>
      </c>
      <c r="N45" s="5" t="n">
        <f aca="false">Size*Beta*Phi</f>
        <v>64.8</v>
      </c>
      <c r="O45" s="5" t="n">
        <f aca="false">-(EXP(alpha*a*psi)+EXP(alpha*b*psi)*(-1+Size*psi*alpha))*(Beta*Phi)/((alpha*psi)*(EXP(alpha*a*psi)-EXP(alpha*b*psi)))</f>
        <v>18.2047588673666</v>
      </c>
      <c r="P45" s="5" t="n">
        <f aca="false">(EXP(alpha*(zeta-a*psi))*Beta*Phi*(-EXP(alpha*a*psi)*(-2+(-1)*Size*alpha*psi)+EXP(alpha*b*psi)*(-2+Size*alpha*psi)))/((alpha^3)*(psi^3))</f>
        <v>350.452349206022</v>
      </c>
      <c r="Q45" s="5" t="n">
        <f aca="false">Tau*Beta</f>
        <v>108.904518553071</v>
      </c>
      <c r="R45" s="5" t="n">
        <f aca="false">Tau*Beta</f>
        <v>108.904518553071</v>
      </c>
      <c r="S45" s="6" t="n">
        <f aca="false">Tau</f>
        <v>0.605025103072618</v>
      </c>
      <c r="T45" s="5" t="n">
        <f aca="false">Profit+Utility</f>
        <v>5688.88010725813</v>
      </c>
      <c r="U45" s="5" t="n">
        <f aca="false">(2*ij*BRIJ)+2*jj*BRJJ</f>
        <v>784.92168491011</v>
      </c>
      <c r="V45" s="5" t="n">
        <f aca="false">2*(ij*BCCIJ)+(2*jj*BCCJJ)+BCS+jj*BCPTJJ+2*(ij*BCPTIJ)+BCPTII+BCk</f>
        <v>528.180746448677</v>
      </c>
      <c r="W45" s="5" t="n">
        <f aca="false">ij*BUTIJ+BUTII</f>
        <v>5432.1391687967</v>
      </c>
      <c r="X45" s="5" t="n">
        <f aca="false">Revenue-Cost</f>
        <v>256.740938461433</v>
      </c>
      <c r="Y45" s="5" t="n">
        <f aca="false">Size</f>
        <v>20</v>
      </c>
      <c r="Z45" s="6" t="n">
        <f aca="false">Welfare/(Size)</f>
        <v>284.444005362907</v>
      </c>
      <c r="AA45" s="6" t="n">
        <f aca="false">Profit/(Size)</f>
        <v>12.8370469230716</v>
      </c>
      <c r="AB45" s="6" t="n">
        <f aca="false">Utility/(Size)</f>
        <v>271.606958439835</v>
      </c>
      <c r="AD45" s="4" t="n">
        <f aca="false">(EXP(alpha*(zeta-2*a*psi))*((EXP(alpha*a*psi)-EXP(alpha*b*psi))^2))/((EXP(alpha*a*psi)-EXP(alpha*(b*psi)))*(alpha^2)*(psi^2))</f>
        <v>12.3440083169975</v>
      </c>
      <c r="AE45" s="4" t="n">
        <f aca="false">(EXP(alpha*(zeta+(2*b-a)*psi))*(-1+EXP(alpha*(-1)*Size*psi))*(EXP(alpha*(a*psi))-EXP(alpha*(b*psi))))/(((EXP(alpha*a*psi)-EXP(alpha*(b*psi)))^2)*(alpha^2)*(psi^2))</f>
        <v>0.646772913262939</v>
      </c>
      <c r="AF45" s="5" t="n">
        <f aca="false">BCS+Taxjj*BCPTJJ+2*(Taxij*BCPTIJ)+BCPTII</f>
        <v>841.802623720875</v>
      </c>
      <c r="AG45" s="5" t="n">
        <f aca="false">Taxij*BUTIJ+BUTII</f>
        <v>7015.02186434063</v>
      </c>
      <c r="AH45" s="2" t="n">
        <f aca="false">TaxCost+TaxUtility</f>
        <v>7856.8244880615</v>
      </c>
      <c r="AI45" s="2" t="n">
        <f aca="false">TaxWelfare/Size</f>
        <v>392.841224403075</v>
      </c>
    </row>
    <row r="46" customFormat="false" ht="13" hidden="false" customHeight="false" outlineLevel="0" collapsed="false">
      <c r="A46" s="2" t="n">
        <v>0.61994062603419</v>
      </c>
      <c r="B46" s="2" t="n">
        <v>0.61994062603419</v>
      </c>
      <c r="C46" s="2" t="n">
        <v>50</v>
      </c>
      <c r="D46" s="2" t="n">
        <v>0</v>
      </c>
      <c r="E46" s="2" t="n">
        <f aca="false">Size-a</f>
        <v>50</v>
      </c>
      <c r="F46" s="4" t="n">
        <f aca="false">(EXP(alpha*(Tau+OldTau+zeta-2*a*psi))*((EXP(alpha*a*psi)-EXP(alpha*b*psi))^2))/((EXP(alpha*a*psi)-EXP(alpha*(2*OldTau+b*psi)))*(alpha^2)*(psi^2))</f>
        <v>3.75621698028367</v>
      </c>
      <c r="G46" s="4" t="n">
        <f aca="false">(EXP(alpha*(zeta+(2*b-a)*psi))*(-1+EXP(alpha*(-1)*Size*psi))*(EXP(alpha*(2*(Tau+OldTau)+a*psi))-EXP(alpha*(2*(Tau+OldTau)+b*psi))))/(((EXP(alpha*a*psi)-EXP(alpha*(2*OldTau+b*psi)))^2)*(alpha^2)*(psi^2))</f>
        <v>0.000601364788883812</v>
      </c>
      <c r="H46" s="5" t="n">
        <f aca="false">-Beta/alpha</f>
        <v>180</v>
      </c>
      <c r="I46" s="5" t="n">
        <f aca="false">(-EXP(alpha*zeta)*Beta*(-1+EXP(alpha*Size*psi)-Size*alpha*psi))/((alpha^3)*(psi^2))</f>
        <v>15200.5073390545</v>
      </c>
      <c r="J46" s="5" t="n">
        <v>0</v>
      </c>
      <c r="K46" s="5" t="n">
        <v>0</v>
      </c>
      <c r="L46" s="5" t="n">
        <v>45</v>
      </c>
      <c r="M46" s="5" t="n">
        <f aca="false">Gamma*Size</f>
        <v>0</v>
      </c>
      <c r="N46" s="5" t="n">
        <f aca="false">Size*Beta*Phi</f>
        <v>162</v>
      </c>
      <c r="O46" s="5" t="n">
        <f aca="false">-(EXP(alpha*a*psi)+EXP(alpha*b*psi)*(-1+Size*psi*alpha))*(Beta*Phi)/((alpha*psi)*(EXP(alpha*a*psi)-EXP(alpha*b*psi)))</f>
        <v>21.5103507484362</v>
      </c>
      <c r="P46" s="5" t="n">
        <f aca="false">(EXP(alpha*(zeta-a*psi))*Beta*Phi*(-EXP(alpha*a*psi)*(-2+(-1)*Size*alpha*psi)+EXP(alpha*b*psi)*(-2+Size*alpha*psi)))/((alpha^3)*(psi^3))</f>
        <v>1544.77917175571</v>
      </c>
      <c r="Q46" s="5" t="n">
        <f aca="false">Tau*Beta</f>
        <v>111.589312686154</v>
      </c>
      <c r="R46" s="5" t="n">
        <f aca="false">Tau*Beta</f>
        <v>111.589312686154</v>
      </c>
      <c r="S46" s="6" t="n">
        <f aca="false">Tau</f>
        <v>0.61994062603419</v>
      </c>
      <c r="T46" s="5" t="n">
        <f aca="false">Profit+Utility</f>
        <v>14963.5962672145</v>
      </c>
      <c r="U46" s="5" t="n">
        <f aca="false">(2*ij*BRIJ)+2*jj*BRJJ</f>
        <v>838.441554026763</v>
      </c>
      <c r="V46" s="5" t="n">
        <f aca="false">2*(ij*BCCIJ)+(2*jj*BCCJJ)+BCS+jj*BCPTJJ+2*(ij*BCPTIJ)+BCPTII+BCk</f>
        <v>1751.47168231778</v>
      </c>
      <c r="W46" s="5" t="n">
        <f aca="false">ij*BUTIJ+BUTII</f>
        <v>15876.6263955056</v>
      </c>
      <c r="X46" s="5" t="n">
        <f aca="false">Revenue-Cost</f>
        <v>-913.030128291018</v>
      </c>
      <c r="Y46" s="5" t="n">
        <f aca="false">Size</f>
        <v>50</v>
      </c>
      <c r="Z46" s="6" t="n">
        <f aca="false">Welfare/(Size)</f>
        <v>299.271925344291</v>
      </c>
      <c r="AA46" s="6" t="n">
        <f aca="false">Profit/(Size)</f>
        <v>-18.2606025658204</v>
      </c>
      <c r="AB46" s="6" t="n">
        <f aca="false">Utility/(Size)</f>
        <v>317.532527910111</v>
      </c>
      <c r="AD46" s="4" t="n">
        <f aca="false">(EXP(alpha*(zeta-2*a*psi))*((EXP(alpha*a*psi)-EXP(alpha*b*psi))^2))/((EXP(alpha*a*psi)-EXP(alpha*(b*psi)))*(alpha^2)*(psi^2))</f>
        <v>12.983596232206</v>
      </c>
      <c r="AE46" s="4" t="n">
        <f aca="false">(EXP(alpha*(zeta+(2*b-a)*psi))*(-1+EXP(alpha*(-1)*Size*psi))*(EXP(alpha*(a*psi))-EXP(alpha*(b*psi))))/(((EXP(alpha*a*psi)-EXP(alpha*(b*psi)))^2)*(alpha^2)*(psi^2))</f>
        <v>0.00718499805446688</v>
      </c>
      <c r="AF46" s="5" t="n">
        <f aca="false">BCS+Taxjj*BCPTJJ+2*(Taxij*BCPTIJ)+BCPTII</f>
        <v>2104.50655930219</v>
      </c>
      <c r="AG46" s="5" t="n">
        <f aca="false">Taxij*BUTIJ+BUTII</f>
        <v>17537.5546608516</v>
      </c>
      <c r="AH46" s="2" t="n">
        <f aca="false">TaxCost+TaxUtility</f>
        <v>19642.0612201538</v>
      </c>
      <c r="AI46" s="2" t="n">
        <f aca="false">TaxWelfare/Size</f>
        <v>392.841224403075</v>
      </c>
    </row>
    <row r="47" customFormat="false" ht="13" hidden="false" customHeight="false" outlineLevel="0" collapsed="false">
      <c r="A47" s="2" t="n">
        <v>0.620266630343817</v>
      </c>
      <c r="B47" s="2" t="n">
        <v>0.620266630343817</v>
      </c>
      <c r="C47" s="2" t="n">
        <v>100</v>
      </c>
      <c r="D47" s="2" t="n">
        <v>0</v>
      </c>
      <c r="E47" s="2" t="n">
        <f aca="false">Size-a</f>
        <v>100</v>
      </c>
      <c r="F47" s="4" t="n">
        <f aca="false">(EXP(alpha*(Tau+OldTau+zeta-2*a*psi))*((EXP(alpha*a*psi)-EXP(alpha*b*psi))^2))/((EXP(alpha*a*psi)-EXP(alpha*(2*OldTau+b*psi)))*(alpha^2)*(psi^2))</f>
        <v>3.75732093350468</v>
      </c>
      <c r="G47" s="4" t="n">
        <f aca="false">(EXP(alpha*(zeta+(2*b-a)*psi))*(-1+EXP(alpha*(-1)*Size*psi))*(EXP(alpha*(2*(Tau+OldTau)+a*psi))-EXP(alpha*(2*(Tau+OldTau)+b*psi))))/(((EXP(alpha*a*psi)-EXP(alpha*(2*OldTau+b*psi)))^2)*(alpha^2)*(psi^2))</f>
        <v>3.32433171023027E-007</v>
      </c>
      <c r="H47" s="5" t="n">
        <f aca="false">-Beta/alpha</f>
        <v>180</v>
      </c>
      <c r="I47" s="5" t="n">
        <f aca="false">(-EXP(alpha*zeta)*Beta*(-1+EXP(alpha*Size*psi)-Size*alpha*psi))/((alpha^3)*(psi^2))</f>
        <v>32736.7694155601</v>
      </c>
      <c r="J47" s="5" t="n">
        <v>0</v>
      </c>
      <c r="K47" s="5" t="n">
        <v>0</v>
      </c>
      <c r="L47" s="5" t="n">
        <v>45</v>
      </c>
      <c r="M47" s="5" t="n">
        <f aca="false">Gamma*Size</f>
        <v>0</v>
      </c>
      <c r="N47" s="5" t="n">
        <f aca="false">Size*Beta*Phi</f>
        <v>324</v>
      </c>
      <c r="O47" s="5" t="n">
        <f aca="false">-(EXP(alpha*a*psi)+EXP(alpha*b*psi)*(-1+Size*psi*alpha))*(Beta*Phi)/((alpha*psi)*(EXP(alpha*a*psi)-EXP(alpha*b*psi)))</f>
        <v>21.5999008876178</v>
      </c>
      <c r="P47" s="5" t="n">
        <f aca="false">(EXP(alpha*(zeta-a*psi))*Beta*Phi*(-EXP(alpha*a*psi)*(-2+(-1)*Size*alpha*psi)+EXP(alpha*b*psi)*(-2+Size*alpha*psi)))/((alpha^3)*(psi^3))</f>
        <v>3647.81282867692</v>
      </c>
      <c r="Q47" s="5" t="n">
        <f aca="false">Tau*Beta</f>
        <v>111.647993461887</v>
      </c>
      <c r="R47" s="5" t="n">
        <f aca="false">Tau*Beta</f>
        <v>111.647993461887</v>
      </c>
      <c r="S47" s="6" t="n">
        <f aca="false">Tau</f>
        <v>0.620266630343817</v>
      </c>
      <c r="T47" s="5" t="n">
        <f aca="false">Profit+Utility</f>
        <v>30396.9534879396</v>
      </c>
      <c r="U47" s="5" t="n">
        <f aca="false">(2*ij*BRIJ)+2*jj*BRJJ</f>
        <v>838.994760267276</v>
      </c>
      <c r="V47" s="5" t="n">
        <f aca="false">2*(ij*BCCIJ)+(2*jj*BCCJJ)+BCS+jj*BCPTJJ+2*(ij*BCPTIJ)+BCPTII+BCk</f>
        <v>3855.12845591862</v>
      </c>
      <c r="W47" s="5" t="n">
        <f aca="false">ij*BUTIJ+BUTII</f>
        <v>33413.0871835909</v>
      </c>
      <c r="X47" s="5" t="n">
        <f aca="false">Revenue-Cost</f>
        <v>-3016.13369565134</v>
      </c>
      <c r="Y47" s="5" t="n">
        <f aca="false">Size</f>
        <v>100</v>
      </c>
      <c r="Z47" s="6" t="n">
        <f aca="false">Welfare/(Size)</f>
        <v>303.969534879396</v>
      </c>
      <c r="AA47" s="6" t="n">
        <f aca="false">Profit/(Size)</f>
        <v>-30.1613369565134</v>
      </c>
      <c r="AB47" s="6" t="n">
        <f aca="false">Utility/(Size)</f>
        <v>334.130871835909</v>
      </c>
      <c r="AD47" s="4" t="n">
        <f aca="false">(EXP(alpha*(zeta-2*a*psi))*((EXP(alpha*a*psi)-EXP(alpha*b*psi))^2))/((EXP(alpha*a*psi)-EXP(alpha*(b*psi)))*(alpha^2)*(psi^2))</f>
        <v>12.9907772563503</v>
      </c>
      <c r="AE47" s="4" t="n">
        <f aca="false">(EXP(alpha*(zeta+(2*b-a)*psi))*(-1+EXP(alpha*(-1)*Size*psi))*(EXP(alpha*(a*psi))-EXP(alpha*(b*psi))))/(((EXP(alpha*a*psi)-EXP(alpha*(b*psi)))^2)*(alpha^2)*(psi^2))</f>
        <v>3.97391012346822E-006</v>
      </c>
      <c r="AF47" s="5" t="n">
        <f aca="false">BCS+Taxjj*BCPTJJ+2*(Taxij*BCPTIJ)+BCPTII</f>
        <v>4209.01311860438</v>
      </c>
      <c r="AG47" s="5" t="n">
        <f aca="false">Taxij*BUTIJ+BUTII</f>
        <v>35075.1093217031</v>
      </c>
      <c r="AH47" s="2" t="n">
        <f aca="false">TaxCost+TaxUtility</f>
        <v>39284.1224403075</v>
      </c>
      <c r="AI47" s="2" t="n">
        <f aca="false">TaxWelfare/Size</f>
        <v>392.841224403075</v>
      </c>
    </row>
    <row r="48" customFormat="false" ht="13" hidden="false" customHeight="false" outlineLevel="0" collapsed="false">
      <c r="A48" s="2" t="n">
        <v>0.620266955521894</v>
      </c>
      <c r="B48" s="2" t="n">
        <v>0.620266955521894</v>
      </c>
      <c r="C48" s="2" t="n">
        <v>200</v>
      </c>
      <c r="D48" s="2" t="n">
        <v>0</v>
      </c>
      <c r="E48" s="2" t="n">
        <f aca="false">Size-a</f>
        <v>200</v>
      </c>
      <c r="F48" s="4" t="n">
        <f aca="false">(EXP(alpha*(Tau+OldTau+zeta-2*a*psi))*((EXP(alpha*a*psi)-EXP(alpha*b*psi))^2))/((EXP(alpha*a*psi)-EXP(alpha*(2*OldTau+b*psi)))*(alpha^2)*(psi^2))</f>
        <v>3.75732045622089</v>
      </c>
      <c r="G48" s="4" t="n">
        <f aca="false">(EXP(alpha*(zeta+(2*b-a)*psi))*(-1+EXP(alpha*(-1)*Size*psi))*(EXP(alpha*(2*(Tau+OldTau)+a*psi))-EXP(alpha*(2*(Tau+OldTau)+b*psi))))/(((EXP(alpha*a*psi)-EXP(alpha*(2*OldTau+b*psi)))^2)*(alpha^2)*(psi^2))</f>
        <v>1.01691990376666E-013</v>
      </c>
      <c r="H48" s="5" t="n">
        <f aca="false">-Beta/alpha</f>
        <v>180</v>
      </c>
      <c r="I48" s="5" t="n">
        <f aca="false">(-EXP(alpha*zeta)*Beta*(-1+EXP(alpha*Size*psi)-Size*alpha*psi))/((alpha^3)*(psi^2))</f>
        <v>67811.8780219596</v>
      </c>
      <c r="J48" s="5" t="n">
        <v>0</v>
      </c>
      <c r="K48" s="5" t="n">
        <v>0</v>
      </c>
      <c r="L48" s="5" t="n">
        <v>45</v>
      </c>
      <c r="M48" s="5" t="n">
        <f aca="false">Gamma*Size</f>
        <v>0</v>
      </c>
      <c r="N48" s="5" t="n">
        <f aca="false">Size*Beta*Phi</f>
        <v>648</v>
      </c>
      <c r="O48" s="5" t="n">
        <f aca="false">-(EXP(alpha*a*psi)+EXP(alpha*b*psi)*(-1+Size*psi*alpha))*(Beta*Phi)/((alpha*psi)*(EXP(alpha*a*psi)-EXP(alpha*b*psi)))</f>
        <v>21.5999999999394</v>
      </c>
      <c r="P48" s="5" t="n">
        <f aca="false">(EXP(alpha*(zeta-a*psi))*Beta*Phi*(-EXP(alpha*a*psi)*(-2+(-1)*Size*alpha*psi)+EXP(alpha*b*psi)*(-2+Size*alpha*psi)))/((alpha^3)*(psi^3))</f>
        <v>7856.82448806234</v>
      </c>
      <c r="Q48" s="5" t="n">
        <f aca="false">Tau*Beta</f>
        <v>111.648051993941</v>
      </c>
      <c r="R48" s="5" t="n">
        <f aca="false">Tau*Beta</f>
        <v>111.648051993941</v>
      </c>
      <c r="S48" s="6" t="n">
        <f aca="false">Tau</f>
        <v>0.620266955521894</v>
      </c>
      <c r="T48" s="5" t="n">
        <f aca="false">Profit+Utility</f>
        <v>61263.0499916168</v>
      </c>
      <c r="U48" s="5" t="n">
        <f aca="false">(2*ij*BRIJ)+2*jj*BRJJ</f>
        <v>838.995019308118</v>
      </c>
      <c r="V48" s="5" t="n">
        <f aca="false">2*(ij*BCCIJ)+(2*jj*BCCJJ)+BCS+jj*BCPTJJ+2*(ij*BCPTIJ)+BCPTII+BCk</f>
        <v>8064.14073177069</v>
      </c>
      <c r="W48" s="5" t="n">
        <f aca="false">ij*BUTIJ+BUTII</f>
        <v>68488.1957040794</v>
      </c>
      <c r="X48" s="5" t="n">
        <f aca="false">Revenue-Cost</f>
        <v>-7225.14571246258</v>
      </c>
      <c r="Y48" s="5" t="n">
        <f aca="false">Size</f>
        <v>200</v>
      </c>
      <c r="Z48" s="6" t="n">
        <f aca="false">Welfare/(Size)</f>
        <v>306.315249958084</v>
      </c>
      <c r="AA48" s="6" t="n">
        <f aca="false">Profit/(Size)</f>
        <v>-36.1257285623129</v>
      </c>
      <c r="AB48" s="6" t="n">
        <f aca="false">Utility/(Size)</f>
        <v>342.440978520397</v>
      </c>
      <c r="AD48" s="4" t="n">
        <f aca="false">(EXP(alpha*(zeta-2*a*psi))*((EXP(alpha*a*psi)-EXP(alpha*b*psi))^2))/((EXP(alpha*a*psi)-EXP(alpha*(b*psi)))*(alpha^2)*(psi^2))</f>
        <v>12.9907812302592</v>
      </c>
      <c r="AE48" s="4" t="n">
        <f aca="false">(EXP(alpha*(zeta+(2*b-a)*psi))*(-1+EXP(alpha*(-1)*Size*psi))*(EXP(alpha*(a*psi))-EXP(alpha*(b*psi))))/(((EXP(alpha*a*psi)-EXP(alpha*(b*psi)))^2)*(alpha^2)*(psi^2))</f>
        <v>1.21562832823463E-012</v>
      </c>
      <c r="AF48" s="5" t="n">
        <f aca="false">BCS+Taxjj*BCPTJJ+2*(Taxij*BCPTIJ)+BCPTII</f>
        <v>8418.02623720875</v>
      </c>
      <c r="AG48" s="5" t="n">
        <f aca="false">Taxij*BUTIJ+BUTII</f>
        <v>70150.2186434063</v>
      </c>
      <c r="AH48" s="2" t="n">
        <f aca="false">TaxCost+TaxUtility</f>
        <v>78568.244880615</v>
      </c>
      <c r="AI48" s="2" t="n">
        <f aca="false">TaxWelfare/Size</f>
        <v>392.841224403075</v>
      </c>
    </row>
    <row r="49" customFormat="false" ht="13" hidden="false" customHeight="false" outlineLevel="0" collapsed="false">
      <c r="A49" s="2" t="n">
        <v>0.620266955521911</v>
      </c>
      <c r="B49" s="2" t="n">
        <v>0.620266955521911</v>
      </c>
      <c r="C49" s="2" t="n">
        <v>500</v>
      </c>
      <c r="D49" s="2" t="n">
        <v>0</v>
      </c>
      <c r="E49" s="2" t="n">
        <f aca="false">Size-a</f>
        <v>500</v>
      </c>
      <c r="F49" s="4" t="n">
        <f aca="false">(EXP(alpha*(Tau+OldTau+zeta-2*a*psi))*((EXP(alpha*a*psi)-EXP(alpha*b*psi))^2))/((EXP(alpha*a*psi)-EXP(alpha*(2*OldTau+b*psi)))*(alpha^2)*(psi^2))</f>
        <v>3.75732045622136</v>
      </c>
      <c r="G49" s="4" t="n">
        <f aca="false">(EXP(alpha*(zeta+(2*b-a)*psi))*(-1+EXP(alpha*(-1)*Size*psi))*(EXP(alpha*(2*(Tau+OldTau)+a*psi))-EXP(alpha*(2*(Tau+OldTau)+b*psi))))/(((EXP(alpha*a*psi)-EXP(alpha*(2*OldTau+b*psi)))^2)*(alpha^2)*(psi^2))</f>
        <v>2.91095211946278E-033</v>
      </c>
      <c r="H49" s="5" t="n">
        <f aca="false">-Beta/alpha</f>
        <v>180</v>
      </c>
      <c r="I49" s="5" t="n">
        <f aca="false">(-EXP(alpha*zeta)*Beta*(-1+EXP(alpha*Size*psi)-Size*alpha*psi))/((alpha^3)*(psi^2))</f>
        <v>173037.205987069</v>
      </c>
      <c r="J49" s="5" t="n">
        <v>0</v>
      </c>
      <c r="K49" s="5" t="n">
        <v>0</v>
      </c>
      <c r="L49" s="5" t="n">
        <v>45</v>
      </c>
      <c r="M49" s="5" t="n">
        <f aca="false">Gamma*Size</f>
        <v>0</v>
      </c>
      <c r="N49" s="5" t="n">
        <f aca="false">Size*Beta*Phi</f>
        <v>1620</v>
      </c>
      <c r="O49" s="5" t="n">
        <f aca="false">-(EXP(alpha*a*psi)+EXP(alpha*b*psi)*(-1+Size*psi*alpha))*(Beta*Phi)/((alpha*psi)*(EXP(alpha*a*psi)-EXP(alpha*b*psi)))</f>
        <v>21.6</v>
      </c>
      <c r="P49" s="5" t="n">
        <f aca="false">(EXP(alpha*(zeta-a*psi))*Beta*Phi*(-EXP(alpha*a*psi)*(-2+(-1)*Size*alpha*psi)+EXP(alpha*b*psi)*(-2+Size*alpha*psi)))/((alpha^3)*(psi^3))</f>
        <v>20483.8638438746</v>
      </c>
      <c r="Q49" s="5" t="n">
        <f aca="false">Tau*Beta</f>
        <v>111.648051993944</v>
      </c>
      <c r="R49" s="5" t="n">
        <f aca="false">Tau*Beta</f>
        <v>111.648051993944</v>
      </c>
      <c r="S49" s="6" t="n">
        <f aca="false">Tau</f>
        <v>0.620266955521911</v>
      </c>
      <c r="T49" s="5" t="n">
        <f aca="false">Profit+Utility</f>
        <v>153861.338600913</v>
      </c>
      <c r="U49" s="5" t="n">
        <f aca="false">(2*ij*BRIJ)+2*jj*BRJJ</f>
        <v>838.995019308224</v>
      </c>
      <c r="V49" s="5" t="n">
        <f aca="false">2*(ij*BCCIJ)+(2*jj*BCCJJ)+BCS+jj*BCPTJJ+2*(ij*BCPTIJ)+BCPTII+BCk</f>
        <v>20691.1800875834</v>
      </c>
      <c r="W49" s="5" t="n">
        <f aca="false">ij*BUTIJ+BUTII</f>
        <v>173713.523669189</v>
      </c>
      <c r="X49" s="5" t="n">
        <f aca="false">Revenue-Cost</f>
        <v>-19852.1850682752</v>
      </c>
      <c r="Y49" s="5" t="n">
        <f aca="false">Size</f>
        <v>500</v>
      </c>
      <c r="Z49" s="6" t="n">
        <f aca="false">Welfare/(Size)</f>
        <v>307.722677201827</v>
      </c>
      <c r="AA49" s="6" t="n">
        <f aca="false">Profit/(Size)</f>
        <v>-39.7043701365503</v>
      </c>
      <c r="AB49" s="6" t="n">
        <f aca="false">Utility/(Size)</f>
        <v>347.427047338377</v>
      </c>
      <c r="AD49" s="4" t="n">
        <f aca="false">(EXP(alpha*(zeta-2*a*psi))*((EXP(alpha*a*psi)-EXP(alpha*b*psi))^2))/((EXP(alpha*a*psi)-EXP(alpha*(b*psi)))*(alpha^2)*(psi^2))</f>
        <v>12.9907812302604</v>
      </c>
      <c r="AE49" s="4" t="n">
        <f aca="false">(EXP(alpha*(zeta+(2*b-a)*psi))*(-1+EXP(alpha*(-1)*Size*psi))*(EXP(alpha*(a*psi))-EXP(alpha*(b*psi))))/(((EXP(alpha*a*psi)-EXP(alpha*(b*psi)))^2)*(alpha^2)*(psi^2))</f>
        <v>3.47975867661385E-032</v>
      </c>
      <c r="AF49" s="5" t="n">
        <f aca="false">BCS+Taxjj*BCPTJJ+2*(Taxij*BCPTIJ)+BCPTII</f>
        <v>21045.0655930219</v>
      </c>
      <c r="AG49" s="5" t="n">
        <f aca="false">Taxij*BUTIJ+BUTII</f>
        <v>175375.546608516</v>
      </c>
      <c r="AH49" s="2" t="n">
        <f aca="false">TaxCost+TaxUtility</f>
        <v>196420.612201538</v>
      </c>
      <c r="AI49" s="2" t="n">
        <f aca="false">TaxWelfare/Size</f>
        <v>392.841224403075</v>
      </c>
    </row>
    <row r="50" customFormat="false" ht="13" hidden="false" customHeight="false" outlineLevel="0" collapsed="false">
      <c r="A50" s="2" t="n">
        <v>0.620266955522328</v>
      </c>
      <c r="B50" s="2" t="n">
        <v>0.620266955522328</v>
      </c>
      <c r="C50" s="2" t="n">
        <v>1000</v>
      </c>
      <c r="D50" s="2" t="n">
        <v>0</v>
      </c>
      <c r="E50" s="2" t="n">
        <f aca="false">Size-a</f>
        <v>1000</v>
      </c>
      <c r="F50" s="4" t="n">
        <f aca="false">(EXP(alpha*(Tau+OldTau+zeta-2*a*psi))*((EXP(alpha*a*psi)-EXP(alpha*b*psi))^2))/((EXP(alpha*a*psi)-EXP(alpha*(2*OldTau+b*psi)))*(alpha^2)*(psi^2))</f>
        <v>3.75732045621823</v>
      </c>
      <c r="G50" s="4" t="n">
        <f aca="false">(EXP(alpha*(zeta+(2*b-a)*psi))*(-1+EXP(alpha*(-1)*Size*psi))*(EXP(alpha*(2*(Tau+OldTau)+a*psi))-EXP(alpha*(2*(Tau+OldTau)+b*psi))))/(((EXP(alpha*a*psi)-EXP(alpha*(2*OldTau+b*psi)))^2)*(alpha^2)*(psi^2))</f>
        <v>7.79738394123334E-066</v>
      </c>
      <c r="H50" s="5" t="n">
        <f aca="false">-Beta/alpha</f>
        <v>180</v>
      </c>
      <c r="I50" s="5" t="n">
        <f aca="false">(-EXP(alpha*zeta)*Beta*(-1+EXP(alpha*Size*psi)-Size*alpha*psi))/((alpha^3)*(psi^2))</f>
        <v>348412.752595584</v>
      </c>
      <c r="J50" s="5" t="n">
        <v>0</v>
      </c>
      <c r="K50" s="5" t="n">
        <v>0</v>
      </c>
      <c r="L50" s="5" t="n">
        <v>45</v>
      </c>
      <c r="M50" s="5" t="n">
        <f aca="false">Gamma*Size</f>
        <v>0</v>
      </c>
      <c r="N50" s="5" t="n">
        <f aca="false">Size*Beta*Phi</f>
        <v>3240</v>
      </c>
      <c r="O50" s="5" t="n">
        <f aca="false">-(EXP(alpha*a*psi)+EXP(alpha*b*psi)*(-1+Size*psi*alpha))*(Beta*Phi)/((alpha*psi)*(EXP(alpha*a*psi)-EXP(alpha*b*psi)))</f>
        <v>21.6</v>
      </c>
      <c r="P50" s="5" t="n">
        <f aca="false">(EXP(alpha*(zeta-a*psi))*Beta*Phi*(-EXP(alpha*a*psi)*(-2+(-1)*Size*alpha*psi)+EXP(alpha*b*psi)*(-2+Size*alpha*psi)))/((alpha^3)*(psi^3))</f>
        <v>41528.9294368965</v>
      </c>
      <c r="Q50" s="5" t="n">
        <f aca="false">Tau*Beta</f>
        <v>111.648051994019</v>
      </c>
      <c r="R50" s="5" t="n">
        <f aca="false">Tau*Beta</f>
        <v>111.648051994019</v>
      </c>
      <c r="S50" s="6" t="n">
        <f aca="false">Tau</f>
        <v>0.620266955522328</v>
      </c>
      <c r="T50" s="5" t="n">
        <f aca="false">Profit+Utility</f>
        <v>308191.819616407</v>
      </c>
      <c r="U50" s="5" t="n">
        <f aca="false">(2*ij*BRIJ)+2*jj*BRJJ</f>
        <v>838.995019308089</v>
      </c>
      <c r="V50" s="5" t="n">
        <f aca="false">2*(ij*BCCIJ)+(2*jj*BCCJJ)+BCS+jj*BCPTJJ+2*(ij*BCPTIJ)+BCPTII+BCk</f>
        <v>41736.2456806051</v>
      </c>
      <c r="W50" s="5" t="n">
        <f aca="false">ij*BUTIJ+BUTII</f>
        <v>349089.070277704</v>
      </c>
      <c r="X50" s="5" t="n">
        <f aca="false">Revenue-Cost</f>
        <v>-40897.2506612971</v>
      </c>
      <c r="Y50" s="5" t="n">
        <f aca="false">Size</f>
        <v>1000</v>
      </c>
      <c r="Z50" s="6" t="n">
        <f aca="false">Welfare/(Size)</f>
        <v>308.191819616407</v>
      </c>
      <c r="AA50" s="6" t="n">
        <f aca="false">Profit/(Size)</f>
        <v>-40.897250661297</v>
      </c>
      <c r="AB50" s="6" t="n">
        <f aca="false">Utility/(Size)</f>
        <v>349.089070277704</v>
      </c>
      <c r="AD50" s="4" t="n">
        <f aca="false">(EXP(alpha*(zeta-2*a*psi))*((EXP(alpha*a*psi)-EXP(alpha*b*psi))^2))/((EXP(alpha*a*psi)-EXP(alpha*(b*psi)))*(alpha^2)*(psi^2))</f>
        <v>12.9907812302604</v>
      </c>
      <c r="AE50" s="4" t="n">
        <f aca="false">(EXP(alpha*(zeta+(2*b-a)*psi))*(-1+EXP(alpha*(-1)*Size*psi))*(EXP(alpha*(a*psi))-EXP(alpha*(b*psi))))/(((EXP(alpha*a*psi)-EXP(alpha*(b*psi)))^2)*(alpha^2)*(psi^2))</f>
        <v>9.32101020934996E-065</v>
      </c>
      <c r="AF50" s="5" t="n">
        <f aca="false">BCS+Taxjj*BCPTJJ+2*(Taxij*BCPTIJ)+BCPTII</f>
        <v>42090.1311860438</v>
      </c>
      <c r="AG50" s="5" t="n">
        <f aca="false">Taxij*BUTIJ+BUTII</f>
        <v>350751.093217031</v>
      </c>
      <c r="AH50" s="2" t="n">
        <f aca="false">TaxCost+TaxUtility</f>
        <v>392841.224403075</v>
      </c>
      <c r="AI50" s="2" t="n">
        <f aca="false">TaxWelfare/Size</f>
        <v>392.841224403075</v>
      </c>
    </row>
    <row r="51" customFormat="false" ht="13" hidden="false" customHeight="false" outlineLevel="0" collapsed="false"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  <c r="T51" s="5"/>
      <c r="U51" s="5"/>
      <c r="V51" s="5"/>
      <c r="W51" s="5"/>
      <c r="X51" s="5"/>
      <c r="Y51" s="5"/>
      <c r="Z51" s="6"/>
      <c r="AA51" s="6"/>
      <c r="AB51" s="6"/>
      <c r="AD51" s="4"/>
      <c r="AE51" s="4"/>
      <c r="AF51" s="5"/>
      <c r="AG51" s="5"/>
    </row>
    <row r="52" customFormat="false" ht="13" hidden="false" customHeight="false" outlineLevel="0" collapsed="false">
      <c r="A52" s="8" t="s">
        <v>155</v>
      </c>
    </row>
    <row r="53" customFormat="false" ht="13" hidden="false" customHeight="false" outlineLevel="0" collapsed="false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17</v>
      </c>
      <c r="F53" s="3" t="s">
        <v>18</v>
      </c>
      <c r="G53" s="2" t="s">
        <v>19</v>
      </c>
      <c r="H53" s="2" t="s">
        <v>20</v>
      </c>
      <c r="I53" s="2" t="s">
        <v>21</v>
      </c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27</v>
      </c>
      <c r="P53" s="2" t="s">
        <v>28</v>
      </c>
      <c r="Q53" s="2" t="s">
        <v>29</v>
      </c>
      <c r="R53" s="2" t="s">
        <v>30</v>
      </c>
      <c r="S53" s="2" t="s">
        <v>31</v>
      </c>
      <c r="T53" s="2" t="s">
        <v>32</v>
      </c>
      <c r="U53" s="2" t="s">
        <v>33</v>
      </c>
      <c r="V53" s="2" t="s">
        <v>34</v>
      </c>
      <c r="W53" s="2" t="s">
        <v>35</v>
      </c>
      <c r="X53" s="2" t="s">
        <v>36</v>
      </c>
      <c r="Y53" s="2" t="s">
        <v>37</v>
      </c>
      <c r="Z53" s="2" t="s">
        <v>38</v>
      </c>
      <c r="AA53" s="2" t="s">
        <v>39</v>
      </c>
      <c r="AB53" s="2" t="s">
        <v>40</v>
      </c>
      <c r="AF53" s="2" t="s">
        <v>148</v>
      </c>
      <c r="AG53" s="2" t="s">
        <v>149</v>
      </c>
      <c r="AH53" s="2" t="s">
        <v>150</v>
      </c>
      <c r="AI53" s="2" t="s">
        <v>151</v>
      </c>
    </row>
    <row r="54" customFormat="false" ht="13" hidden="false" customHeight="false" outlineLevel="0" collapsed="false">
      <c r="A54" s="2" t="n">
        <v>0.508970671803518</v>
      </c>
      <c r="B54" s="2" t="n">
        <v>0.508970671803518</v>
      </c>
      <c r="C54" s="2" t="n">
        <v>1</v>
      </c>
      <c r="D54" s="2" t="n">
        <v>0</v>
      </c>
      <c r="E54" s="2" t="n">
        <f aca="false">Size-a</f>
        <v>1</v>
      </c>
      <c r="F54" s="4" t="n">
        <f aca="false">(EXP(alpha*(Tau+OldTau+zeta-2*a*psi))*((EXP(alpha*a*psi)-EXP(alpha*b*psi))^2))/((EXP(alpha*a*psi)-EXP(alpha*(2*OldTau+b*psi)))*(alpha^2)*(psi^2))</f>
        <v>0.132186272279383</v>
      </c>
      <c r="G54" s="4" t="n">
        <f aca="false">(EXP(alpha*(zeta+(2*b-a)*psi))*(-1+EXP(alpha*(-1)*Size*psi))*(EXP(alpha*(2*(Tau+OldTau)+a*psi))-EXP(alpha*(2*(Tau+OldTau)+b*psi))))/(((EXP(alpha*a*psi)-EXP(alpha*(2*OldTau+b*psi)))^2)*(alpha^2)*(psi^2))</f>
        <v>0.0596679028675057</v>
      </c>
      <c r="H54" s="5" t="n">
        <f aca="false">-Beta/alpha</f>
        <v>180</v>
      </c>
      <c r="I54" s="5" t="n">
        <f aca="false">(-EXP(alpha*zeta)*Beta*(-1+EXP(alpha*Size*psi)-Size*alpha*psi))/((alpha^3)*(psi^2))</f>
        <v>25.0388962482082</v>
      </c>
      <c r="J54" s="5" t="n">
        <v>0</v>
      </c>
      <c r="K54" s="5" t="n">
        <v>0</v>
      </c>
      <c r="L54" s="5" t="n">
        <v>0</v>
      </c>
      <c r="M54" s="5" t="n">
        <f aca="false">Gamma*Size</f>
        <v>0</v>
      </c>
      <c r="N54" s="5" t="n">
        <f aca="false">Size*Beta*Phi</f>
        <v>3.24</v>
      </c>
      <c r="O54" s="5" t="n">
        <f aca="false">-(EXP(alpha*a*psi)+EXP(alpha*b*psi)*(-1+Size*psi*alpha))*(Beta*Phi)/((alpha*psi)*(EXP(alpha*a*psi)-EXP(alpha*b*psi)))</f>
        <v>1.57951517936842</v>
      </c>
      <c r="P54" s="5" t="n">
        <f aca="false">(EXP(alpha*(zeta-a*psi))*Beta*Phi*(-EXP(alpha*a*psi)*(-2+(-1)*Size*alpha*psi)+EXP(alpha*b*psi)*(-2+Size*alpha*psi)))/((alpha^3)*(psi^3))</f>
        <v>0.146515554131081</v>
      </c>
      <c r="Q54" s="5" t="n">
        <f aca="false">Tau*Beta</f>
        <v>91.6147209246333</v>
      </c>
      <c r="R54" s="5" t="n">
        <f aca="false">Tau*Beta</f>
        <v>91.6147209246333</v>
      </c>
      <c r="S54" s="6" t="n">
        <f aca="false">Tau</f>
        <v>0.508970671803518</v>
      </c>
      <c r="T54" s="5" t="n">
        <f aca="false">Profit+Utility</f>
        <v>83.2283386805525</v>
      </c>
      <c r="U54" s="5" t="n">
        <f aca="false">(2*ij*BRIJ)+2*jj*BRJJ</f>
        <v>35.1533334286159</v>
      </c>
      <c r="V54" s="5" t="n">
        <f aca="false">2*(ij*BCCIJ)+(2*jj*BCCJJ)+BCS+jj*BCPTJJ+2*(ij*BCPTIJ)+BCPTII+BCk</f>
        <v>0.757420006560625</v>
      </c>
      <c r="W54" s="5" t="n">
        <f aca="false">ij*BUTIJ+BUTII</f>
        <v>48.8324252584972</v>
      </c>
      <c r="X54" s="5" t="n">
        <f aca="false">Revenue-Cost</f>
        <v>34.3959134220553</v>
      </c>
      <c r="Y54" s="5" t="n">
        <f aca="false">Size</f>
        <v>1</v>
      </c>
      <c r="Z54" s="6" t="n">
        <f aca="false">Welfare/(Size)</f>
        <v>83.2283386805525</v>
      </c>
      <c r="AA54" s="6" t="n">
        <f aca="false">Profit/(Size)</f>
        <v>34.3959134220553</v>
      </c>
      <c r="AB54" s="6" t="n">
        <f aca="false">Utility/(Size)</f>
        <v>48.8324252584972</v>
      </c>
      <c r="AD54" s="4" t="n">
        <f aca="false">(EXP(alpha*(zeta-2*a*psi))*((EXP(alpha*a*psi)-EXP(alpha*b*psi))^2))/((EXP(alpha*a*psi)-EXP(alpha*(b*psi)))*(alpha^2)*(psi^2))</f>
        <v>1.80951220538235</v>
      </c>
      <c r="AE54" s="4" t="n">
        <f aca="false">(EXP(alpha*(zeta+(2*b-a)*psi))*(-1+EXP(alpha*(-1)*Size*psi))*(EXP(alpha*(a*psi))-EXP(alpha*(b*psi))))/(((EXP(alpha*a*psi)-EXP(alpha*(b*psi)))^2)*(alpha^2)*(psi^2))</f>
        <v>11.1812690248781</v>
      </c>
      <c r="AF54" s="5" t="n">
        <f aca="false">BCS+Taxjj*BCPTJJ+2*(Taxij*BCPTIJ)+BCPTII</f>
        <v>42.0901311860437</v>
      </c>
      <c r="AG54" s="5" t="n">
        <f aca="false">Taxij*BUTIJ+BUTII</f>
        <v>350.751093217031</v>
      </c>
      <c r="AH54" s="2" t="n">
        <f aca="false">TaxCost+TaxUtility</f>
        <v>392.841224403075</v>
      </c>
      <c r="AI54" s="2" t="n">
        <f aca="false">TaxWelfare/Size</f>
        <v>392.841224403075</v>
      </c>
    </row>
    <row r="55" customFormat="false" ht="13" hidden="false" customHeight="false" outlineLevel="0" collapsed="false">
      <c r="A55" s="2" t="n">
        <v>0.517777803622522</v>
      </c>
      <c r="B55" s="2" t="n">
        <v>0.517777803622522</v>
      </c>
      <c r="C55" s="2" t="n">
        <v>2</v>
      </c>
      <c r="D55" s="2" t="n">
        <v>0</v>
      </c>
      <c r="E55" s="2" t="n">
        <f aca="false">Size-a</f>
        <v>2</v>
      </c>
      <c r="F55" s="4" t="n">
        <f aca="false">(EXP(alpha*(Tau+OldTau+zeta-2*a*psi))*((EXP(alpha*a*psi)-EXP(alpha*b*psi))^2))/((EXP(alpha*a*psi)-EXP(alpha*(2*OldTau+b*psi)))*(alpha^2)*(psi^2))</f>
        <v>0.420385475744603</v>
      </c>
      <c r="G55" s="4" t="n">
        <f aca="false">(EXP(alpha*(zeta+(2*b-a)*psi))*(-1+EXP(alpha*(-1)*Size*psi))*(EXP(alpha*(2*(Tau+OldTau)+a*psi))-EXP(alpha*(2*(Tau+OldTau)+b*psi))))/(((EXP(alpha*a*psi)-EXP(alpha*(2*OldTau+b*psi)))^2)*(alpha^2)*(psi^2))</f>
        <v>0.150024731380208</v>
      </c>
      <c r="H55" s="5" t="n">
        <f aca="false">-Beta/alpha</f>
        <v>180</v>
      </c>
      <c r="I55" s="5" t="n">
        <f aca="false">(-EXP(alpha*zeta)*Beta*(-1+EXP(alpha*Size*psi)-Size*alpha*psi))/((alpha^3)*(psi^2))</f>
        <v>95.4469035152439</v>
      </c>
      <c r="J55" s="5" t="n">
        <v>0</v>
      </c>
      <c r="K55" s="5" t="n">
        <v>0</v>
      </c>
      <c r="L55" s="5" t="n">
        <v>0</v>
      </c>
      <c r="M55" s="5" t="n">
        <f aca="false">Gamma*Size</f>
        <v>0</v>
      </c>
      <c r="N55" s="5" t="n">
        <f aca="false">Size*Beta*Phi</f>
        <v>6.48</v>
      </c>
      <c r="O55" s="5" t="n">
        <f aca="false">-(EXP(alpha*a*psi)+EXP(alpha*b*psi)*(-1+Size*psi*alpha))*(Beta*Phi)/((alpha*psi)*(EXP(alpha*a*psi)-EXP(alpha*b*psi)))</f>
        <v>3.07824248045466</v>
      </c>
      <c r="P55" s="5" t="n">
        <f aca="false">(EXP(alpha*(zeta-a*psi))*Beta*Phi*(-EXP(alpha*a*psi)*(-2+(-1)*Size*alpha*psi)+EXP(alpha*b*psi)*(-2+Size*alpha*psi)))/((alpha^3)*(psi^3))</f>
        <v>1.08926665858103</v>
      </c>
      <c r="Q55" s="5" t="n">
        <f aca="false">Tau*Beta</f>
        <v>93.200004652054</v>
      </c>
      <c r="R55" s="5" t="n">
        <f aca="false">Tau*Beta</f>
        <v>93.200004652054</v>
      </c>
      <c r="S55" s="6" t="n">
        <f aca="false">Tau</f>
        <v>0.517777803622522</v>
      </c>
      <c r="T55" s="5" t="n">
        <f aca="false">Profit+Utility</f>
        <v>272.791233287364</v>
      </c>
      <c r="U55" s="5" t="n">
        <f aca="false">(2*ij*BRIJ)+2*jj*BRJJ</f>
        <v>106.324467915223</v>
      </c>
      <c r="V55" s="5" t="n">
        <f aca="false">2*(ij*BCCIJ)+(2*jj*BCCJJ)+BCS+jj*BCPTJJ+2*(ij*BCPTIJ)+BCPTII+BCk</f>
        <v>4.64952377713114</v>
      </c>
      <c r="W55" s="5" t="n">
        <f aca="false">ij*BUTIJ+BUTII</f>
        <v>171.116289149272</v>
      </c>
      <c r="X55" s="5" t="n">
        <f aca="false">Revenue-Cost</f>
        <v>101.674944138092</v>
      </c>
      <c r="Y55" s="5" t="n">
        <f aca="false">Size</f>
        <v>2</v>
      </c>
      <c r="Z55" s="6" t="n">
        <f aca="false">Welfare/(Size)</f>
        <v>136.395616643682</v>
      </c>
      <c r="AA55" s="6" t="n">
        <f aca="false">Profit/(Size)</f>
        <v>50.8374720690458</v>
      </c>
      <c r="AB55" s="6" t="n">
        <f aca="false">Utility/(Size)</f>
        <v>85.5581445746362</v>
      </c>
      <c r="AD55" s="4" t="n">
        <f aca="false">(EXP(alpha*(zeta-2*a*psi))*((EXP(alpha*a*psi)-EXP(alpha*b*psi))^2))/((EXP(alpha*a*psi)-EXP(alpha*(b*psi)))*(alpha^2)*(psi^2))</f>
        <v>3.36697379399344</v>
      </c>
      <c r="AE55" s="4" t="n">
        <f aca="false">(EXP(alpha*(zeta+(2*b-a)*psi))*(-1+EXP(alpha*(-1)*Size*psi))*(EXP(alpha*(a*psi))-EXP(alpha*(b*psi))))/(((EXP(alpha*a*psi)-EXP(alpha*(b*psi)))^2)*(alpha^2)*(psi^2))</f>
        <v>9.62380743626698</v>
      </c>
      <c r="AF55" s="5" t="n">
        <f aca="false">BCS+Taxjj*BCPTJJ+2*(Taxij*BCPTIJ)+BCPTII</f>
        <v>84.1802623720875</v>
      </c>
      <c r="AG55" s="5" t="n">
        <f aca="false">Taxij*BUTIJ+BUTII</f>
        <v>701.502186434063</v>
      </c>
      <c r="AH55" s="2" t="n">
        <f aca="false">TaxCost+TaxUtility</f>
        <v>785.68244880615</v>
      </c>
      <c r="AI55" s="2" t="n">
        <f aca="false">TaxWelfare/Size</f>
        <v>392.841224403075</v>
      </c>
    </row>
    <row r="56" customFormat="false" ht="13" hidden="false" customHeight="false" outlineLevel="0" collapsed="false">
      <c r="A56" s="2" t="n">
        <v>0.542111557375786</v>
      </c>
      <c r="B56" s="2" t="n">
        <v>0.542111557375786</v>
      </c>
      <c r="C56" s="2" t="n">
        <v>5</v>
      </c>
      <c r="D56" s="2" t="n">
        <v>0</v>
      </c>
      <c r="E56" s="2" t="n">
        <f aca="false">Size-a</f>
        <v>5</v>
      </c>
      <c r="F56" s="4" t="n">
        <f aca="false">(EXP(alpha*(Tau+OldTau+zeta-2*a*psi))*((EXP(alpha*a*psi)-EXP(alpha*b*psi))^2))/((EXP(alpha*a*psi)-EXP(alpha*(2*OldTau+b*psi)))*(alpha^2)*(psi^2))</f>
        <v>1.45550209268794</v>
      </c>
      <c r="G56" s="4" t="n">
        <f aca="false">(EXP(alpha*(zeta+(2*b-a)*psi))*(-1+EXP(alpha*(-1)*Size*psi))*(EXP(alpha*(2*(Tau+OldTau)+a*psi))-EXP(alpha*(2*(Tau+OldTau)+b*psi))))/(((EXP(alpha*a*psi)-EXP(alpha*(2*OldTau+b*psi)))^2)*(alpha^2)*(psi^2))</f>
        <v>0.276697287374346</v>
      </c>
      <c r="H56" s="5" t="n">
        <f aca="false">-Beta/alpha</f>
        <v>180</v>
      </c>
      <c r="I56" s="5" t="n">
        <f aca="false">(-EXP(alpha*zeta)*Beta*(-1+EXP(alpha*Size*psi)-Size*alpha*psi))/((alpha^3)*(psi^2))</f>
        <v>519.968743125424</v>
      </c>
      <c r="J56" s="5" t="n">
        <v>0</v>
      </c>
      <c r="K56" s="5" t="n">
        <v>0</v>
      </c>
      <c r="L56" s="5" t="n">
        <v>0</v>
      </c>
      <c r="M56" s="5" t="n">
        <f aca="false">Gamma*Size</f>
        <v>0</v>
      </c>
      <c r="N56" s="5" t="n">
        <f aca="false">Size*Beta*Phi</f>
        <v>16.2</v>
      </c>
      <c r="O56" s="5" t="n">
        <f aca="false">-(EXP(alpha*a*psi)+EXP(alpha*b*psi)*(-1+Size*psi*alpha))*(Beta*Phi)/((alpha*psi)*(EXP(alpha*a*psi)-EXP(alpha*b*psi)))</f>
        <v>7.09686682268204</v>
      </c>
      <c r="P56" s="5" t="n">
        <f aca="false">(EXP(alpha*(zeta-a*psi))*Beta*Phi*(-EXP(alpha*a*psi)*(-2+(-1)*Size*alpha*psi)+EXP(alpha*b*psi)*(-2+Size*alpha*psi)))/((alpha^3)*(psi^3))</f>
        <v>13.7516932837258</v>
      </c>
      <c r="Q56" s="5" t="n">
        <f aca="false">Tau*Beta</f>
        <v>97.5800803276415</v>
      </c>
      <c r="R56" s="5" t="n">
        <f aca="false">Tau*Beta</f>
        <v>97.5800803276415</v>
      </c>
      <c r="S56" s="6" t="n">
        <f aca="false">Tau</f>
        <v>0.542111557375786</v>
      </c>
      <c r="T56" s="5" t="n">
        <f aca="false">Profit+Utility</f>
        <v>1081.12223074612</v>
      </c>
      <c r="U56" s="5" t="n">
        <f aca="false">(2*ij*BRIJ)+2*jj*BRJJ</f>
        <v>338.056309299937</v>
      </c>
      <c r="V56" s="5" t="n">
        <f aca="false">2*(ij*BCCIJ)+(2*jj*BCCJJ)+BCS+jj*BCPTJJ+2*(ij*BCPTIJ)+BCPTII+BCk</f>
        <v>38.8931983630728</v>
      </c>
      <c r="W56" s="5" t="n">
        <f aca="false">ij*BUTIJ+BUTII</f>
        <v>781.959119809253</v>
      </c>
      <c r="X56" s="5" t="n">
        <f aca="false">Revenue-Cost</f>
        <v>299.163110936865</v>
      </c>
      <c r="Y56" s="5" t="n">
        <f aca="false">Size</f>
        <v>5</v>
      </c>
      <c r="Z56" s="6" t="n">
        <f aca="false">Welfare/(Size)</f>
        <v>216.224446149224</v>
      </c>
      <c r="AA56" s="6" t="n">
        <f aca="false">Profit/(Size)</f>
        <v>59.8326221873729</v>
      </c>
      <c r="AB56" s="6" t="n">
        <f aca="false">Utility/(Size)</f>
        <v>156.391823961851</v>
      </c>
      <c r="AD56" s="4" t="n">
        <f aca="false">(EXP(alpha*(zeta-2*a*psi))*((EXP(alpha*a*psi)-EXP(alpha*b*psi))^2))/((EXP(alpha*a*psi)-EXP(alpha*(b*psi)))*(alpha^2)*(psi^2))</f>
        <v>6.85437068310963</v>
      </c>
      <c r="AE56" s="4" t="n">
        <f aca="false">(EXP(alpha*(zeta+(2*b-a)*psi))*(-1+EXP(alpha*(-1)*Size*psi))*(EXP(alpha*(a*psi))-EXP(alpha*(b*psi))))/(((EXP(alpha*a*psi)-EXP(alpha*(b*psi)))^2)*(alpha^2)*(psi^2))</f>
        <v>6.13641054715079</v>
      </c>
      <c r="AF56" s="5" t="n">
        <f aca="false">BCS+Taxjj*BCPTJJ+2*(Taxij*BCPTIJ)+BCPTII</f>
        <v>210.450655930219</v>
      </c>
      <c r="AG56" s="5" t="n">
        <f aca="false">Taxij*BUTIJ+BUTII</f>
        <v>1753.75546608516</v>
      </c>
      <c r="AH56" s="2" t="n">
        <f aca="false">TaxCost+TaxUtility</f>
        <v>1964.20612201538</v>
      </c>
      <c r="AI56" s="2" t="n">
        <f aca="false">TaxWelfare/Size</f>
        <v>392.841224403075</v>
      </c>
    </row>
    <row r="57" customFormat="false" ht="13" hidden="false" customHeight="false" outlineLevel="0" collapsed="false">
      <c r="A57" s="2" t="n">
        <v>0.573311162705395</v>
      </c>
      <c r="B57" s="2" t="n">
        <v>0.573311162705395</v>
      </c>
      <c r="C57" s="2" t="n">
        <v>10</v>
      </c>
      <c r="D57" s="2" t="n">
        <v>0</v>
      </c>
      <c r="E57" s="2" t="n">
        <f aca="false">Size-a</f>
        <v>10</v>
      </c>
      <c r="F57" s="4" t="n">
        <f aca="false">(EXP(alpha*(Tau+OldTau+zeta-2*a*psi))*((EXP(alpha*a*psi)-EXP(alpha*b*psi))^2))/((EXP(alpha*a*psi)-EXP(alpha*(2*OldTau+b*psi)))*(alpha^2)*(psi^2))</f>
        <v>2.68097662235813</v>
      </c>
      <c r="G57" s="4" t="n">
        <f aca="false">(EXP(alpha*(zeta+(2*b-a)*psi))*(-1+EXP(alpha*(-1)*Size*psi))*(EXP(alpha*(2*(Tau+OldTau)+a*psi))-EXP(alpha*(2*(Tau+OldTau)+b*psi))))/(((EXP(alpha*a*psi)-EXP(alpha*(2*OldTau+b*psi)))^2)*(alpha^2)*(psi^2))</f>
        <v>0.204556149197486</v>
      </c>
      <c r="H57" s="5" t="n">
        <f aca="false">-Beta/alpha</f>
        <v>180</v>
      </c>
      <c r="I57" s="5" t="n">
        <f aca="false">(-EXP(alpha*zeta)*Beta*(-1+EXP(alpha*Size*psi)-Size*alpha*psi))/((alpha^3)*(psi^2))</f>
        <v>1690.92462806846</v>
      </c>
      <c r="J57" s="5" t="n">
        <v>0</v>
      </c>
      <c r="K57" s="5" t="n">
        <v>0</v>
      </c>
      <c r="L57" s="5" t="n">
        <v>0</v>
      </c>
      <c r="M57" s="5" t="n">
        <f aca="false">Gamma*Size</f>
        <v>0</v>
      </c>
      <c r="N57" s="5" t="n">
        <f aca="false">Size*Beta*Phi</f>
        <v>32.4</v>
      </c>
      <c r="O57" s="5" t="n">
        <f aca="false">-(EXP(alpha*a*psi)+EXP(alpha*b*psi)*(-1+Size*psi*alpha))*(Beta*Phi)/((alpha*psi)*(EXP(alpha*a*psi)-EXP(alpha*b*psi)))</f>
        <v>12.2941718960407</v>
      </c>
      <c r="P57" s="5" t="n">
        <f aca="false">(EXP(alpha*(zeta-a*psi))*Beta*Phi*(-EXP(alpha*a*psi)*(-2+(-1)*Size*alpha*psi)+EXP(alpha*b*psi)*(-2+Size*alpha*psi)))/((alpha^3)*(psi^3))</f>
        <v>78.836375998096</v>
      </c>
      <c r="Q57" s="5" t="n">
        <f aca="false">Tau*Beta</f>
        <v>103.196009286971</v>
      </c>
      <c r="R57" s="5" t="n">
        <f aca="false">Tau*Beta</f>
        <v>103.196009286971</v>
      </c>
      <c r="S57" s="6" t="n">
        <f aca="false">Tau</f>
        <v>0.573311162705395</v>
      </c>
      <c r="T57" s="5" t="n">
        <f aca="false">Profit+Utility</f>
        <v>2617.66658335438</v>
      </c>
      <c r="U57" s="5" t="n">
        <f aca="false">(2*ij*BRIJ)+2*jj*BRJJ</f>
        <v>595.550933382626</v>
      </c>
      <c r="V57" s="5" t="n">
        <f aca="false">2*(ij*BCCIJ)+(2*jj*BCCJJ)+BCS+jj*BCPTJJ+2*(ij*BCPTIJ)+BCPTII+BCk</f>
        <v>151.384770121169</v>
      </c>
      <c r="W57" s="5" t="n">
        <f aca="false">ij*BUTIJ+BUTII</f>
        <v>2173.50042009292</v>
      </c>
      <c r="X57" s="5" t="n">
        <f aca="false">Revenue-Cost</f>
        <v>444.166163261457</v>
      </c>
      <c r="Y57" s="5" t="n">
        <f aca="false">Size</f>
        <v>10</v>
      </c>
      <c r="Z57" s="6" t="n">
        <f aca="false">Welfare/(Size)</f>
        <v>261.766658335438</v>
      </c>
      <c r="AA57" s="6" t="n">
        <f aca="false">Profit/(Size)</f>
        <v>44.4166163261457</v>
      </c>
      <c r="AB57" s="6" t="n">
        <f aca="false">Utility/(Size)</f>
        <v>217.350042009292</v>
      </c>
      <c r="AD57" s="4" t="n">
        <f aca="false">(EXP(alpha*(zeta-2*a*psi))*((EXP(alpha*a*psi)-EXP(alpha*b*psi))^2))/((EXP(alpha*a*psi)-EXP(alpha*(b*psi)))*(alpha^2)*(psi^2))</f>
        <v>10.0921461338992</v>
      </c>
      <c r="AE57" s="4" t="n">
        <f aca="false">(EXP(alpha*(zeta+(2*b-a)*psi))*(-1+EXP(alpha*(-1)*Size*psi))*(EXP(alpha*(a*psi))-EXP(alpha*(b*psi))))/(((EXP(alpha*a*psi)-EXP(alpha*(b*psi)))^2)*(alpha^2)*(psi^2))</f>
        <v>2.89863509636122</v>
      </c>
      <c r="AF57" s="5" t="n">
        <f aca="false">BCS+Taxjj*BCPTJJ+2*(Taxij*BCPTIJ)+BCPTII</f>
        <v>420.901311860438</v>
      </c>
      <c r="AG57" s="5" t="n">
        <f aca="false">Taxij*BUTIJ+BUTII</f>
        <v>3507.51093217031</v>
      </c>
      <c r="AH57" s="2" t="n">
        <f aca="false">TaxCost+TaxUtility</f>
        <v>3928.41224403075</v>
      </c>
      <c r="AI57" s="2" t="n">
        <f aca="false">TaxWelfare/Size</f>
        <v>392.841224403075</v>
      </c>
    </row>
    <row r="58" customFormat="false" ht="13" hidden="false" customHeight="false" outlineLevel="0" collapsed="false">
      <c r="A58" s="2" t="n">
        <v>0.605025103072672</v>
      </c>
      <c r="B58" s="2" t="n">
        <v>0.605025103072672</v>
      </c>
      <c r="C58" s="2" t="n">
        <v>20</v>
      </c>
      <c r="D58" s="2" t="n">
        <v>0</v>
      </c>
      <c r="E58" s="2" t="n">
        <f aca="false">Size-a</f>
        <v>20</v>
      </c>
      <c r="F58" s="4" t="n">
        <f aca="false">(EXP(alpha*(Tau+OldTau+zeta-2*a*psi))*((EXP(alpha*a*psi)-EXP(alpha*b*psi))^2))/((EXP(alpha*a*psi)-EXP(alpha*(2*OldTau+b*psi)))*(alpha^2)*(psi^2))</f>
        <v>3.55021556397527</v>
      </c>
      <c r="G58" s="4" t="n">
        <f aca="false">(EXP(alpha*(zeta+(2*b-a)*psi))*(-1+EXP(alpha*(-1)*Size*psi))*(EXP(alpha*(2*(Tau+OldTau)+a*psi))-EXP(alpha*(2*(Tau+OldTau)+b*psi))))/(((EXP(alpha*a*psi)-EXP(alpha*(2*OldTau+b*psi)))^2)*(alpha^2)*(psi^2))</f>
        <v>0.0534993935795743</v>
      </c>
      <c r="H58" s="5" t="n">
        <f aca="false">-Beta/alpha</f>
        <v>180</v>
      </c>
      <c r="I58" s="5" t="n">
        <f aca="false">(-EXP(alpha*zeta)*Beta*(-1+EXP(alpha*Size*psi)-Size*alpha*psi))/((alpha^3)*(psi^2))</f>
        <v>4793.10036728108</v>
      </c>
      <c r="J58" s="5" t="n">
        <v>0</v>
      </c>
      <c r="K58" s="5" t="n">
        <v>0</v>
      </c>
      <c r="L58" s="5" t="n">
        <v>0</v>
      </c>
      <c r="M58" s="5" t="n">
        <f aca="false">Gamma*Size</f>
        <v>0</v>
      </c>
      <c r="N58" s="5" t="n">
        <f aca="false">Size*Beta*Phi</f>
        <v>64.8</v>
      </c>
      <c r="O58" s="5" t="n">
        <f aca="false">-(EXP(alpha*a*psi)+EXP(alpha*b*psi)*(-1+Size*psi*alpha))*(Beta*Phi)/((alpha*psi)*(EXP(alpha*a*psi)-EXP(alpha*b*psi)))</f>
        <v>18.2047588673666</v>
      </c>
      <c r="P58" s="5" t="n">
        <f aca="false">(EXP(alpha*(zeta-a*psi))*Beta*Phi*(-EXP(alpha*a*psi)*(-2+(-1)*Size*alpha*psi)+EXP(alpha*b*psi)*(-2+Size*alpha*psi)))/((alpha^3)*(psi^3))</f>
        <v>350.452349206022</v>
      </c>
      <c r="Q58" s="5" t="n">
        <f aca="false">Tau*Beta</f>
        <v>108.904518553081</v>
      </c>
      <c r="R58" s="5" t="n">
        <f aca="false">Tau*Beta</f>
        <v>108.904518553081</v>
      </c>
      <c r="S58" s="6" t="n">
        <f aca="false">Tau</f>
        <v>0.605025103072672</v>
      </c>
      <c r="T58" s="5" t="n">
        <f aca="false">Profit+Utility</f>
        <v>5733.88010725806</v>
      </c>
      <c r="U58" s="5" t="n">
        <f aca="false">(2*ij*BRIJ)+2*jj*BRJJ</f>
        <v>784.921684910093</v>
      </c>
      <c r="V58" s="5" t="n">
        <f aca="false">2*(ij*BCCIJ)+(2*jj*BCCJJ)+BCS+jj*BCPTJJ+2*(ij*BCPTIJ)+BCPTII+BCk</f>
        <v>483.180746448662</v>
      </c>
      <c r="W58" s="5" t="n">
        <f aca="false">ij*BUTIJ+BUTII</f>
        <v>5432.13916879663</v>
      </c>
      <c r="X58" s="5" t="n">
        <f aca="false">Revenue-Cost</f>
        <v>301.74093846143</v>
      </c>
      <c r="Y58" s="5" t="n">
        <f aca="false">Size</f>
        <v>20</v>
      </c>
      <c r="Z58" s="6" t="n">
        <f aca="false">Welfare/(Size)</f>
        <v>286.694005362903</v>
      </c>
      <c r="AA58" s="6" t="n">
        <f aca="false">Profit/(Size)</f>
        <v>15.0870469230715</v>
      </c>
      <c r="AB58" s="6" t="n">
        <f aca="false">Utility/(Size)</f>
        <v>271.606958439831</v>
      </c>
      <c r="AD58" s="4" t="n">
        <f aca="false">(EXP(alpha*(zeta-2*a*psi))*((EXP(alpha*a*psi)-EXP(alpha*b*psi))^2))/((EXP(alpha*a*psi)-EXP(alpha*(b*psi)))*(alpha^2)*(psi^2))</f>
        <v>12.3440083169975</v>
      </c>
      <c r="AE58" s="4" t="n">
        <f aca="false">(EXP(alpha*(zeta+(2*b-a)*psi))*(-1+EXP(alpha*(-1)*Size*psi))*(EXP(alpha*(a*psi))-EXP(alpha*(b*psi))))/(((EXP(alpha*a*psi)-EXP(alpha*(b*psi)))^2)*(alpha^2)*(psi^2))</f>
        <v>0.646772913262939</v>
      </c>
      <c r="AF58" s="5" t="n">
        <f aca="false">BCS+Taxjj*BCPTJJ+2*(Taxij*BCPTIJ)+BCPTII</f>
        <v>841.802623720875</v>
      </c>
      <c r="AG58" s="5" t="n">
        <f aca="false">Taxij*BUTIJ+BUTII</f>
        <v>7015.02186434063</v>
      </c>
      <c r="AH58" s="2" t="n">
        <f aca="false">TaxCost+TaxUtility</f>
        <v>7856.8244880615</v>
      </c>
      <c r="AI58" s="2" t="n">
        <f aca="false">TaxWelfare/Size</f>
        <v>392.841224403075</v>
      </c>
    </row>
    <row r="59" customFormat="false" ht="13" hidden="false" customHeight="false" outlineLevel="0" collapsed="false">
      <c r="A59" s="2" t="n">
        <v>0.619940626034175</v>
      </c>
      <c r="B59" s="2" t="n">
        <v>0.619940626034175</v>
      </c>
      <c r="C59" s="2" t="n">
        <v>50</v>
      </c>
      <c r="D59" s="2" t="n">
        <v>0</v>
      </c>
      <c r="E59" s="2" t="n">
        <f aca="false">Size-a</f>
        <v>50</v>
      </c>
      <c r="F59" s="4" t="n">
        <f aca="false">(EXP(alpha*(Tau+OldTau+zeta-2*a*psi))*((EXP(alpha*a*psi)-EXP(alpha*b*psi))^2))/((EXP(alpha*a*psi)-EXP(alpha*(2*OldTau+b*psi)))*(alpha^2)*(psi^2))</f>
        <v>3.75621698028378</v>
      </c>
      <c r="G59" s="4" t="n">
        <f aca="false">(EXP(alpha*(zeta+(2*b-a)*psi))*(-1+EXP(alpha*(-1)*Size*psi))*(EXP(alpha*(2*(Tau+OldTau)+a*psi))-EXP(alpha*(2*(Tau+OldTau)+b*psi))))/(((EXP(alpha*a*psi)-EXP(alpha*(2*OldTau+b*psi)))^2)*(alpha^2)*(psi^2))</f>
        <v>0.000601364788883846</v>
      </c>
      <c r="H59" s="5" t="n">
        <f aca="false">-Beta/alpha</f>
        <v>180</v>
      </c>
      <c r="I59" s="5" t="n">
        <f aca="false">(-EXP(alpha*zeta)*Beta*(-1+EXP(alpha*Size*psi)-Size*alpha*psi))/((alpha^3)*(psi^2))</f>
        <v>15200.5073390545</v>
      </c>
      <c r="J59" s="5" t="n">
        <v>0</v>
      </c>
      <c r="K59" s="5" t="n">
        <v>0</v>
      </c>
      <c r="L59" s="5" t="n">
        <v>0</v>
      </c>
      <c r="M59" s="5" t="n">
        <f aca="false">Gamma*Size</f>
        <v>0</v>
      </c>
      <c r="N59" s="5" t="n">
        <f aca="false">Size*Beta*Phi</f>
        <v>162</v>
      </c>
      <c r="O59" s="5" t="n">
        <f aca="false">-(EXP(alpha*a*psi)+EXP(alpha*b*psi)*(-1+Size*psi*alpha))*(Beta*Phi)/((alpha*psi)*(EXP(alpha*a*psi)-EXP(alpha*b*psi)))</f>
        <v>21.5103507484362</v>
      </c>
      <c r="P59" s="5" t="n">
        <f aca="false">(EXP(alpha*(zeta-a*psi))*Beta*Phi*(-EXP(alpha*a*psi)*(-2+(-1)*Size*alpha*psi)+EXP(alpha*b*psi)*(-2+Size*alpha*psi)))/((alpha^3)*(psi^3))</f>
        <v>1544.77917175571</v>
      </c>
      <c r="Q59" s="5" t="n">
        <f aca="false">Tau*Beta</f>
        <v>111.589312686152</v>
      </c>
      <c r="R59" s="5" t="n">
        <f aca="false">Tau*Beta</f>
        <v>111.589312686152</v>
      </c>
      <c r="S59" s="6" t="n">
        <f aca="false">Tau</f>
        <v>0.619940626034175</v>
      </c>
      <c r="T59" s="5" t="n">
        <f aca="false">Profit+Utility</f>
        <v>15008.5962672146</v>
      </c>
      <c r="U59" s="5" t="n">
        <f aca="false">(2*ij*BRIJ)+2*jj*BRJJ</f>
        <v>838.441554026768</v>
      </c>
      <c r="V59" s="5" t="n">
        <f aca="false">2*(ij*BCCIJ)+(2*jj*BCCJJ)+BCS+jj*BCPTJJ+2*(ij*BCPTIJ)+BCPTII+BCk</f>
        <v>1706.47168231779</v>
      </c>
      <c r="W59" s="5" t="n">
        <f aca="false">ij*BUTIJ+BUTII</f>
        <v>15876.6263955056</v>
      </c>
      <c r="X59" s="5" t="n">
        <f aca="false">Revenue-Cost</f>
        <v>-868.030128291018</v>
      </c>
      <c r="Y59" s="5" t="n">
        <f aca="false">Size</f>
        <v>50</v>
      </c>
      <c r="Z59" s="6" t="n">
        <f aca="false">Welfare/(Size)</f>
        <v>300.171925344291</v>
      </c>
      <c r="AA59" s="6" t="n">
        <f aca="false">Profit/(Size)</f>
        <v>-17.3606025658204</v>
      </c>
      <c r="AB59" s="6" t="n">
        <f aca="false">Utility/(Size)</f>
        <v>317.532527910112</v>
      </c>
      <c r="AD59" s="4" t="n">
        <f aca="false">(EXP(alpha*(zeta-2*a*psi))*((EXP(alpha*a*psi)-EXP(alpha*b*psi))^2))/((EXP(alpha*a*psi)-EXP(alpha*(b*psi)))*(alpha^2)*(psi^2))</f>
        <v>12.983596232206</v>
      </c>
      <c r="AE59" s="4" t="n">
        <f aca="false">(EXP(alpha*(zeta+(2*b-a)*psi))*(-1+EXP(alpha*(-1)*Size*psi))*(EXP(alpha*(a*psi))-EXP(alpha*(b*psi))))/(((EXP(alpha*a*psi)-EXP(alpha*(b*psi)))^2)*(alpha^2)*(psi^2))</f>
        <v>0.00718499805446688</v>
      </c>
      <c r="AF59" s="5" t="n">
        <f aca="false">BCS+Taxjj*BCPTJJ+2*(Taxij*BCPTIJ)+BCPTII</f>
        <v>2104.50655930219</v>
      </c>
      <c r="AG59" s="5" t="n">
        <f aca="false">Taxij*BUTIJ+BUTII</f>
        <v>17537.5546608516</v>
      </c>
      <c r="AH59" s="2" t="n">
        <f aca="false">TaxCost+TaxUtility</f>
        <v>19642.0612201538</v>
      </c>
      <c r="AI59" s="2" t="n">
        <f aca="false">TaxWelfare/Size</f>
        <v>392.841224403075</v>
      </c>
    </row>
    <row r="60" customFormat="false" ht="13" hidden="false" customHeight="false" outlineLevel="0" collapsed="false">
      <c r="A60" s="2" t="n">
        <v>0.620266630343719</v>
      </c>
      <c r="B60" s="2" t="n">
        <v>0.620266630343719</v>
      </c>
      <c r="C60" s="2" t="n">
        <v>100</v>
      </c>
      <c r="D60" s="2" t="n">
        <v>0</v>
      </c>
      <c r="E60" s="2" t="n">
        <f aca="false">Size-a</f>
        <v>100</v>
      </c>
      <c r="F60" s="4" t="n">
        <f aca="false">(EXP(alpha*(Tau+OldTau+zeta-2*a*psi))*((EXP(alpha*a*psi)-EXP(alpha*b*psi))^2))/((EXP(alpha*a*psi)-EXP(alpha*(2*OldTau+b*psi)))*(alpha^2)*(psi^2))</f>
        <v>3.75732093350541</v>
      </c>
      <c r="G60" s="4" t="n">
        <f aca="false">(EXP(alpha*(zeta+(2*b-a)*psi))*(-1+EXP(alpha*(-1)*Size*psi))*(EXP(alpha*(2*(Tau+OldTau)+a*psi))-EXP(alpha*(2*(Tau+OldTau)+b*psi))))/(((EXP(alpha*a*psi)-EXP(alpha*(2*OldTau+b*psi)))^2)*(alpha^2)*(psi^2))</f>
        <v>3.32433171023157E-007</v>
      </c>
      <c r="H60" s="5" t="n">
        <f aca="false">-Beta/alpha</f>
        <v>180</v>
      </c>
      <c r="I60" s="5" t="n">
        <f aca="false">(-EXP(alpha*zeta)*Beta*(-1+EXP(alpha*Size*psi)-Size*alpha*psi))/((alpha^3)*(psi^2))</f>
        <v>32736.7694155601</v>
      </c>
      <c r="J60" s="5" t="n">
        <v>0</v>
      </c>
      <c r="K60" s="5" t="n">
        <v>0</v>
      </c>
      <c r="L60" s="5" t="n">
        <v>0</v>
      </c>
      <c r="M60" s="5" t="n">
        <f aca="false">Gamma*Size</f>
        <v>0</v>
      </c>
      <c r="N60" s="5" t="n">
        <f aca="false">Size*Beta*Phi</f>
        <v>324</v>
      </c>
      <c r="O60" s="5" t="n">
        <f aca="false">-(EXP(alpha*a*psi)+EXP(alpha*b*psi)*(-1+Size*psi*alpha))*(Beta*Phi)/((alpha*psi)*(EXP(alpha*a*psi)-EXP(alpha*b*psi)))</f>
        <v>21.5999008876178</v>
      </c>
      <c r="P60" s="5" t="n">
        <f aca="false">(EXP(alpha*(zeta-a*psi))*Beta*Phi*(-EXP(alpha*a*psi)*(-2+(-1)*Size*alpha*psi)+EXP(alpha*b*psi)*(-2+Size*alpha*psi)))/((alpha^3)*(psi^3))</f>
        <v>3647.81282867692</v>
      </c>
      <c r="Q60" s="5" t="n">
        <f aca="false">Tau*Beta</f>
        <v>111.647993461869</v>
      </c>
      <c r="R60" s="5" t="n">
        <f aca="false">Tau*Beta</f>
        <v>111.647993461869</v>
      </c>
      <c r="S60" s="6" t="n">
        <f aca="false">Tau</f>
        <v>0.620266630343719</v>
      </c>
      <c r="T60" s="5" t="n">
        <f aca="false">Profit+Utility</f>
        <v>30441.9534879397</v>
      </c>
      <c r="U60" s="5" t="n">
        <f aca="false">(2*ij*BRIJ)+2*jj*BRJJ</f>
        <v>838.994760267308</v>
      </c>
      <c r="V60" s="5" t="n">
        <f aca="false">2*(ij*BCCIJ)+(2*jj*BCCJJ)+BCS+jj*BCPTJJ+2*(ij*BCPTIJ)+BCPTII+BCk</f>
        <v>3810.12845591865</v>
      </c>
      <c r="W60" s="5" t="n">
        <f aca="false">ij*BUTIJ+BUTII</f>
        <v>33413.0871835911</v>
      </c>
      <c r="X60" s="5" t="n">
        <f aca="false">Revenue-Cost</f>
        <v>-2971.13369565134</v>
      </c>
      <c r="Y60" s="5" t="n">
        <f aca="false">Size</f>
        <v>100</v>
      </c>
      <c r="Z60" s="6" t="n">
        <f aca="false">Welfare/(Size)</f>
        <v>304.419534879397</v>
      </c>
      <c r="AA60" s="6" t="n">
        <f aca="false">Profit/(Size)</f>
        <v>-29.7113369565134</v>
      </c>
      <c r="AB60" s="6" t="n">
        <f aca="false">Utility/(Size)</f>
        <v>334.130871835911</v>
      </c>
      <c r="AD60" s="4" t="n">
        <f aca="false">(EXP(alpha*(zeta-2*a*psi))*((EXP(alpha*a*psi)-EXP(alpha*b*psi))^2))/((EXP(alpha*a*psi)-EXP(alpha*(b*psi)))*(alpha^2)*(psi^2))</f>
        <v>12.9907772563503</v>
      </c>
      <c r="AE60" s="4" t="n">
        <f aca="false">(EXP(alpha*(zeta+(2*b-a)*psi))*(-1+EXP(alpha*(-1)*Size*psi))*(EXP(alpha*(a*psi))-EXP(alpha*(b*psi))))/(((EXP(alpha*a*psi)-EXP(alpha*(b*psi)))^2)*(alpha^2)*(psi^2))</f>
        <v>3.97391012346822E-006</v>
      </c>
      <c r="AF60" s="5" t="n">
        <f aca="false">BCS+Taxjj*BCPTJJ+2*(Taxij*BCPTIJ)+BCPTII</f>
        <v>4209.01311860438</v>
      </c>
      <c r="AG60" s="5" t="n">
        <f aca="false">Taxij*BUTIJ+BUTII</f>
        <v>35075.1093217031</v>
      </c>
      <c r="AH60" s="2" t="n">
        <f aca="false">TaxCost+TaxUtility</f>
        <v>39284.1224403075</v>
      </c>
      <c r="AI60" s="2" t="n">
        <f aca="false">TaxWelfare/Size</f>
        <v>392.841224403075</v>
      </c>
    </row>
    <row r="61" customFormat="false" ht="13" hidden="false" customHeight="false" outlineLevel="0" collapsed="false">
      <c r="A61" s="2" t="n">
        <v>0.620266955521841</v>
      </c>
      <c r="B61" s="2" t="n">
        <v>0.620266955521841</v>
      </c>
      <c r="C61" s="2" t="n">
        <v>200</v>
      </c>
      <c r="D61" s="2" t="n">
        <v>0</v>
      </c>
      <c r="E61" s="2" t="n">
        <f aca="false">Size-a</f>
        <v>200</v>
      </c>
      <c r="F61" s="4" t="n">
        <f aca="false">(EXP(alpha*(Tau+OldTau+zeta-2*a*psi))*((EXP(alpha*a*psi)-EXP(alpha*b*psi))^2))/((EXP(alpha*a*psi)-EXP(alpha*(2*OldTau+b*psi)))*(alpha^2)*(psi^2))</f>
        <v>3.75732045622129</v>
      </c>
      <c r="G61" s="4" t="n">
        <f aca="false">(EXP(alpha*(zeta+(2*b-a)*psi))*(-1+EXP(alpha*(-1)*Size*psi))*(EXP(alpha*(2*(Tau+OldTau)+a*psi))-EXP(alpha*(2*(Tau+OldTau)+b*psi))))/(((EXP(alpha*a*psi)-EXP(alpha*(2*OldTau+b*psi)))^2)*(alpha^2)*(psi^2))</f>
        <v>1.01691990376688E-013</v>
      </c>
      <c r="H61" s="5" t="n">
        <f aca="false">-Beta/alpha</f>
        <v>180</v>
      </c>
      <c r="I61" s="5" t="n">
        <f aca="false">(-EXP(alpha*zeta)*Beta*(-1+EXP(alpha*Size*psi)-Size*alpha*psi))/((alpha^3)*(psi^2))</f>
        <v>67811.8780219596</v>
      </c>
      <c r="J61" s="5" t="n">
        <v>0</v>
      </c>
      <c r="K61" s="5" t="n">
        <v>0</v>
      </c>
      <c r="L61" s="5" t="n">
        <v>0</v>
      </c>
      <c r="M61" s="5" t="n">
        <f aca="false">Gamma*Size</f>
        <v>0</v>
      </c>
      <c r="N61" s="5" t="n">
        <f aca="false">Size*Beta*Phi</f>
        <v>648</v>
      </c>
      <c r="O61" s="5" t="n">
        <f aca="false">-(EXP(alpha*a*psi)+EXP(alpha*b*psi)*(-1+Size*psi*alpha))*(Beta*Phi)/((alpha*psi)*(EXP(alpha*a*psi)-EXP(alpha*b*psi)))</f>
        <v>21.5999999999394</v>
      </c>
      <c r="P61" s="5" t="n">
        <f aca="false">(EXP(alpha*(zeta-a*psi))*Beta*Phi*(-EXP(alpha*a*psi)*(-2+(-1)*Size*alpha*psi)+EXP(alpha*b*psi)*(-2+Size*alpha*psi)))/((alpha^3)*(psi^3))</f>
        <v>7856.82448806234</v>
      </c>
      <c r="Q61" s="5" t="n">
        <f aca="false">Tau*Beta</f>
        <v>111.648051993931</v>
      </c>
      <c r="R61" s="5" t="n">
        <f aca="false">Tau*Beta</f>
        <v>111.648051993931</v>
      </c>
      <c r="S61" s="6" t="n">
        <f aca="false">Tau</f>
        <v>0.620266955521841</v>
      </c>
      <c r="T61" s="5" t="n">
        <f aca="false">Profit+Utility</f>
        <v>61308.0499916169</v>
      </c>
      <c r="U61" s="5" t="n">
        <f aca="false">(2*ij*BRIJ)+2*jj*BRJJ</f>
        <v>838.995019308136</v>
      </c>
      <c r="V61" s="5" t="n">
        <f aca="false">2*(ij*BCCIJ)+(2*jj*BCCJJ)+BCS+jj*BCPTJJ+2*(ij*BCPTIJ)+BCPTII+BCk</f>
        <v>8019.14073177071</v>
      </c>
      <c r="W61" s="5" t="n">
        <f aca="false">ij*BUTIJ+BUTII</f>
        <v>68488.1957040794</v>
      </c>
      <c r="X61" s="5" t="n">
        <f aca="false">Revenue-Cost</f>
        <v>-7180.14571246258</v>
      </c>
      <c r="Y61" s="5" t="n">
        <f aca="false">Size</f>
        <v>200</v>
      </c>
      <c r="Z61" s="6" t="n">
        <f aca="false">Welfare/(Size)</f>
        <v>306.540249958084</v>
      </c>
      <c r="AA61" s="6" t="n">
        <f aca="false">Profit/(Size)</f>
        <v>-35.9007285623129</v>
      </c>
      <c r="AB61" s="6" t="n">
        <f aca="false">Utility/(Size)</f>
        <v>342.440978520397</v>
      </c>
      <c r="AD61" s="4" t="n">
        <f aca="false">(EXP(alpha*(zeta-2*a*psi))*((EXP(alpha*a*psi)-EXP(alpha*b*psi))^2))/((EXP(alpha*a*psi)-EXP(alpha*(b*psi)))*(alpha^2)*(psi^2))</f>
        <v>12.9907812302592</v>
      </c>
      <c r="AE61" s="4" t="n">
        <f aca="false">(EXP(alpha*(zeta+(2*b-a)*psi))*(-1+EXP(alpha*(-1)*Size*psi))*(EXP(alpha*(a*psi))-EXP(alpha*(b*psi))))/(((EXP(alpha*a*psi)-EXP(alpha*(b*psi)))^2)*(alpha^2)*(psi^2))</f>
        <v>1.21562832823463E-012</v>
      </c>
      <c r="AF61" s="5" t="n">
        <f aca="false">BCS+Taxjj*BCPTJJ+2*(Taxij*BCPTIJ)+BCPTII</f>
        <v>8418.02623720875</v>
      </c>
      <c r="AG61" s="5" t="n">
        <f aca="false">Taxij*BUTIJ+BUTII</f>
        <v>70150.2186434063</v>
      </c>
      <c r="AH61" s="2" t="n">
        <f aca="false">TaxCost+TaxUtility</f>
        <v>78568.244880615</v>
      </c>
      <c r="AI61" s="2" t="n">
        <f aca="false">TaxWelfare/Size</f>
        <v>392.841224403075</v>
      </c>
    </row>
    <row r="62" customFormat="false" ht="13" hidden="false" customHeight="false" outlineLevel="0" collapsed="false">
      <c r="A62" s="2" t="n">
        <v>0.62026695552203</v>
      </c>
      <c r="B62" s="2" t="n">
        <v>0.62026695552203</v>
      </c>
      <c r="C62" s="2" t="n">
        <v>500</v>
      </c>
      <c r="D62" s="2" t="n">
        <v>0</v>
      </c>
      <c r="E62" s="2" t="n">
        <f aca="false">Size-a</f>
        <v>500</v>
      </c>
      <c r="F62" s="4" t="n">
        <f aca="false">(EXP(alpha*(Tau+OldTau+zeta-2*a*psi))*((EXP(alpha*a*psi)-EXP(alpha*b*psi))^2))/((EXP(alpha*a*psi)-EXP(alpha*(2*OldTau+b*psi)))*(alpha^2)*(psi^2))</f>
        <v>3.75732045622047</v>
      </c>
      <c r="G62" s="4" t="n">
        <f aca="false">(EXP(alpha*(zeta+(2*b-a)*psi))*(-1+EXP(alpha*(-1)*Size*psi))*(EXP(alpha*(2*(Tau+OldTau)+a*psi))-EXP(alpha*(2*(Tau+OldTau)+b*psi))))/(((EXP(alpha*a*psi)-EXP(alpha*(2*OldTau+b*psi)))^2)*(alpha^2)*(psi^2))</f>
        <v>2.91095211946139E-033</v>
      </c>
      <c r="H62" s="5" t="n">
        <f aca="false">-Beta/alpha</f>
        <v>180</v>
      </c>
      <c r="I62" s="5" t="n">
        <f aca="false">(-EXP(alpha*zeta)*Beta*(-1+EXP(alpha*Size*psi)-Size*alpha*psi))/((alpha^3)*(psi^2))</f>
        <v>173037.205987069</v>
      </c>
      <c r="J62" s="5" t="n">
        <v>0</v>
      </c>
      <c r="K62" s="5" t="n">
        <v>0</v>
      </c>
      <c r="L62" s="5" t="n">
        <v>0</v>
      </c>
      <c r="M62" s="5" t="n">
        <f aca="false">Gamma*Size</f>
        <v>0</v>
      </c>
      <c r="N62" s="5" t="n">
        <f aca="false">Size*Beta*Phi</f>
        <v>1620</v>
      </c>
      <c r="O62" s="5" t="n">
        <f aca="false">-(EXP(alpha*a*psi)+EXP(alpha*b*psi)*(-1+Size*psi*alpha))*(Beta*Phi)/((alpha*psi)*(EXP(alpha*a*psi)-EXP(alpha*b*psi)))</f>
        <v>21.6</v>
      </c>
      <c r="P62" s="5" t="n">
        <f aca="false">(EXP(alpha*(zeta-a*psi))*Beta*Phi*(-EXP(alpha*a*psi)*(-2+(-1)*Size*alpha*psi)+EXP(alpha*b*psi)*(-2+Size*alpha*psi)))/((alpha^3)*(psi^3))</f>
        <v>20483.8638438746</v>
      </c>
      <c r="Q62" s="5" t="n">
        <f aca="false">Tau*Beta</f>
        <v>111.648051993965</v>
      </c>
      <c r="R62" s="5" t="n">
        <f aca="false">Tau*Beta</f>
        <v>111.648051993965</v>
      </c>
      <c r="S62" s="6" t="n">
        <f aca="false">Tau</f>
        <v>0.62026695552203</v>
      </c>
      <c r="T62" s="5" t="n">
        <f aca="false">Profit+Utility</f>
        <v>153906.338600913</v>
      </c>
      <c r="U62" s="5" t="n">
        <f aca="false">(2*ij*BRIJ)+2*jj*BRJJ</f>
        <v>838.995019308186</v>
      </c>
      <c r="V62" s="5" t="n">
        <f aca="false">2*(ij*BCCIJ)+(2*jj*BCCJJ)+BCS+jj*BCPTJJ+2*(ij*BCPTIJ)+BCPTII+BCk</f>
        <v>20646.1800875834</v>
      </c>
      <c r="W62" s="5" t="n">
        <f aca="false">ij*BUTIJ+BUTII</f>
        <v>173713.523669188</v>
      </c>
      <c r="X62" s="5" t="n">
        <f aca="false">Revenue-Cost</f>
        <v>-19807.1850682752</v>
      </c>
      <c r="Y62" s="5" t="n">
        <f aca="false">Size</f>
        <v>500</v>
      </c>
      <c r="Z62" s="6" t="n">
        <f aca="false">Welfare/(Size)</f>
        <v>307.812677201827</v>
      </c>
      <c r="AA62" s="6" t="n">
        <f aca="false">Profit/(Size)</f>
        <v>-39.6143701365503</v>
      </c>
      <c r="AB62" s="6" t="n">
        <f aca="false">Utility/(Size)</f>
        <v>347.427047338377</v>
      </c>
      <c r="AD62" s="4" t="n">
        <f aca="false">(EXP(alpha*(zeta-2*a*psi))*((EXP(alpha*a*psi)-EXP(alpha*b*psi))^2))/((EXP(alpha*a*psi)-EXP(alpha*(b*psi)))*(alpha^2)*(psi^2))</f>
        <v>12.9907812302604</v>
      </c>
      <c r="AE62" s="4" t="n">
        <f aca="false">(EXP(alpha*(zeta+(2*b-a)*psi))*(-1+EXP(alpha*(-1)*Size*psi))*(EXP(alpha*(a*psi))-EXP(alpha*(b*psi))))/(((EXP(alpha*a*psi)-EXP(alpha*(b*psi)))^2)*(alpha^2)*(psi^2))</f>
        <v>3.47975867661385E-032</v>
      </c>
      <c r="AF62" s="5" t="n">
        <f aca="false">BCS+Taxjj*BCPTJJ+2*(Taxij*BCPTIJ)+BCPTII</f>
        <v>21045.0655930219</v>
      </c>
      <c r="AG62" s="5" t="n">
        <f aca="false">Taxij*BUTIJ+BUTII</f>
        <v>175375.546608516</v>
      </c>
      <c r="AH62" s="2" t="n">
        <f aca="false">TaxCost+TaxUtility</f>
        <v>196420.612201538</v>
      </c>
      <c r="AI62" s="2" t="n">
        <f aca="false">TaxWelfare/Size</f>
        <v>392.841224403075</v>
      </c>
    </row>
    <row r="63" customFormat="false" ht="13" hidden="false" customHeight="false" outlineLevel="0" collapsed="false">
      <c r="A63" s="2" t="n">
        <v>0.620266955522231</v>
      </c>
      <c r="B63" s="2" t="n">
        <v>0.620266955522231</v>
      </c>
      <c r="C63" s="2" t="n">
        <v>1000</v>
      </c>
      <c r="D63" s="2" t="n">
        <v>0</v>
      </c>
      <c r="E63" s="2" t="n">
        <f aca="false">Size-a</f>
        <v>1000</v>
      </c>
      <c r="F63" s="4" t="n">
        <f aca="false">(EXP(alpha*(Tau+OldTau+zeta-2*a*psi))*((EXP(alpha*a*psi)-EXP(alpha*b*psi))^2))/((EXP(alpha*a*psi)-EXP(alpha*(2*OldTau+b*psi)))*(alpha^2)*(psi^2))</f>
        <v>3.75732045621896</v>
      </c>
      <c r="G63" s="4" t="n">
        <f aca="false">(EXP(alpha*(zeta+(2*b-a)*psi))*(-1+EXP(alpha*(-1)*Size*psi))*(EXP(alpha*(2*(Tau+OldTau)+a*psi))-EXP(alpha*(2*(Tau+OldTau)+b*psi))))/(((EXP(alpha*a*psi)-EXP(alpha*(2*OldTau+b*psi)))^2)*(alpha^2)*(psi^2))</f>
        <v>7.79738394123638E-066</v>
      </c>
      <c r="H63" s="5" t="n">
        <f aca="false">-Beta/alpha</f>
        <v>180</v>
      </c>
      <c r="I63" s="5" t="n">
        <f aca="false">(-EXP(alpha*zeta)*Beta*(-1+EXP(alpha*Size*psi)-Size*alpha*psi))/((alpha^3)*(psi^2))</f>
        <v>348412.752595584</v>
      </c>
      <c r="J63" s="5" t="n">
        <v>0</v>
      </c>
      <c r="K63" s="5" t="n">
        <v>0</v>
      </c>
      <c r="L63" s="5" t="n">
        <v>0</v>
      </c>
      <c r="M63" s="5" t="n">
        <f aca="false">Gamma*Size</f>
        <v>0</v>
      </c>
      <c r="N63" s="5" t="n">
        <f aca="false">Size*Beta*Phi</f>
        <v>3240</v>
      </c>
      <c r="O63" s="5" t="n">
        <f aca="false">-(EXP(alpha*a*psi)+EXP(alpha*b*psi)*(-1+Size*psi*alpha))*(Beta*Phi)/((alpha*psi)*(EXP(alpha*a*psi)-EXP(alpha*b*psi)))</f>
        <v>21.6</v>
      </c>
      <c r="P63" s="5" t="n">
        <f aca="false">(EXP(alpha*(zeta-a*psi))*Beta*Phi*(-EXP(alpha*a*psi)*(-2+(-1)*Size*alpha*psi)+EXP(alpha*b*psi)*(-2+Size*alpha*psi)))/((alpha^3)*(psi^3))</f>
        <v>41528.9294368965</v>
      </c>
      <c r="Q63" s="5" t="n">
        <f aca="false">Tau*Beta</f>
        <v>111.648051994001</v>
      </c>
      <c r="R63" s="5" t="n">
        <f aca="false">Tau*Beta</f>
        <v>111.648051994001</v>
      </c>
      <c r="S63" s="6" t="n">
        <f aca="false">Tau</f>
        <v>0.620266955522231</v>
      </c>
      <c r="T63" s="5" t="n">
        <f aca="false">Profit+Utility</f>
        <v>308236.819616407</v>
      </c>
      <c r="U63" s="5" t="n">
        <f aca="false">(2*ij*BRIJ)+2*jj*BRJJ</f>
        <v>838.995019308121</v>
      </c>
      <c r="V63" s="5" t="n">
        <f aca="false">2*(ij*BCCIJ)+(2*jj*BCCJJ)+BCS+jj*BCPTJJ+2*(ij*BCPTIJ)+BCPTII+BCk</f>
        <v>41691.2456806052</v>
      </c>
      <c r="W63" s="5" t="n">
        <f aca="false">ij*BUTIJ+BUTII</f>
        <v>349089.070277704</v>
      </c>
      <c r="X63" s="5" t="n">
        <f aca="false">Revenue-Cost</f>
        <v>-40852.250661297</v>
      </c>
      <c r="Y63" s="5" t="n">
        <f aca="false">Size</f>
        <v>1000</v>
      </c>
      <c r="Z63" s="6" t="n">
        <f aca="false">Welfare/(Size)</f>
        <v>308.236819616407</v>
      </c>
      <c r="AA63" s="6" t="n">
        <f aca="false">Profit/(Size)</f>
        <v>-40.852250661297</v>
      </c>
      <c r="AB63" s="6" t="n">
        <f aca="false">Utility/(Size)</f>
        <v>349.089070277704</v>
      </c>
      <c r="AD63" s="4" t="n">
        <f aca="false">(EXP(alpha*(zeta-2*a*psi))*((EXP(alpha*a*psi)-EXP(alpha*b*psi))^2))/((EXP(alpha*a*psi)-EXP(alpha*(b*psi)))*(alpha^2)*(psi^2))</f>
        <v>12.9907812302604</v>
      </c>
      <c r="AE63" s="4" t="n">
        <f aca="false">(EXP(alpha*(zeta+(2*b-a)*psi))*(-1+EXP(alpha*(-1)*Size*psi))*(EXP(alpha*(a*psi))-EXP(alpha*(b*psi))))/(((EXP(alpha*a*psi)-EXP(alpha*(b*psi)))^2)*(alpha^2)*(psi^2))</f>
        <v>9.32101020934996E-065</v>
      </c>
      <c r="AF63" s="5" t="n">
        <f aca="false">BCS+Taxjj*BCPTJJ+2*(Taxij*BCPTIJ)+BCPTII</f>
        <v>42090.1311860438</v>
      </c>
      <c r="AG63" s="5" t="n">
        <f aca="false">Taxij*BUTIJ+BUTII</f>
        <v>350751.093217031</v>
      </c>
      <c r="AH63" s="2" t="n">
        <f aca="false">TaxCost+TaxUtility</f>
        <v>392841.224403075</v>
      </c>
      <c r="AI63" s="2" t="n">
        <f aca="false">TaxWelfare/Size</f>
        <v>392.841224403075</v>
      </c>
    </row>
    <row r="64" customFormat="false" ht="14" hidden="false" customHeight="false" outlineLevel="0" collapsed="false"/>
    <row r="65" customFormat="false" ht="13" hidden="false" customHeight="false" outlineLevel="0" collapsed="false">
      <c r="A65" s="18" t="s">
        <v>156</v>
      </c>
      <c r="B65" s="18"/>
      <c r="C65" s="18"/>
      <c r="D65" s="18"/>
      <c r="E65" s="18"/>
      <c r="F65" s="18"/>
      <c r="G65" s="18"/>
      <c r="H65" s="18"/>
      <c r="I65" s="18"/>
    </row>
    <row r="66" customFormat="false" ht="13" hidden="false" customHeight="false" outlineLevel="0" collapsed="false">
      <c r="A66" s="19"/>
      <c r="B66" s="19" t="s">
        <v>157</v>
      </c>
      <c r="C66" s="19" t="s">
        <v>158</v>
      </c>
      <c r="D66" s="19" t="s">
        <v>157</v>
      </c>
      <c r="E66" s="19" t="s">
        <v>159</v>
      </c>
      <c r="F66" s="19" t="s">
        <v>160</v>
      </c>
      <c r="G66" s="19" t="s">
        <v>161</v>
      </c>
      <c r="H66" s="20" t="s">
        <v>158</v>
      </c>
      <c r="I66" s="19" t="s">
        <v>150</v>
      </c>
    </row>
    <row r="67" customFormat="false" ht="13" hidden="false" customHeight="false" outlineLevel="0" collapsed="false">
      <c r="A67" s="21" t="s">
        <v>162</v>
      </c>
      <c r="B67" s="21" t="s">
        <v>163</v>
      </c>
      <c r="C67" s="21" t="s">
        <v>163</v>
      </c>
      <c r="D67" s="21" t="s">
        <v>164</v>
      </c>
      <c r="E67" s="21" t="s">
        <v>164</v>
      </c>
      <c r="F67" s="21" t="s">
        <v>164</v>
      </c>
      <c r="G67" s="21" t="s">
        <v>164</v>
      </c>
      <c r="H67" s="22" t="s">
        <v>164</v>
      </c>
      <c r="I67" s="21" t="s">
        <v>150</v>
      </c>
    </row>
    <row r="68" customFormat="false" ht="13" hidden="false" customHeight="false" outlineLevel="0" collapsed="false">
      <c r="A68" s="21" t="s">
        <v>162</v>
      </c>
      <c r="B68" s="21" t="s">
        <v>165</v>
      </c>
      <c r="C68" s="21" t="s">
        <v>166</v>
      </c>
      <c r="D68" s="21" t="s">
        <v>167</v>
      </c>
      <c r="E68" s="21" t="s">
        <v>168</v>
      </c>
      <c r="F68" s="21" t="s">
        <v>169</v>
      </c>
      <c r="G68" s="21" t="s">
        <v>170</v>
      </c>
      <c r="H68" s="22" t="s">
        <v>171</v>
      </c>
      <c r="I68" s="21" t="s">
        <v>150</v>
      </c>
    </row>
    <row r="69" customFormat="false" ht="13" hidden="false" customHeight="false" outlineLevel="0" collapsed="false">
      <c r="A69" s="15" t="n">
        <v>1</v>
      </c>
      <c r="B69" s="27" t="n">
        <f aca="false">Z2</f>
        <v>-20.2324130598923</v>
      </c>
      <c r="C69" s="27" t="n">
        <f aca="false">Z15</f>
        <v>69.7675869400947</v>
      </c>
      <c r="D69" s="27" t="n">
        <f aca="false">Z28</f>
        <v>-6.77166131945395</v>
      </c>
      <c r="E69" s="27" t="n">
        <f aca="false">2/3*$D69+1/3*$H69</f>
        <v>23.2283386805482</v>
      </c>
      <c r="F69" s="27" t="n">
        <f aca="false">0.5*$D69+0.5*$H69</f>
        <v>38.2283386805493</v>
      </c>
      <c r="G69" s="27" t="n">
        <f aca="false">1/3*$D69+2/3*$H69</f>
        <v>53.2283386805503</v>
      </c>
      <c r="H69" s="27" t="n">
        <f aca="false">Z54</f>
        <v>83.2283386805525</v>
      </c>
      <c r="I69" s="23" t="n">
        <f aca="false">AI2</f>
        <v>392.841224403075</v>
      </c>
    </row>
    <row r="70" customFormat="false" ht="13" hidden="false" customHeight="false" outlineLevel="0" collapsed="false">
      <c r="A70" s="15" t="n">
        <v>2</v>
      </c>
      <c r="B70" s="27" t="n">
        <f aca="false">Z3</f>
        <v>72.3159092315136</v>
      </c>
      <c r="C70" s="27" t="n">
        <f aca="false">Z16</f>
        <v>117.315909231508</v>
      </c>
      <c r="D70" s="27" t="n">
        <f aca="false">Z29</f>
        <v>91.3956166437198</v>
      </c>
      <c r="E70" s="27" t="n">
        <f aca="false">2/3*$D70+1/3*$H70</f>
        <v>106.395616643707</v>
      </c>
      <c r="F70" s="27" t="n">
        <f aca="false">0.5*$D70+0.5*$H70</f>
        <v>113.895616643701</v>
      </c>
      <c r="G70" s="27" t="n">
        <f aca="false">1/3*$D70+2/3*$H70</f>
        <v>121.395616643695</v>
      </c>
      <c r="H70" s="27" t="n">
        <f aca="false">Z55</f>
        <v>136.395616643682</v>
      </c>
      <c r="I70" s="23" t="n">
        <f aca="false">AI3</f>
        <v>392.841224403075</v>
      </c>
    </row>
    <row r="71" customFormat="false" ht="13" hidden="false" customHeight="false" outlineLevel="0" collapsed="false">
      <c r="A71" s="15" t="n">
        <v>5</v>
      </c>
      <c r="B71" s="27" t="n">
        <f aca="false">Z4</f>
        <v>177.162528049033</v>
      </c>
      <c r="C71" s="27" t="n">
        <f aca="false">Z17</f>
        <v>195.162528049042</v>
      </c>
      <c r="D71" s="27" t="n">
        <f aca="false">Z30</f>
        <v>198.224446149217</v>
      </c>
      <c r="E71" s="27" t="n">
        <f aca="false">2/3*$D71+1/3*$H71</f>
        <v>204.224446149219</v>
      </c>
      <c r="F71" s="27" t="n">
        <f aca="false">0.5*$D71+0.5*$H71</f>
        <v>207.22444614922</v>
      </c>
      <c r="G71" s="27" t="n">
        <f aca="false">1/3*$D71+2/3*$H71</f>
        <v>210.224446149221</v>
      </c>
      <c r="H71" s="27" t="n">
        <f aca="false">Z56</f>
        <v>216.224446149224</v>
      </c>
      <c r="I71" s="23" t="n">
        <f aca="false">AI4</f>
        <v>392.841224403075</v>
      </c>
    </row>
    <row r="72" customFormat="false" ht="13" hidden="false" customHeight="false" outlineLevel="0" collapsed="false">
      <c r="A72" s="15" t="n">
        <v>10</v>
      </c>
      <c r="B72" s="27" t="n">
        <f aca="false">Z5</f>
        <v>236.522783253851</v>
      </c>
      <c r="C72" s="27" t="n">
        <f aca="false">Z18</f>
        <v>245.522783253892</v>
      </c>
      <c r="D72" s="27" t="n">
        <f aca="false">Z31</f>
        <v>252.766658335437</v>
      </c>
      <c r="E72" s="27" t="n">
        <f aca="false">2/3*$D72+1/3*$H72</f>
        <v>255.766658335437</v>
      </c>
      <c r="F72" s="27" t="n">
        <f aca="false">0.5*$D72+0.5*$H72</f>
        <v>257.266658335438</v>
      </c>
      <c r="G72" s="27" t="n">
        <f aca="false">1/3*$D72+2/3*$H72</f>
        <v>258.766658335438</v>
      </c>
      <c r="H72" s="27" t="n">
        <f aca="false">Z57</f>
        <v>261.766658335438</v>
      </c>
      <c r="I72" s="23" t="n">
        <f aca="false">AI5</f>
        <v>392.841224403075</v>
      </c>
    </row>
    <row r="73" customFormat="false" ht="13" hidden="false" customHeight="false" outlineLevel="0" collapsed="false">
      <c r="A73" s="15" t="n">
        <v>20</v>
      </c>
      <c r="B73" s="27" t="n">
        <f aca="false">Z6</f>
        <v>272.489382395423</v>
      </c>
      <c r="C73" s="27" t="n">
        <f aca="false">Z19</f>
        <v>276.989382395422</v>
      </c>
      <c r="D73" s="27" t="n">
        <f aca="false">Z32</f>
        <v>282.194005362905</v>
      </c>
      <c r="E73" s="27" t="n">
        <f aca="false">2/3*$D73+1/3*$H73</f>
        <v>283.694005362904</v>
      </c>
      <c r="F73" s="27" t="n">
        <f aca="false">0.5*$D73+0.5*$H73</f>
        <v>284.444005362904</v>
      </c>
      <c r="G73" s="27" t="n">
        <f aca="false">1/3*$D73+2/3*$H73</f>
        <v>285.194005362904</v>
      </c>
      <c r="H73" s="27" t="n">
        <f aca="false">Z58</f>
        <v>286.694005362903</v>
      </c>
      <c r="I73" s="23" t="n">
        <f aca="false">AI6</f>
        <v>392.841224403075</v>
      </c>
    </row>
    <row r="74" customFormat="false" ht="13" hidden="false" customHeight="false" outlineLevel="0" collapsed="false">
      <c r="A74" s="15" t="n">
        <v>50</v>
      </c>
      <c r="B74" s="27" t="n">
        <f aca="false">Z7</f>
        <v>294.367665247671</v>
      </c>
      <c r="C74" s="27" t="n">
        <f aca="false">Z20</f>
        <v>296.167665247671</v>
      </c>
      <c r="D74" s="27" t="n">
        <f aca="false">Z33</f>
        <v>298.371925344291</v>
      </c>
      <c r="E74" s="27" t="n">
        <f aca="false">2/3*$D74+1/3*$H74</f>
        <v>298.971925344291</v>
      </c>
      <c r="F74" s="27" t="n">
        <f aca="false">0.5*$D74+0.5*$H74</f>
        <v>299.271925344291</v>
      </c>
      <c r="G74" s="27" t="n">
        <f aca="false">1/3*$D74+2/3*$H74</f>
        <v>299.571925344291</v>
      </c>
      <c r="H74" s="27" t="n">
        <f aca="false">Z59</f>
        <v>300.171925344291</v>
      </c>
      <c r="I74" s="23" t="n">
        <f aca="false">AI7</f>
        <v>392.841224403075</v>
      </c>
    </row>
    <row r="75" customFormat="false" ht="13" hidden="false" customHeight="false" outlineLevel="0" collapsed="false">
      <c r="A75" s="15" t="n">
        <v>100</v>
      </c>
      <c r="B75" s="27" t="n">
        <f aca="false">Z8</f>
        <v>301.517354899989</v>
      </c>
      <c r="C75" s="27" t="n">
        <f aca="false">Z21</f>
        <v>302.417354899987</v>
      </c>
      <c r="D75" s="27" t="n">
        <f aca="false">Z34</f>
        <v>303.519534879396</v>
      </c>
      <c r="E75" s="27" t="n">
        <f aca="false">2/3*$D75+1/3*$H75</f>
        <v>303.819534879396</v>
      </c>
      <c r="F75" s="27" t="n">
        <f aca="false">0.5*$D75+0.5*$H75</f>
        <v>303.969534879397</v>
      </c>
      <c r="G75" s="27" t="n">
        <f aca="false">1/3*$D75+2/3*$H75</f>
        <v>304.119534879397</v>
      </c>
      <c r="H75" s="27" t="n">
        <f aca="false">Z60</f>
        <v>304.419534879397</v>
      </c>
      <c r="I75" s="23" t="n">
        <f aca="false">AI8</f>
        <v>392.841224403075</v>
      </c>
    </row>
    <row r="76" customFormat="false" ht="13" hidden="false" customHeight="false" outlineLevel="0" collapsed="false">
      <c r="A76" s="15" t="n">
        <v>200</v>
      </c>
      <c r="B76" s="27" t="n">
        <f aca="false">Z9</f>
        <v>305.089160190133</v>
      </c>
      <c r="C76" s="27" t="n">
        <f aca="false">Z22</f>
        <v>305.539160190133</v>
      </c>
      <c r="D76" s="27" t="n">
        <f aca="false">Z35</f>
        <v>306.090249958084</v>
      </c>
      <c r="E76" s="27" t="n">
        <f aca="false">2/3*$D76+1/3*$H76</f>
        <v>306.240249958084</v>
      </c>
      <c r="F76" s="27" t="n">
        <f aca="false">0.5*$D76+0.5*$H76</f>
        <v>306.315249958084</v>
      </c>
      <c r="G76" s="27" t="n">
        <f aca="false">1/3*$D76+2/3*$H76</f>
        <v>306.390249958084</v>
      </c>
      <c r="H76" s="27" t="n">
        <f aca="false">Z61</f>
        <v>306.540249958084</v>
      </c>
      <c r="I76" s="23" t="n">
        <f aca="false">AI9</f>
        <v>392.841224403075</v>
      </c>
    </row>
    <row r="77" customFormat="false" ht="13" hidden="false" customHeight="false" outlineLevel="0" collapsed="false">
      <c r="A77" s="15" t="n">
        <v>500</v>
      </c>
      <c r="B77" s="27" t="n">
        <f aca="false">Z10</f>
        <v>307.232241294646</v>
      </c>
      <c r="C77" s="27" t="n">
        <f aca="false">Z23</f>
        <v>307.412241294646</v>
      </c>
      <c r="D77" s="27" t="n">
        <f aca="false">Z36</f>
        <v>307.632677201826</v>
      </c>
      <c r="E77" s="27" t="n">
        <f aca="false">2/3*$D77+1/3*$H77</f>
        <v>307.692677201826</v>
      </c>
      <c r="F77" s="27" t="n">
        <f aca="false">0.5*$D77+0.5*$H77</f>
        <v>307.722677201826</v>
      </c>
      <c r="G77" s="27" t="n">
        <f aca="false">1/3*$D77+2/3*$H77</f>
        <v>307.752677201827</v>
      </c>
      <c r="H77" s="27" t="n">
        <f aca="false">Z62</f>
        <v>307.812677201827</v>
      </c>
      <c r="I77" s="23" t="n">
        <f aca="false">AI10</f>
        <v>392.841224403075</v>
      </c>
    </row>
    <row r="78" customFormat="false" ht="14" hidden="false" customHeight="false" outlineLevel="0" collapsed="false">
      <c r="A78" s="16" t="n">
        <v>1000</v>
      </c>
      <c r="B78" s="25" t="n">
        <f aca="false">Z11</f>
        <v>307.946601662816</v>
      </c>
      <c r="C78" s="25" t="n">
        <f aca="false">Z24</f>
        <v>308.036601662817</v>
      </c>
      <c r="D78" s="25" t="n">
        <f aca="false">Z37</f>
        <v>308.146819616407</v>
      </c>
      <c r="E78" s="25" t="n">
        <f aca="false">2/3*$D78+1/3*$H78</f>
        <v>308.176819616407</v>
      </c>
      <c r="F78" s="25" t="n">
        <f aca="false">0.5*$D78+0.5*$H78</f>
        <v>308.191819616407</v>
      </c>
      <c r="G78" s="25" t="n">
        <f aca="false">1/3*$D78+2/3*$H78</f>
        <v>308.206819616407</v>
      </c>
      <c r="H78" s="25" t="n">
        <f aca="false">Z63</f>
        <v>308.236819616407</v>
      </c>
      <c r="I78" s="26" t="n">
        <f aca="false">AI11</f>
        <v>392.841224403075</v>
      </c>
    </row>
  </sheetData>
  <mergeCells count="1">
    <mergeCell ref="A65:I65"/>
  </mergeCells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A1" s="2" t="s">
        <v>104</v>
      </c>
    </row>
    <row r="2" customFormat="false" ht="14" hidden="false" customHeight="false" outlineLevel="0" collapsed="false"/>
    <row r="3" customFormat="false" ht="13" hidden="false" customHeight="false" outlineLevel="0" collapsed="false">
      <c r="A3" s="14" t="s">
        <v>105</v>
      </c>
      <c r="B3" s="14"/>
    </row>
    <row r="4" customFormat="false" ht="13" hidden="false" customHeight="false" outlineLevel="0" collapsed="false">
      <c r="A4" s="15" t="s">
        <v>106</v>
      </c>
      <c r="B4" s="15" t="n">
        <v>0.950227794462734</v>
      </c>
    </row>
    <row r="5" customFormat="false" ht="13" hidden="false" customHeight="false" outlineLevel="0" collapsed="false">
      <c r="A5" s="15" t="s">
        <v>107</v>
      </c>
      <c r="B5" s="15" t="n">
        <v>0.902932861369513</v>
      </c>
    </row>
    <row r="6" customFormat="false" ht="13" hidden="false" customHeight="false" outlineLevel="0" collapsed="false">
      <c r="A6" s="15" t="s">
        <v>108</v>
      </c>
      <c r="B6" s="15" t="n">
        <v>0.898802344832045</v>
      </c>
    </row>
    <row r="7" customFormat="false" ht="13" hidden="false" customHeight="false" outlineLevel="0" collapsed="false">
      <c r="A7" s="15" t="s">
        <v>109</v>
      </c>
      <c r="B7" s="15" t="n">
        <v>0.0188060658458058</v>
      </c>
    </row>
    <row r="8" customFormat="false" ht="14" hidden="false" customHeight="false" outlineLevel="0" collapsed="false">
      <c r="A8" s="16" t="s">
        <v>110</v>
      </c>
      <c r="B8" s="16" t="n">
        <v>50</v>
      </c>
    </row>
    <row r="10" customFormat="false" ht="14" hidden="false" customHeight="false" outlineLevel="0" collapsed="false">
      <c r="A10" s="2" t="s">
        <v>111</v>
      </c>
    </row>
    <row r="11" customFormat="false" ht="13" hidden="false" customHeight="false" outlineLevel="0" collapsed="false">
      <c r="A11" s="14"/>
      <c r="B11" s="14" t="s">
        <v>112</v>
      </c>
      <c r="C11" s="14" t="s">
        <v>113</v>
      </c>
      <c r="D11" s="14" t="s">
        <v>114</v>
      </c>
      <c r="E11" s="14" t="s">
        <v>115</v>
      </c>
      <c r="F11" s="14" t="s">
        <v>116</v>
      </c>
    </row>
    <row r="12" customFormat="false" ht="13" hidden="false" customHeight="false" outlineLevel="0" collapsed="false">
      <c r="A12" s="15" t="s">
        <v>117</v>
      </c>
      <c r="B12" s="15" t="n">
        <v>2</v>
      </c>
      <c r="C12" s="15" t="n">
        <v>0.154624032120668</v>
      </c>
      <c r="D12" s="15" t="n">
        <v>0.0773120160603342</v>
      </c>
      <c r="E12" s="15" t="n">
        <v>218.600471195088</v>
      </c>
      <c r="F12" s="15" t="n">
        <v>1.57107655570092E-024</v>
      </c>
    </row>
    <row r="13" customFormat="false" ht="13" hidden="false" customHeight="false" outlineLevel="0" collapsed="false">
      <c r="A13" s="15" t="s">
        <v>118</v>
      </c>
      <c r="B13" s="15" t="n">
        <v>47</v>
      </c>
      <c r="C13" s="15" t="n">
        <v>0.0166224012920488</v>
      </c>
      <c r="D13" s="15" t="n">
        <v>0.000353668112596782</v>
      </c>
      <c r="E13" s="15"/>
      <c r="F13" s="15"/>
    </row>
    <row r="14" customFormat="false" ht="14" hidden="false" customHeight="false" outlineLevel="0" collapsed="false">
      <c r="A14" s="16" t="s">
        <v>119</v>
      </c>
      <c r="B14" s="16" t="n">
        <v>49</v>
      </c>
      <c r="C14" s="16" t="n">
        <v>0.171246433412717</v>
      </c>
      <c r="D14" s="16"/>
      <c r="E14" s="16"/>
      <c r="F14" s="16"/>
    </row>
    <row r="15" customFormat="false" ht="14" hidden="false" customHeight="false" outlineLevel="0" collapsed="false"/>
    <row r="16" customFormat="false" ht="13" hidden="false" customHeight="false" outlineLevel="0" collapsed="false">
      <c r="A16" s="14"/>
      <c r="B16" s="14" t="s">
        <v>120</v>
      </c>
      <c r="C16" s="14" t="s">
        <v>109</v>
      </c>
      <c r="D16" s="14" t="s">
        <v>121</v>
      </c>
      <c r="E16" s="14" t="s">
        <v>122</v>
      </c>
      <c r="F16" s="14" t="s">
        <v>123</v>
      </c>
      <c r="G16" s="14" t="s">
        <v>124</v>
      </c>
      <c r="H16" s="14" t="s">
        <v>125</v>
      </c>
      <c r="I16" s="14" t="s">
        <v>126</v>
      </c>
    </row>
    <row r="17" customFormat="false" ht="13" hidden="false" customHeight="false" outlineLevel="0" collapsed="false">
      <c r="A17" s="15" t="s">
        <v>127</v>
      </c>
      <c r="B17" s="15" t="n">
        <v>0.52322571995861</v>
      </c>
      <c r="C17" s="15" t="n">
        <v>0.00538680153951533</v>
      </c>
      <c r="D17" s="15" t="n">
        <v>97.1310556218648</v>
      </c>
      <c r="E17" s="15" t="n">
        <v>7.98670497696947E-056</v>
      </c>
      <c r="F17" s="15" t="n">
        <v>0.512388883286495</v>
      </c>
      <c r="G17" s="15" t="n">
        <v>0.534062556630725</v>
      </c>
      <c r="H17" s="15" t="n">
        <v>0.512388883286495</v>
      </c>
      <c r="I17" s="15" t="n">
        <v>0.534062556630725</v>
      </c>
    </row>
    <row r="18" customFormat="false" ht="13" hidden="false" customHeight="false" outlineLevel="0" collapsed="false">
      <c r="A18" s="15" t="s">
        <v>172</v>
      </c>
      <c r="B18" s="15" t="n">
        <v>0.0178334986420743</v>
      </c>
      <c r="C18" s="15" t="n">
        <v>0.00120176410395769</v>
      </c>
      <c r="D18" s="15" t="n">
        <v>14.8394336154195</v>
      </c>
      <c r="E18" s="15" t="n">
        <v>2.32822041171587E-019</v>
      </c>
      <c r="F18" s="15" t="n">
        <v>0.0154158633871894</v>
      </c>
      <c r="G18" s="15" t="n">
        <v>0.0202511338969592</v>
      </c>
      <c r="H18" s="15" t="n">
        <v>0.0154158633871894</v>
      </c>
      <c r="I18" s="15" t="n">
        <v>0.0202511338969592</v>
      </c>
    </row>
    <row r="19" customFormat="false" ht="14" hidden="false" customHeight="false" outlineLevel="0" collapsed="false">
      <c r="A19" s="16" t="s">
        <v>173</v>
      </c>
      <c r="B19" s="16" t="n">
        <v>0.999630172335062</v>
      </c>
      <c r="C19" s="16" t="n">
        <v>0.0678605448654612</v>
      </c>
      <c r="D19" s="16" t="n">
        <v>14.7306534941166</v>
      </c>
      <c r="E19" s="16" t="n">
        <v>3.09860040823816E-019</v>
      </c>
      <c r="F19" s="16" t="n">
        <v>0.863112493747274</v>
      </c>
      <c r="G19" s="16" t="n">
        <v>1.13614785092285</v>
      </c>
      <c r="H19" s="16" t="n">
        <v>0.863112493747274</v>
      </c>
      <c r="I19" s="16" t="n">
        <v>1.13614785092285</v>
      </c>
    </row>
  </sheetData>
  <mergeCells count="1">
    <mergeCell ref="A3:B3"/>
  </mergeCells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C3" activeCellId="0" sqref="C3:C51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A1" s="2" t="s">
        <v>13</v>
      </c>
      <c r="B1" s="2" t="s">
        <v>15</v>
      </c>
      <c r="C1" s="2" t="s">
        <v>172</v>
      </c>
      <c r="D1" s="2" t="s">
        <v>173</v>
      </c>
      <c r="E1" s="2" t="s">
        <v>174</v>
      </c>
    </row>
    <row r="2" customFormat="false" ht="13" hidden="false" customHeight="false" outlineLevel="0" collapsed="false">
      <c r="A2" s="2" t="n">
        <v>0.588963732530975</v>
      </c>
      <c r="B2" s="2" t="n">
        <v>1</v>
      </c>
      <c r="C2" s="2" t="n">
        <f aca="false">LN(B2)</f>
        <v>0</v>
      </c>
      <c r="D2" s="2" t="n">
        <v>0.08</v>
      </c>
      <c r="E2" s="2" t="n">
        <v>90</v>
      </c>
    </row>
    <row r="3" customFormat="false" ht="13" hidden="false" customHeight="false" outlineLevel="0" collapsed="false">
      <c r="A3" s="2" t="n">
        <v>0.597746822068934</v>
      </c>
      <c r="B3" s="2" t="n">
        <v>2</v>
      </c>
      <c r="C3" s="2" t="n">
        <f aca="false">LN(B3)</f>
        <v>0.693147180559945</v>
      </c>
      <c r="D3" s="2" t="n">
        <v>0.08</v>
      </c>
      <c r="E3" s="2" t="n">
        <v>90</v>
      </c>
    </row>
    <row r="4" customFormat="false" ht="13" hidden="false" customHeight="false" outlineLevel="0" collapsed="false">
      <c r="A4" s="2" t="n">
        <v>0.621942558784846</v>
      </c>
      <c r="B4" s="2" t="n">
        <v>5</v>
      </c>
      <c r="C4" s="2" t="n">
        <f aca="false">LN(B4)</f>
        <v>1.6094379124341</v>
      </c>
      <c r="D4" s="2" t="n">
        <v>0.08</v>
      </c>
      <c r="E4" s="2" t="n">
        <v>90</v>
      </c>
    </row>
    <row r="5" customFormat="false" ht="13" hidden="false" customHeight="false" outlineLevel="0" collapsed="false">
      <c r="A5" s="2" t="n">
        <v>0.652780900524843</v>
      </c>
      <c r="B5" s="2" t="n">
        <v>10</v>
      </c>
      <c r="C5" s="2" t="n">
        <f aca="false">LN(B5)</f>
        <v>2.30258509299405</v>
      </c>
      <c r="D5" s="2" t="n">
        <v>0.08</v>
      </c>
      <c r="E5" s="2" t="n">
        <v>90</v>
      </c>
    </row>
    <row r="6" customFormat="false" ht="13" hidden="false" customHeight="false" outlineLevel="0" collapsed="false">
      <c r="A6" s="2" t="n">
        <v>0.684749188925439</v>
      </c>
      <c r="B6" s="2" t="n">
        <v>20</v>
      </c>
      <c r="C6" s="2" t="n">
        <f aca="false">LN(B6)</f>
        <v>2.99573227355399</v>
      </c>
      <c r="D6" s="2" t="n">
        <v>0.08</v>
      </c>
      <c r="E6" s="2" t="n">
        <v>90</v>
      </c>
    </row>
    <row r="7" customFormat="false" ht="13" hidden="false" customHeight="false" outlineLevel="0" collapsed="false">
      <c r="A7" s="2" t="n">
        <v>0.700071638032608</v>
      </c>
      <c r="B7" s="2" t="n">
        <v>50</v>
      </c>
      <c r="C7" s="2" t="n">
        <f aca="false">LN(B7)</f>
        <v>3.91202300542815</v>
      </c>
      <c r="D7" s="2" t="n">
        <v>0.08</v>
      </c>
      <c r="E7" s="2" t="n">
        <v>90</v>
      </c>
    </row>
    <row r="8" customFormat="false" ht="13" hidden="false" customHeight="false" outlineLevel="0" collapsed="false">
      <c r="A8" s="2" t="n">
        <v>0.700413164833829</v>
      </c>
      <c r="B8" s="2" t="n">
        <v>100</v>
      </c>
      <c r="C8" s="2" t="n">
        <f aca="false">LN(B8)</f>
        <v>4.60517018598809</v>
      </c>
      <c r="D8" s="2" t="n">
        <v>0.08</v>
      </c>
      <c r="E8" s="2" t="n">
        <v>90</v>
      </c>
    </row>
    <row r="9" customFormat="false" ht="13" hidden="false" customHeight="false" outlineLevel="0" collapsed="false">
      <c r="A9" s="2" t="n">
        <v>0.700413517896516</v>
      </c>
      <c r="B9" s="2" t="n">
        <v>200</v>
      </c>
      <c r="C9" s="2" t="n">
        <f aca="false">LN(B9)</f>
        <v>5.29831736654804</v>
      </c>
      <c r="D9" s="2" t="n">
        <v>0.08</v>
      </c>
      <c r="E9" s="2" t="n">
        <v>90</v>
      </c>
    </row>
    <row r="10" customFormat="false" ht="13" hidden="false" customHeight="false" outlineLevel="0" collapsed="false">
      <c r="A10" s="2" t="n">
        <v>0.700413517896968</v>
      </c>
      <c r="B10" s="2" t="n">
        <v>500</v>
      </c>
      <c r="C10" s="2" t="n">
        <f aca="false">LN(B10)</f>
        <v>6.21460809842219</v>
      </c>
      <c r="D10" s="2" t="n">
        <v>0.08</v>
      </c>
      <c r="E10" s="2" t="n">
        <v>90</v>
      </c>
    </row>
    <row r="11" customFormat="false" ht="13" hidden="false" customHeight="false" outlineLevel="0" collapsed="false">
      <c r="A11" s="2" t="n">
        <v>0.700413517897206</v>
      </c>
      <c r="B11" s="2" t="n">
        <v>1000</v>
      </c>
      <c r="C11" s="2" t="n">
        <f aca="false">LN(B11)</f>
        <v>6.90775527898214</v>
      </c>
      <c r="D11" s="2" t="n">
        <v>0.08</v>
      </c>
      <c r="E11" s="2" t="n">
        <v>90</v>
      </c>
    </row>
    <row r="12" customFormat="false" ht="13" hidden="false" customHeight="false" outlineLevel="0" collapsed="false">
      <c r="A12" s="2" t="n">
        <v>0.588963732531121</v>
      </c>
      <c r="B12" s="2" t="n">
        <v>1</v>
      </c>
      <c r="C12" s="2" t="n">
        <f aca="false">LN(B12)</f>
        <v>0</v>
      </c>
      <c r="D12" s="2" t="n">
        <v>0.08</v>
      </c>
      <c r="E12" s="2" t="n">
        <v>0</v>
      </c>
    </row>
    <row r="13" customFormat="false" ht="13" hidden="false" customHeight="false" outlineLevel="0" collapsed="false">
      <c r="A13" s="2" t="n">
        <v>0.597746822068981</v>
      </c>
      <c r="B13" s="2" t="n">
        <v>2</v>
      </c>
      <c r="C13" s="2" t="n">
        <f aca="false">LN(B13)</f>
        <v>0.693147180559945</v>
      </c>
      <c r="D13" s="2" t="n">
        <v>0.08</v>
      </c>
      <c r="E13" s="2" t="n">
        <v>0</v>
      </c>
    </row>
    <row r="14" customFormat="false" ht="13" hidden="false" customHeight="false" outlineLevel="0" collapsed="false">
      <c r="A14" s="2" t="n">
        <v>0.621942558784777</v>
      </c>
      <c r="B14" s="2" t="n">
        <v>5</v>
      </c>
      <c r="C14" s="2" t="n">
        <f aca="false">LN(B14)</f>
        <v>1.6094379124341</v>
      </c>
      <c r="D14" s="2" t="n">
        <v>0.08</v>
      </c>
      <c r="E14" s="2" t="n">
        <v>0</v>
      </c>
    </row>
    <row r="15" customFormat="false" ht="13" hidden="false" customHeight="false" outlineLevel="0" collapsed="false">
      <c r="A15" s="2" t="n">
        <v>0.652780900524423</v>
      </c>
      <c r="B15" s="2" t="n">
        <v>10</v>
      </c>
      <c r="C15" s="2" t="n">
        <f aca="false">LN(B15)</f>
        <v>2.30258509299405</v>
      </c>
      <c r="D15" s="2" t="n">
        <v>0.08</v>
      </c>
      <c r="E15" s="2" t="n">
        <v>0</v>
      </c>
    </row>
    <row r="16" customFormat="false" ht="13" hidden="false" customHeight="false" outlineLevel="0" collapsed="false">
      <c r="A16" s="2" t="n">
        <v>0.684749188925444</v>
      </c>
      <c r="B16" s="2" t="n">
        <v>20</v>
      </c>
      <c r="C16" s="2" t="n">
        <f aca="false">LN(B16)</f>
        <v>2.99573227355399</v>
      </c>
      <c r="D16" s="2" t="n">
        <v>0.08</v>
      </c>
      <c r="E16" s="2" t="n">
        <v>0</v>
      </c>
    </row>
    <row r="17" customFormat="false" ht="13" hidden="false" customHeight="false" outlineLevel="0" collapsed="false">
      <c r="A17" s="2" t="n">
        <v>0.700071638032619</v>
      </c>
      <c r="B17" s="2" t="n">
        <v>50</v>
      </c>
      <c r="C17" s="2" t="n">
        <f aca="false">LN(B17)</f>
        <v>3.91202300542815</v>
      </c>
      <c r="D17" s="2" t="n">
        <v>0.08</v>
      </c>
      <c r="E17" s="2" t="n">
        <v>0</v>
      </c>
    </row>
    <row r="18" customFormat="false" ht="13" hidden="false" customHeight="false" outlineLevel="0" collapsed="false">
      <c r="A18" s="2" t="n">
        <v>0.700413164833922</v>
      </c>
      <c r="B18" s="2" t="n">
        <v>100</v>
      </c>
      <c r="C18" s="2" t="n">
        <f aca="false">LN(B18)</f>
        <v>4.60517018598809</v>
      </c>
      <c r="D18" s="2" t="n">
        <v>0.08</v>
      </c>
      <c r="E18" s="2" t="n">
        <v>0</v>
      </c>
    </row>
    <row r="19" customFormat="false" ht="13" hidden="false" customHeight="false" outlineLevel="0" collapsed="false">
      <c r="A19" s="2" t="n">
        <v>0.70041351789653</v>
      </c>
      <c r="B19" s="2" t="n">
        <v>200</v>
      </c>
      <c r="C19" s="2" t="n">
        <f aca="false">LN(B19)</f>
        <v>5.29831736654804</v>
      </c>
      <c r="D19" s="2" t="n">
        <v>0.08</v>
      </c>
      <c r="E19" s="2" t="n">
        <v>0</v>
      </c>
    </row>
    <row r="20" customFormat="false" ht="13" hidden="false" customHeight="false" outlineLevel="0" collapsed="false">
      <c r="A20" s="2" t="n">
        <v>0.700413517896604</v>
      </c>
      <c r="B20" s="2" t="n">
        <v>500</v>
      </c>
      <c r="C20" s="2" t="n">
        <f aca="false">LN(B20)</f>
        <v>6.21460809842219</v>
      </c>
      <c r="D20" s="2" t="n">
        <v>0.08</v>
      </c>
      <c r="E20" s="2" t="n">
        <v>0</v>
      </c>
    </row>
    <row r="21" customFormat="false" ht="13" hidden="false" customHeight="false" outlineLevel="0" collapsed="false">
      <c r="A21" s="2" t="n">
        <v>0.700413517896812</v>
      </c>
      <c r="B21" s="2" t="n">
        <v>1000</v>
      </c>
      <c r="C21" s="2" t="n">
        <f aca="false">LN(B21)</f>
        <v>6.90775527898214</v>
      </c>
      <c r="D21" s="2" t="n">
        <v>0.08</v>
      </c>
      <c r="E21" s="2" t="n">
        <v>0</v>
      </c>
    </row>
    <row r="22" customFormat="false" ht="13" hidden="false" customHeight="false" outlineLevel="0" collapsed="false">
      <c r="A22" s="2" t="n">
        <v>0.508970671803567</v>
      </c>
      <c r="B22" s="2" t="n">
        <v>1</v>
      </c>
      <c r="C22" s="2" t="n">
        <f aca="false">LN(B22)</f>
        <v>0</v>
      </c>
      <c r="D22" s="2" t="n">
        <v>0</v>
      </c>
      <c r="E22" s="2" t="n">
        <v>90</v>
      </c>
    </row>
    <row r="23" customFormat="false" ht="13" hidden="false" customHeight="false" outlineLevel="0" collapsed="false">
      <c r="A23" s="2" t="n">
        <v>0.517777803622307</v>
      </c>
      <c r="B23" s="2" t="n">
        <v>2</v>
      </c>
      <c r="C23" s="2" t="n">
        <f aca="false">LN(B23)</f>
        <v>0.693147180559945</v>
      </c>
      <c r="D23" s="2" t="n">
        <v>0</v>
      </c>
      <c r="E23" s="2" t="n">
        <v>90</v>
      </c>
    </row>
    <row r="24" customFormat="false" ht="13" hidden="false" customHeight="false" outlineLevel="0" collapsed="false">
      <c r="A24" s="2" t="n">
        <v>0.542111557375821</v>
      </c>
      <c r="B24" s="2" t="n">
        <v>5</v>
      </c>
      <c r="C24" s="2" t="n">
        <f aca="false">LN(B24)</f>
        <v>1.6094379124341</v>
      </c>
      <c r="D24" s="2" t="n">
        <v>0</v>
      </c>
      <c r="E24" s="2" t="n">
        <v>90</v>
      </c>
    </row>
    <row r="25" customFormat="false" ht="13" hidden="false" customHeight="false" outlineLevel="0" collapsed="false">
      <c r="A25" s="2" t="n">
        <v>0.5733111627054</v>
      </c>
      <c r="B25" s="2" t="n">
        <v>10</v>
      </c>
      <c r="C25" s="2" t="n">
        <f aca="false">LN(B25)</f>
        <v>2.30258509299405</v>
      </c>
      <c r="D25" s="2" t="n">
        <v>0</v>
      </c>
      <c r="E25" s="2" t="n">
        <v>90</v>
      </c>
    </row>
    <row r="26" customFormat="false" ht="13" hidden="false" customHeight="false" outlineLevel="0" collapsed="false">
      <c r="A26" s="2" t="n">
        <v>0.605025103072638</v>
      </c>
      <c r="B26" s="2" t="n">
        <v>20</v>
      </c>
      <c r="C26" s="2" t="n">
        <f aca="false">LN(B26)</f>
        <v>2.99573227355399</v>
      </c>
      <c r="D26" s="2" t="n">
        <v>0</v>
      </c>
      <c r="E26" s="2" t="n">
        <v>90</v>
      </c>
    </row>
    <row r="27" customFormat="false" ht="13" hidden="false" customHeight="false" outlineLevel="0" collapsed="false">
      <c r="A27" s="2" t="n">
        <v>0.619940626034165</v>
      </c>
      <c r="B27" s="2" t="n">
        <v>50</v>
      </c>
      <c r="C27" s="2" t="n">
        <f aca="false">LN(B27)</f>
        <v>3.91202300542815</v>
      </c>
      <c r="D27" s="2" t="n">
        <v>0</v>
      </c>
      <c r="E27" s="2" t="n">
        <v>90</v>
      </c>
    </row>
    <row r="28" customFormat="false" ht="13" hidden="false" customHeight="false" outlineLevel="0" collapsed="false">
      <c r="A28" s="2" t="n">
        <v>0.620266630343794</v>
      </c>
      <c r="B28" s="2" t="n">
        <v>100</v>
      </c>
      <c r="C28" s="2" t="n">
        <f aca="false">LN(B28)</f>
        <v>4.60517018598809</v>
      </c>
      <c r="D28" s="2" t="n">
        <v>0</v>
      </c>
      <c r="E28" s="2" t="n">
        <v>90</v>
      </c>
    </row>
    <row r="29" customFormat="false" ht="13" hidden="false" customHeight="false" outlineLevel="0" collapsed="false">
      <c r="A29" s="2" t="n">
        <v>0.62026695552187</v>
      </c>
      <c r="B29" s="2" t="n">
        <v>200</v>
      </c>
      <c r="C29" s="2" t="n">
        <f aca="false">LN(B29)</f>
        <v>5.29831736654804</v>
      </c>
      <c r="D29" s="2" t="n">
        <v>0</v>
      </c>
      <c r="E29" s="2" t="n">
        <v>90</v>
      </c>
    </row>
    <row r="30" customFormat="false" ht="13" hidden="false" customHeight="false" outlineLevel="0" collapsed="false">
      <c r="A30" s="2" t="n">
        <v>0.620266955522128</v>
      </c>
      <c r="B30" s="2" t="n">
        <v>500</v>
      </c>
      <c r="C30" s="2" t="n">
        <f aca="false">LN(B30)</f>
        <v>6.21460809842219</v>
      </c>
      <c r="D30" s="2" t="n">
        <v>0</v>
      </c>
      <c r="E30" s="2" t="n">
        <v>90</v>
      </c>
    </row>
    <row r="31" customFormat="false" ht="13" hidden="false" customHeight="false" outlineLevel="0" collapsed="false">
      <c r="A31" s="2" t="n">
        <v>0.620266955521955</v>
      </c>
      <c r="B31" s="2" t="n">
        <v>1000</v>
      </c>
      <c r="C31" s="2" t="n">
        <f aca="false">LN(B31)</f>
        <v>6.90775527898214</v>
      </c>
      <c r="D31" s="2" t="n">
        <v>0</v>
      </c>
      <c r="E31" s="2" t="n">
        <v>90</v>
      </c>
    </row>
    <row r="32" customFormat="false" ht="13" hidden="false" customHeight="false" outlineLevel="0" collapsed="false">
      <c r="A32" s="2" t="n">
        <v>0.508970671803305</v>
      </c>
      <c r="B32" s="2" t="n">
        <v>1</v>
      </c>
      <c r="C32" s="2" t="n">
        <f aca="false">LN(B32)</f>
        <v>0</v>
      </c>
      <c r="D32" s="2" t="n">
        <v>0</v>
      </c>
      <c r="E32" s="2" t="n">
        <v>45</v>
      </c>
    </row>
    <row r="33" customFormat="false" ht="13" hidden="false" customHeight="false" outlineLevel="0" collapsed="false">
      <c r="A33" s="2" t="n">
        <v>0.51777780362187</v>
      </c>
      <c r="B33" s="2" t="n">
        <v>2</v>
      </c>
      <c r="C33" s="2" t="n">
        <f aca="false">LN(B33)</f>
        <v>0.693147180559945</v>
      </c>
      <c r="D33" s="2" t="n">
        <v>0</v>
      </c>
      <c r="E33" s="2" t="n">
        <v>45</v>
      </c>
    </row>
    <row r="34" customFormat="false" ht="13" hidden="false" customHeight="false" outlineLevel="0" collapsed="false">
      <c r="A34" s="2" t="n">
        <v>0.542111557376068</v>
      </c>
      <c r="B34" s="2" t="n">
        <v>5</v>
      </c>
      <c r="C34" s="2" t="n">
        <f aca="false">LN(B34)</f>
        <v>1.6094379124341</v>
      </c>
      <c r="D34" s="2" t="n">
        <v>0</v>
      </c>
      <c r="E34" s="2" t="n">
        <v>45</v>
      </c>
    </row>
    <row r="35" customFormat="false" ht="13" hidden="false" customHeight="false" outlineLevel="0" collapsed="false">
      <c r="A35" s="2" t="n">
        <v>0.5733111627054</v>
      </c>
      <c r="B35" s="2" t="n">
        <v>10</v>
      </c>
      <c r="C35" s="2" t="n">
        <f aca="false">LN(B35)</f>
        <v>2.30258509299405</v>
      </c>
      <c r="D35" s="2" t="n">
        <v>0</v>
      </c>
      <c r="E35" s="2" t="n">
        <v>45</v>
      </c>
    </row>
    <row r="36" customFormat="false" ht="13" hidden="false" customHeight="false" outlineLevel="0" collapsed="false">
      <c r="A36" s="2" t="n">
        <v>0.605025103072618</v>
      </c>
      <c r="B36" s="2" t="n">
        <v>20</v>
      </c>
      <c r="C36" s="2" t="n">
        <f aca="false">LN(B36)</f>
        <v>2.99573227355399</v>
      </c>
      <c r="D36" s="2" t="n">
        <v>0</v>
      </c>
      <c r="E36" s="2" t="n">
        <v>45</v>
      </c>
    </row>
    <row r="37" customFormat="false" ht="13" hidden="false" customHeight="false" outlineLevel="0" collapsed="false">
      <c r="A37" s="2" t="n">
        <v>0.61994062603419</v>
      </c>
      <c r="B37" s="2" t="n">
        <v>50</v>
      </c>
      <c r="C37" s="2" t="n">
        <f aca="false">LN(B37)</f>
        <v>3.91202300542815</v>
      </c>
      <c r="D37" s="2" t="n">
        <v>0</v>
      </c>
      <c r="E37" s="2" t="n">
        <v>45</v>
      </c>
    </row>
    <row r="38" customFormat="false" ht="13" hidden="false" customHeight="false" outlineLevel="0" collapsed="false">
      <c r="A38" s="2" t="n">
        <v>0.620266630343817</v>
      </c>
      <c r="B38" s="2" t="n">
        <v>100</v>
      </c>
      <c r="C38" s="2" t="n">
        <f aca="false">LN(B38)</f>
        <v>4.60517018598809</v>
      </c>
      <c r="D38" s="2" t="n">
        <v>0</v>
      </c>
      <c r="E38" s="2" t="n">
        <v>45</v>
      </c>
    </row>
    <row r="39" customFormat="false" ht="13" hidden="false" customHeight="false" outlineLevel="0" collapsed="false">
      <c r="A39" s="2" t="n">
        <v>0.620266955521894</v>
      </c>
      <c r="B39" s="2" t="n">
        <v>200</v>
      </c>
      <c r="C39" s="2" t="n">
        <f aca="false">LN(B39)</f>
        <v>5.29831736654804</v>
      </c>
      <c r="D39" s="2" t="n">
        <v>0</v>
      </c>
      <c r="E39" s="2" t="n">
        <v>45</v>
      </c>
    </row>
    <row r="40" customFormat="false" ht="13" hidden="false" customHeight="false" outlineLevel="0" collapsed="false">
      <c r="A40" s="2" t="n">
        <v>0.620266955521911</v>
      </c>
      <c r="B40" s="2" t="n">
        <v>500</v>
      </c>
      <c r="C40" s="2" t="n">
        <f aca="false">LN(B40)</f>
        <v>6.21460809842219</v>
      </c>
      <c r="D40" s="2" t="n">
        <v>0</v>
      </c>
      <c r="E40" s="2" t="n">
        <v>45</v>
      </c>
    </row>
    <row r="41" customFormat="false" ht="13" hidden="false" customHeight="false" outlineLevel="0" collapsed="false">
      <c r="A41" s="2" t="n">
        <v>0.620266955522328</v>
      </c>
      <c r="B41" s="2" t="n">
        <v>1000</v>
      </c>
      <c r="C41" s="2" t="n">
        <f aca="false">LN(B41)</f>
        <v>6.90775527898214</v>
      </c>
      <c r="D41" s="2" t="n">
        <v>0</v>
      </c>
      <c r="E41" s="2" t="n">
        <v>45</v>
      </c>
    </row>
    <row r="42" customFormat="false" ht="13" hidden="false" customHeight="false" outlineLevel="0" collapsed="false">
      <c r="A42" s="2" t="n">
        <v>0.508970671803518</v>
      </c>
      <c r="B42" s="2" t="n">
        <v>1</v>
      </c>
      <c r="C42" s="2" t="n">
        <f aca="false">LN(B42)</f>
        <v>0</v>
      </c>
      <c r="D42" s="2" t="n">
        <v>0</v>
      </c>
      <c r="E42" s="2" t="n">
        <v>0</v>
      </c>
    </row>
    <row r="43" customFormat="false" ht="13" hidden="false" customHeight="false" outlineLevel="0" collapsed="false">
      <c r="A43" s="2" t="n">
        <v>0.517777803622522</v>
      </c>
      <c r="B43" s="2" t="n">
        <v>2</v>
      </c>
      <c r="C43" s="2" t="n">
        <f aca="false">LN(B43)</f>
        <v>0.693147180559945</v>
      </c>
      <c r="D43" s="2" t="n">
        <v>0</v>
      </c>
      <c r="E43" s="2" t="n">
        <v>0</v>
      </c>
    </row>
    <row r="44" customFormat="false" ht="13" hidden="false" customHeight="false" outlineLevel="0" collapsed="false">
      <c r="A44" s="2" t="n">
        <v>0.542111557375786</v>
      </c>
      <c r="B44" s="2" t="n">
        <v>5</v>
      </c>
      <c r="C44" s="2" t="n">
        <f aca="false">LN(B44)</f>
        <v>1.6094379124341</v>
      </c>
      <c r="D44" s="2" t="n">
        <v>0</v>
      </c>
      <c r="E44" s="2" t="n">
        <v>0</v>
      </c>
    </row>
    <row r="45" customFormat="false" ht="13" hidden="false" customHeight="false" outlineLevel="0" collapsed="false">
      <c r="A45" s="2" t="n">
        <v>0.573311162705395</v>
      </c>
      <c r="B45" s="2" t="n">
        <v>10</v>
      </c>
      <c r="C45" s="2" t="n">
        <f aca="false">LN(B45)</f>
        <v>2.30258509299405</v>
      </c>
      <c r="D45" s="2" t="n">
        <v>0</v>
      </c>
      <c r="E45" s="2" t="n">
        <v>0</v>
      </c>
    </row>
    <row r="46" customFormat="false" ht="13" hidden="false" customHeight="false" outlineLevel="0" collapsed="false">
      <c r="A46" s="2" t="n">
        <v>0.605025103072672</v>
      </c>
      <c r="B46" s="2" t="n">
        <v>20</v>
      </c>
      <c r="C46" s="2" t="n">
        <f aca="false">LN(B46)</f>
        <v>2.99573227355399</v>
      </c>
      <c r="D46" s="2" t="n">
        <v>0</v>
      </c>
      <c r="E46" s="2" t="n">
        <v>0</v>
      </c>
    </row>
    <row r="47" customFormat="false" ht="13" hidden="false" customHeight="false" outlineLevel="0" collapsed="false">
      <c r="A47" s="2" t="n">
        <v>0.619940626034175</v>
      </c>
      <c r="B47" s="2" t="n">
        <v>50</v>
      </c>
      <c r="C47" s="2" t="n">
        <f aca="false">LN(B47)</f>
        <v>3.91202300542815</v>
      </c>
      <c r="D47" s="2" t="n">
        <v>0</v>
      </c>
      <c r="E47" s="2" t="n">
        <v>0</v>
      </c>
    </row>
    <row r="48" customFormat="false" ht="13" hidden="false" customHeight="false" outlineLevel="0" collapsed="false">
      <c r="A48" s="2" t="n">
        <v>0.620266630343719</v>
      </c>
      <c r="B48" s="2" t="n">
        <v>100</v>
      </c>
      <c r="C48" s="2" t="n">
        <f aca="false">LN(B48)</f>
        <v>4.60517018598809</v>
      </c>
      <c r="D48" s="2" t="n">
        <v>0</v>
      </c>
      <c r="E48" s="2" t="n">
        <v>0</v>
      </c>
    </row>
    <row r="49" customFormat="false" ht="13" hidden="false" customHeight="false" outlineLevel="0" collapsed="false">
      <c r="A49" s="2" t="n">
        <v>0.620266955521841</v>
      </c>
      <c r="B49" s="2" t="n">
        <v>200</v>
      </c>
      <c r="C49" s="2" t="n">
        <f aca="false">LN(B49)</f>
        <v>5.29831736654804</v>
      </c>
      <c r="D49" s="2" t="n">
        <v>0</v>
      </c>
      <c r="E49" s="2" t="n">
        <v>0</v>
      </c>
    </row>
    <row r="50" customFormat="false" ht="13" hidden="false" customHeight="false" outlineLevel="0" collapsed="false">
      <c r="A50" s="2" t="n">
        <v>0.62026695552203</v>
      </c>
      <c r="B50" s="2" t="n">
        <v>500</v>
      </c>
      <c r="C50" s="2" t="n">
        <f aca="false">LN(B50)</f>
        <v>6.21460809842219</v>
      </c>
      <c r="D50" s="2" t="n">
        <v>0</v>
      </c>
      <c r="E50" s="2" t="n">
        <v>0</v>
      </c>
    </row>
    <row r="51" customFormat="false" ht="13" hidden="false" customHeight="false" outlineLevel="0" collapsed="false">
      <c r="A51" s="2" t="n">
        <v>0.620266955522231</v>
      </c>
      <c r="B51" s="2" t="n">
        <v>1000</v>
      </c>
      <c r="C51" s="2" t="n">
        <f aca="false">LN(B51)</f>
        <v>6.90775527898214</v>
      </c>
      <c r="D51" s="2" t="n">
        <v>0</v>
      </c>
      <c r="E51" s="2" t="n">
        <v>0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6" activeCellId="0" sqref="A16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10.99"/>
    <col collapsed="false" customWidth="true" hidden="false" outlineLevel="0" max="2" min="2" style="2" width="9.85"/>
    <col collapsed="false" customWidth="true" hidden="false" outlineLevel="0" max="4" min="3" style="2" width="9.57"/>
    <col collapsed="false" customWidth="true" hidden="false" outlineLevel="0" max="5" min="5" style="2" width="9.85"/>
    <col collapsed="false" customWidth="true" hidden="false" outlineLevel="0" max="6" min="6" style="2" width="7.42"/>
    <col collapsed="false" customWidth="true" hidden="false" outlineLevel="0" max="7" min="7" style="3" width="7.42"/>
    <col collapsed="false" customWidth="true" hidden="false" outlineLevel="0" max="8" min="8" style="2" width="7.42"/>
    <col collapsed="false" customWidth="true" hidden="false" outlineLevel="0" max="9" min="9" style="2" width="6.85"/>
    <col collapsed="false" customWidth="true" hidden="false" outlineLevel="0" max="10" min="10" style="2" width="10.42"/>
    <col collapsed="false" customWidth="false" hidden="false" outlineLevel="0" max="20" min="11" style="2" width="8.28"/>
    <col collapsed="false" customWidth="true" hidden="false" outlineLevel="0" max="21" min="21" style="2" width="9.99"/>
    <col collapsed="false" customWidth="false" hidden="false" outlineLevel="0" max="22" min="22" style="2" width="8.28"/>
    <col collapsed="false" customWidth="true" hidden="false" outlineLevel="0" max="23" min="23" style="2" width="8.99"/>
    <col collapsed="false" customWidth="true" hidden="false" outlineLevel="0" max="24" min="24" style="2" width="9.13"/>
    <col collapsed="false" customWidth="false" hidden="false" outlineLevel="0" max="257" min="25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6</v>
      </c>
      <c r="E1" s="2" t="s">
        <v>16</v>
      </c>
      <c r="F1" s="2" t="s">
        <v>17</v>
      </c>
      <c r="G1" s="3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E1" s="2" t="s">
        <v>146</v>
      </c>
      <c r="AF1" s="2" t="s">
        <v>147</v>
      </c>
      <c r="AG1" s="2" t="s">
        <v>148</v>
      </c>
      <c r="AH1" s="2" t="s">
        <v>149</v>
      </c>
      <c r="AI1" s="2" t="s">
        <v>150</v>
      </c>
      <c r="AJ1" s="2" t="s">
        <v>151</v>
      </c>
    </row>
    <row r="3" customFormat="false" ht="13" hidden="false" customHeight="false" outlineLevel="0" collapsed="false">
      <c r="A3" s="4" t="n">
        <f aca="false">'Toll-Regress-Result'!$B$17+'Toll-Regress-Result'!$B$18*'WG-OptSize (3)'!C3+'Toll-Regress-Result'!$B$19*Theta</f>
        <v>2.38654599795285</v>
      </c>
      <c r="B3" s="4" t="n">
        <f aca="false">Tau</f>
        <v>2.38654599795285</v>
      </c>
      <c r="C3" s="2" t="n">
        <v>100</v>
      </c>
      <c r="D3" s="2" t="n">
        <f aca="false">0.08</f>
        <v>0.08</v>
      </c>
      <c r="E3" s="2" t="n">
        <v>0</v>
      </c>
      <c r="F3" s="2" t="n">
        <f aca="false">Size-a</f>
        <v>100</v>
      </c>
      <c r="G3" s="4" t="n">
        <f aca="false">(EXP(alpha*(Tau+OldTau+zeta-2*a*psi))*((EXP(alpha*a*psi)-EXP(alpha*b*psi))^2))/((EXP(alpha*a*psi)-EXP(alpha*(2*OldTau+b*psi)))*(alpha^2)*(psi^2))</f>
        <v>0.10982658739652</v>
      </c>
      <c r="H3" s="4" t="n">
        <f aca="false">(EXP(alpha*(zeta+(2*b-a)*psi))*(-1+EXP(alpha*(-1)*Size*psi))*(EXP(alpha*(2*(Tau+OldTau)+a*psi))-EXP(alpha*(2*(Tau+OldTau)+b*psi))))/(((EXP(alpha*a*psi)-EXP(alpha*(2*OldTau+b*psi)))^2)*(alpha^2)*(psi^2))</f>
        <v>2.84029040227711E-010</v>
      </c>
      <c r="I3" s="5" t="n">
        <f aca="false">-Beta/alpha</f>
        <v>180</v>
      </c>
      <c r="J3" s="5" t="n">
        <f aca="false">(-EXP(alpha*zeta)*Beta*(-1+EXP(alpha*Size*psi)-Size*alpha*psi))/((alpha^3)*(psi^2))</f>
        <v>32736.7694155601</v>
      </c>
      <c r="K3" s="5" t="n">
        <f aca="false">Beta*Theta</f>
        <v>14.4</v>
      </c>
      <c r="L3" s="5" t="n">
        <f aca="false">Beta*Theta</f>
        <v>14.4</v>
      </c>
      <c r="M3" s="5" t="n">
        <v>90</v>
      </c>
      <c r="N3" s="5" t="n">
        <f aca="false">Gamma*Size</f>
        <v>0</v>
      </c>
      <c r="O3" s="5" t="n">
        <f aca="false">Size*Beta*Phi</f>
        <v>324</v>
      </c>
      <c r="P3" s="5" t="n">
        <f aca="false">-(EXP(alpha*a*psi)+EXP(alpha*b*psi)*(-1+Size*psi*alpha))*(Beta*Phi)/((alpha*psi)*(EXP(alpha*a*psi)-EXP(alpha*b*psi)))</f>
        <v>21.5999008876178</v>
      </c>
      <c r="Q3" s="5" t="n">
        <f aca="false">(EXP(alpha*(zeta-a*psi))*Beta*Phi*(-EXP(alpha*a*psi)*(-2+(-1)*Size*alpha*psi)+EXP(alpha*b*psi)*(-2+Size*alpha*psi)))/((alpha^3)*(psi^3))</f>
        <v>3647.81282867692</v>
      </c>
      <c r="R3" s="5" t="n">
        <f aca="false">Tau*Beta</f>
        <v>429.578279631512</v>
      </c>
      <c r="S3" s="5" t="n">
        <f aca="false">Tau*Beta</f>
        <v>429.578279631512</v>
      </c>
      <c r="T3" s="6" t="n">
        <f aca="false">Tau</f>
        <v>2.38654599795285</v>
      </c>
      <c r="U3" s="5" t="n">
        <f aca="false">Profit+Utility</f>
        <v>29105.1761131793</v>
      </c>
      <c r="V3" s="5" t="n">
        <f aca="false">(2*ij*BRIJ)+2*jj*BRJJ</f>
        <v>94.358233187219</v>
      </c>
      <c r="W3" s="5" t="n">
        <f aca="false">2*(ij*BCCIJ)+(2*jj*BCCJJ)+BCS+jj*BCPTJJ+2*(ij*BCPTIJ)+BCPTII+BCk</f>
        <v>3745.72032129933</v>
      </c>
      <c r="X3" s="5" t="n">
        <f aca="false">ij*BUTIJ+BUTII</f>
        <v>32756.5382012915</v>
      </c>
      <c r="Y3" s="5" t="n">
        <f aca="false">Revenue-Cost</f>
        <v>-3651.36208811211</v>
      </c>
      <c r="Z3" s="5" t="n">
        <f aca="false">Size</f>
        <v>100</v>
      </c>
      <c r="AA3" s="6" t="n">
        <f aca="false">Welfare/(Size)</f>
        <v>291.051761131793</v>
      </c>
      <c r="AB3" s="6" t="n">
        <f aca="false">Profit/(Size)</f>
        <v>-36.5136208811211</v>
      </c>
      <c r="AC3" s="6" t="n">
        <f aca="false">Utility/(Size)</f>
        <v>327.565382012915</v>
      </c>
      <c r="AE3" s="4" t="n">
        <f aca="false">(EXP(alpha*(zeta-2*a*psi))*((EXP(alpha*a*psi)-EXP(alpha*b*psi))^2))/((EXP(alpha*a*psi)-EXP(alpha*(b*psi)))*(alpha^2)*(psi^2))</f>
        <v>12.9907772563503</v>
      </c>
      <c r="AF3" s="4" t="n">
        <f aca="false">(EXP(alpha*(zeta+(2*b-a)*psi))*(-1+EXP(alpha*(-1)*Size*psi))*(EXP(alpha*(a*psi))-EXP(alpha*(b*psi))))/(((EXP(alpha*a*psi)-EXP(alpha*(b*psi)))^2)*(alpha^2)*(psi^2))</f>
        <v>3.97391012346822E-006</v>
      </c>
      <c r="AG3" s="5" t="n">
        <f aca="false">BCS+Taxjj*BCPTJJ+2*(Taxij*BCPTIJ)+BCPTII</f>
        <v>4209.01311860438</v>
      </c>
      <c r="AH3" s="5" t="n">
        <f aca="false">Taxij*BUTIJ+BUTII</f>
        <v>35075.1093217031</v>
      </c>
      <c r="AI3" s="2" t="n">
        <f aca="false">TaxCost+TaxUtility</f>
        <v>39284.1224403075</v>
      </c>
      <c r="AJ3" s="2" t="n">
        <f aca="false">TaxWelfare/Size</f>
        <v>392.841224403075</v>
      </c>
    </row>
    <row r="4" customFormat="false" ht="13" hidden="false" customHeight="false" outlineLevel="0" collapsed="false">
      <c r="A4" s="4" t="n">
        <f aca="false">'Toll-Regress-Result'!$B$17+'Toll-Regress-Result'!$B$18*'WG-OptSize (3)'!C4+'Toll-Regress-Result'!$B$19*Theta</f>
        <v>2.38654599795285</v>
      </c>
      <c r="B4" s="4" t="n">
        <f aca="false">Tau</f>
        <v>2.38654599795285</v>
      </c>
      <c r="C4" s="2" t="n">
        <v>100</v>
      </c>
      <c r="D4" s="2" t="n">
        <f aca="false">0.08</f>
        <v>0.08</v>
      </c>
      <c r="E4" s="2" t="n">
        <v>0</v>
      </c>
      <c r="F4" s="2" t="n">
        <f aca="false">Size-a</f>
        <v>100</v>
      </c>
      <c r="G4" s="4" t="n">
        <f aca="false">(EXP(alpha*(Tau+OldTau+zeta-2*a*psi))*((EXP(alpha*a*psi)-EXP(alpha*b*psi))^2))/((EXP(alpha*a*psi)-EXP(alpha*(2*OldTau+b*psi)))*(alpha^2)*(psi^2))</f>
        <v>0.10982658739652</v>
      </c>
      <c r="H4" s="4" t="n">
        <f aca="false">(EXP(alpha*(zeta+(2*b-a)*psi))*(-1+EXP(alpha*(-1)*Size*psi))*(EXP(alpha*(2*(Tau+OldTau)+a*psi))-EXP(alpha*(2*(Tau+OldTau)+b*psi))))/(((EXP(alpha*a*psi)-EXP(alpha*(2*OldTau+b*psi)))^2)*(alpha^2)*(psi^2))</f>
        <v>2.84029040227711E-010</v>
      </c>
      <c r="I4" s="5" t="n">
        <f aca="false">-Beta/alpha</f>
        <v>180</v>
      </c>
      <c r="J4" s="5" t="n">
        <f aca="false">(-EXP(alpha*zeta)*Beta*(-1+EXP(alpha*Size*psi)-Size*alpha*psi))/((alpha^3)*(psi^2))</f>
        <v>32736.7694155601</v>
      </c>
      <c r="K4" s="5" t="n">
        <f aca="false">Beta*Theta</f>
        <v>14.4</v>
      </c>
      <c r="L4" s="5" t="n">
        <f aca="false">Beta*Theta</f>
        <v>14.4</v>
      </c>
      <c r="M4" s="5" t="n">
        <v>75</v>
      </c>
      <c r="N4" s="5" t="n">
        <f aca="false">Gamma*Size</f>
        <v>0</v>
      </c>
      <c r="O4" s="5" t="n">
        <f aca="false">Size*Beta*Phi</f>
        <v>324</v>
      </c>
      <c r="P4" s="5" t="n">
        <f aca="false">-(EXP(alpha*a*psi)+EXP(alpha*b*psi)*(-1+Size*psi*alpha))*(Beta*Phi)/((alpha*psi)*(EXP(alpha*a*psi)-EXP(alpha*b*psi)))</f>
        <v>21.5999008876178</v>
      </c>
      <c r="Q4" s="5" t="n">
        <f aca="false">(EXP(alpha*(zeta-a*psi))*Beta*Phi*(-EXP(alpha*a*psi)*(-2+(-1)*Size*alpha*psi)+EXP(alpha*b*psi)*(-2+Size*alpha*psi)))/((alpha^3)*(psi^3))</f>
        <v>3647.81282867692</v>
      </c>
      <c r="R4" s="5" t="n">
        <f aca="false">Tau*Beta</f>
        <v>429.578279631512</v>
      </c>
      <c r="S4" s="5" t="n">
        <f aca="false">Tau*Beta</f>
        <v>429.578279631512</v>
      </c>
      <c r="T4" s="6" t="n">
        <f aca="false">Tau</f>
        <v>2.38654599795285</v>
      </c>
      <c r="U4" s="5" t="n">
        <f aca="false">Profit+Utility</f>
        <v>29120.1761131793</v>
      </c>
      <c r="V4" s="5" t="n">
        <f aca="false">(2*ij*BRIJ)+2*jj*BRJJ</f>
        <v>94.358233187219</v>
      </c>
      <c r="W4" s="5" t="n">
        <f aca="false">2*(ij*BCCIJ)+(2*jj*BCCJJ)+BCS+jj*BCPTJJ+2*(ij*BCPTIJ)+BCPTII+BCk</f>
        <v>3730.72032129933</v>
      </c>
      <c r="X4" s="5" t="n">
        <f aca="false">ij*BUTIJ+BUTII</f>
        <v>32756.5382012915</v>
      </c>
      <c r="Y4" s="5" t="n">
        <f aca="false">Revenue-Cost</f>
        <v>-3636.36208811211</v>
      </c>
      <c r="Z4" s="5" t="n">
        <f aca="false">Size</f>
        <v>100</v>
      </c>
      <c r="AA4" s="6" t="n">
        <f aca="false">Welfare/(Size)</f>
        <v>291.201761131793</v>
      </c>
      <c r="AB4" s="6" t="n">
        <f aca="false">Profit/(Size)</f>
        <v>-36.3636208811211</v>
      </c>
      <c r="AC4" s="6" t="n">
        <f aca="false">Utility/(Size)</f>
        <v>327.565382012915</v>
      </c>
      <c r="AE4" s="4" t="n">
        <f aca="false">(EXP(alpha*(zeta-2*a*psi))*((EXP(alpha*a*psi)-EXP(alpha*b*psi))^2))/((EXP(alpha*a*psi)-EXP(alpha*(b*psi)))*(alpha^2)*(psi^2))</f>
        <v>12.9907772563503</v>
      </c>
      <c r="AF4" s="4" t="n">
        <f aca="false">(EXP(alpha*(zeta+(2*b-a)*psi))*(-1+EXP(alpha*(-1)*Size*psi))*(EXP(alpha*(a*psi))-EXP(alpha*(b*psi))))/(((EXP(alpha*a*psi)-EXP(alpha*(b*psi)))^2)*(alpha^2)*(psi^2))</f>
        <v>3.97391012346822E-006</v>
      </c>
      <c r="AG4" s="5" t="n">
        <f aca="false">BCS+Taxjj*BCPTJJ+2*(Taxij*BCPTIJ)+BCPTII</f>
        <v>4209.01311860438</v>
      </c>
      <c r="AH4" s="5" t="n">
        <f aca="false">Taxij*BUTIJ+BUTII</f>
        <v>35075.1093217031</v>
      </c>
      <c r="AI4" s="2" t="n">
        <f aca="false">TaxCost+TaxUtility</f>
        <v>39284.1224403075</v>
      </c>
      <c r="AJ4" s="2" t="n">
        <f aca="false">TaxWelfare/Size</f>
        <v>392.841224403075</v>
      </c>
    </row>
    <row r="5" customFormat="false" ht="13" hidden="false" customHeight="false" outlineLevel="0" collapsed="false">
      <c r="A5" s="4" t="n">
        <f aca="false">'Toll-Regress-Result'!$B$17+'Toll-Regress-Result'!$B$18*'WG-OptSize (3)'!C5+'Toll-Regress-Result'!$B$19*Theta</f>
        <v>2.38654599795285</v>
      </c>
      <c r="B5" s="4" t="n">
        <f aca="false">Tau</f>
        <v>2.38654599795285</v>
      </c>
      <c r="C5" s="2" t="n">
        <v>100</v>
      </c>
      <c r="D5" s="2" t="n">
        <f aca="false">0.08</f>
        <v>0.08</v>
      </c>
      <c r="E5" s="2" t="n">
        <v>0</v>
      </c>
      <c r="F5" s="2" t="n">
        <f aca="false">Size-a</f>
        <v>100</v>
      </c>
      <c r="G5" s="4" t="n">
        <f aca="false">(EXP(alpha*(Tau+OldTau+zeta-2*a*psi))*((EXP(alpha*a*psi)-EXP(alpha*b*psi))^2))/((EXP(alpha*a*psi)-EXP(alpha*(2*OldTau+b*psi)))*(alpha^2)*(psi^2))</f>
        <v>0.10982658739652</v>
      </c>
      <c r="H5" s="4" t="n">
        <f aca="false">(EXP(alpha*(zeta+(2*b-a)*psi))*(-1+EXP(alpha*(-1)*Size*psi))*(EXP(alpha*(2*(Tau+OldTau)+a*psi))-EXP(alpha*(2*(Tau+OldTau)+b*psi))))/(((EXP(alpha*a*psi)-EXP(alpha*(2*OldTau+b*psi)))^2)*(alpha^2)*(psi^2))</f>
        <v>2.84029040227711E-010</v>
      </c>
      <c r="I5" s="5" t="n">
        <f aca="false">-Beta/alpha</f>
        <v>180</v>
      </c>
      <c r="J5" s="5" t="n">
        <f aca="false">(-EXP(alpha*zeta)*Beta*(-1+EXP(alpha*Size*psi)-Size*alpha*psi))/((alpha^3)*(psi^2))</f>
        <v>32736.7694155601</v>
      </c>
      <c r="K5" s="5" t="n">
        <f aca="false">Beta*Theta</f>
        <v>14.4</v>
      </c>
      <c r="L5" s="5" t="n">
        <f aca="false">Beta*Theta</f>
        <v>14.4</v>
      </c>
      <c r="M5" s="5" t="n">
        <v>60</v>
      </c>
      <c r="N5" s="5" t="n">
        <f aca="false">Gamma*Size</f>
        <v>0</v>
      </c>
      <c r="O5" s="5" t="n">
        <f aca="false">Size*Beta*Phi</f>
        <v>324</v>
      </c>
      <c r="P5" s="5" t="n">
        <f aca="false">-(EXP(alpha*a*psi)+EXP(alpha*b*psi)*(-1+Size*psi*alpha))*(Beta*Phi)/((alpha*psi)*(EXP(alpha*a*psi)-EXP(alpha*b*psi)))</f>
        <v>21.5999008876178</v>
      </c>
      <c r="Q5" s="5" t="n">
        <f aca="false">(EXP(alpha*(zeta-a*psi))*Beta*Phi*(-EXP(alpha*a*psi)*(-2+(-1)*Size*alpha*psi)+EXP(alpha*b*psi)*(-2+Size*alpha*psi)))/((alpha^3)*(psi^3))</f>
        <v>3647.81282867692</v>
      </c>
      <c r="R5" s="5" t="n">
        <f aca="false">Tau*Beta</f>
        <v>429.578279631512</v>
      </c>
      <c r="S5" s="5" t="n">
        <f aca="false">Tau*Beta</f>
        <v>429.578279631512</v>
      </c>
      <c r="T5" s="6" t="n">
        <f aca="false">Tau</f>
        <v>2.38654599795285</v>
      </c>
      <c r="U5" s="5" t="n">
        <f aca="false">Profit+Utility</f>
        <v>29135.1761131793</v>
      </c>
      <c r="V5" s="5" t="n">
        <f aca="false">(2*ij*BRIJ)+2*jj*BRJJ</f>
        <v>94.358233187219</v>
      </c>
      <c r="W5" s="5" t="n">
        <f aca="false">2*(ij*BCCIJ)+(2*jj*BCCJJ)+BCS+jj*BCPTJJ+2*(ij*BCPTIJ)+BCPTII+BCk</f>
        <v>3715.72032129933</v>
      </c>
      <c r="X5" s="5" t="n">
        <f aca="false">ij*BUTIJ+BUTII</f>
        <v>32756.5382012915</v>
      </c>
      <c r="Y5" s="5" t="n">
        <f aca="false">Revenue-Cost</f>
        <v>-3621.36208811211</v>
      </c>
      <c r="Z5" s="5" t="n">
        <f aca="false">Size</f>
        <v>100</v>
      </c>
      <c r="AA5" s="6" t="n">
        <f aca="false">Welfare/(Size)</f>
        <v>291.351761131793</v>
      </c>
      <c r="AB5" s="6" t="n">
        <f aca="false">Profit/(Size)</f>
        <v>-36.2136208811211</v>
      </c>
      <c r="AC5" s="6" t="n">
        <f aca="false">Utility/(Size)</f>
        <v>327.565382012915</v>
      </c>
      <c r="AE5" s="4" t="n">
        <f aca="false">(EXP(alpha*(zeta-2*a*psi))*((EXP(alpha*a*psi)-EXP(alpha*b*psi))^2))/((EXP(alpha*a*psi)-EXP(alpha*(b*psi)))*(alpha^2)*(psi^2))</f>
        <v>12.9907772563503</v>
      </c>
      <c r="AF5" s="4" t="n">
        <f aca="false">(EXP(alpha*(zeta+(2*b-a)*psi))*(-1+EXP(alpha*(-1)*Size*psi))*(EXP(alpha*(a*psi))-EXP(alpha*(b*psi))))/(((EXP(alpha*a*psi)-EXP(alpha*(b*psi)))^2)*(alpha^2)*(psi^2))</f>
        <v>3.97391012346822E-006</v>
      </c>
      <c r="AG5" s="5" t="n">
        <f aca="false">BCS+Taxjj*BCPTJJ+2*(Taxij*BCPTIJ)+BCPTII</f>
        <v>4209.01311860438</v>
      </c>
      <c r="AH5" s="5" t="n">
        <f aca="false">Taxij*BUTIJ+BUTII</f>
        <v>35075.1093217031</v>
      </c>
      <c r="AI5" s="2" t="n">
        <f aca="false">TaxCost+TaxUtility</f>
        <v>39284.1224403075</v>
      </c>
      <c r="AJ5" s="2" t="n">
        <f aca="false">TaxWelfare/Size</f>
        <v>392.841224403075</v>
      </c>
    </row>
    <row r="6" customFormat="false" ht="13" hidden="false" customHeight="false" outlineLevel="0" collapsed="false">
      <c r="A6" s="4" t="n">
        <f aca="false">'Toll-Regress-Result'!$B$17+'Toll-Regress-Result'!$B$18*'WG-OptSize (3)'!C6+'Toll-Regress-Result'!$B$19*Theta</f>
        <v>2.38654599795285</v>
      </c>
      <c r="B6" s="4" t="n">
        <f aca="false">Tau</f>
        <v>2.38654599795285</v>
      </c>
      <c r="C6" s="2" t="n">
        <v>100</v>
      </c>
      <c r="D6" s="2" t="n">
        <f aca="false">0.08</f>
        <v>0.08</v>
      </c>
      <c r="E6" s="2" t="n">
        <v>0</v>
      </c>
      <c r="F6" s="2" t="n">
        <f aca="false">Size-a</f>
        <v>100</v>
      </c>
      <c r="G6" s="4" t="n">
        <f aca="false">(EXP(alpha*(Tau+OldTau+zeta-2*a*psi))*((EXP(alpha*a*psi)-EXP(alpha*b*psi))^2))/((EXP(alpha*a*psi)-EXP(alpha*(2*OldTau+b*psi)))*(alpha^2)*(psi^2))</f>
        <v>0.10982658739652</v>
      </c>
      <c r="H6" s="4" t="n">
        <f aca="false">(EXP(alpha*(zeta+(2*b-a)*psi))*(-1+EXP(alpha*(-1)*Size*psi))*(EXP(alpha*(2*(Tau+OldTau)+a*psi))-EXP(alpha*(2*(Tau+OldTau)+b*psi))))/(((EXP(alpha*a*psi)-EXP(alpha*(2*OldTau+b*psi)))^2)*(alpha^2)*(psi^2))</f>
        <v>2.84029040227711E-010</v>
      </c>
      <c r="I6" s="5" t="n">
        <f aca="false">-Beta/alpha</f>
        <v>180</v>
      </c>
      <c r="J6" s="5" t="n">
        <f aca="false">(-EXP(alpha*zeta)*Beta*(-1+EXP(alpha*Size*psi)-Size*alpha*psi))/((alpha^3)*(psi^2))</f>
        <v>32736.7694155601</v>
      </c>
      <c r="K6" s="5" t="n">
        <f aca="false">Beta*Theta</f>
        <v>14.4</v>
      </c>
      <c r="L6" s="5" t="n">
        <f aca="false">Beta*Theta</f>
        <v>14.4</v>
      </c>
      <c r="M6" s="5" t="n">
        <v>45</v>
      </c>
      <c r="N6" s="5" t="n">
        <f aca="false">Gamma*Size</f>
        <v>0</v>
      </c>
      <c r="O6" s="5" t="n">
        <f aca="false">Size*Beta*Phi</f>
        <v>324</v>
      </c>
      <c r="P6" s="5" t="n">
        <f aca="false">-(EXP(alpha*a*psi)+EXP(alpha*b*psi)*(-1+Size*psi*alpha))*(Beta*Phi)/((alpha*psi)*(EXP(alpha*a*psi)-EXP(alpha*b*psi)))</f>
        <v>21.5999008876178</v>
      </c>
      <c r="Q6" s="5" t="n">
        <f aca="false">(EXP(alpha*(zeta-a*psi))*Beta*Phi*(-EXP(alpha*a*psi)*(-2+(-1)*Size*alpha*psi)+EXP(alpha*b*psi)*(-2+Size*alpha*psi)))/((alpha^3)*(psi^3))</f>
        <v>3647.81282867692</v>
      </c>
      <c r="R6" s="5" t="n">
        <f aca="false">Tau*Beta</f>
        <v>429.578279631512</v>
      </c>
      <c r="S6" s="5" t="n">
        <f aca="false">Tau*Beta</f>
        <v>429.578279631512</v>
      </c>
      <c r="T6" s="6" t="n">
        <f aca="false">Tau</f>
        <v>2.38654599795285</v>
      </c>
      <c r="U6" s="5" t="n">
        <f aca="false">Profit+Utility</f>
        <v>29150.1761131793</v>
      </c>
      <c r="V6" s="5" t="n">
        <f aca="false">(2*ij*BRIJ)+2*jj*BRJJ</f>
        <v>94.358233187219</v>
      </c>
      <c r="W6" s="5" t="n">
        <f aca="false">2*(ij*BCCIJ)+(2*jj*BCCJJ)+BCS+jj*BCPTJJ+2*(ij*BCPTIJ)+BCPTII+BCk</f>
        <v>3700.72032129933</v>
      </c>
      <c r="X6" s="5" t="n">
        <f aca="false">ij*BUTIJ+BUTII</f>
        <v>32756.5382012915</v>
      </c>
      <c r="Y6" s="5" t="n">
        <f aca="false">Revenue-Cost</f>
        <v>-3606.36208811211</v>
      </c>
      <c r="Z6" s="5" t="n">
        <f aca="false">Size</f>
        <v>100</v>
      </c>
      <c r="AA6" s="6" t="n">
        <f aca="false">Welfare/(Size)</f>
        <v>291.501761131793</v>
      </c>
      <c r="AB6" s="6" t="n">
        <f aca="false">Profit/(Size)</f>
        <v>-36.0636208811211</v>
      </c>
      <c r="AC6" s="6" t="n">
        <f aca="false">Utility/(Size)</f>
        <v>327.565382012915</v>
      </c>
      <c r="AE6" s="4" t="n">
        <f aca="false">(EXP(alpha*(zeta-2*a*psi))*((EXP(alpha*a*psi)-EXP(alpha*b*psi))^2))/((EXP(alpha*a*psi)-EXP(alpha*(b*psi)))*(alpha^2)*(psi^2))</f>
        <v>12.9907772563503</v>
      </c>
      <c r="AF6" s="4" t="n">
        <f aca="false">(EXP(alpha*(zeta+(2*b-a)*psi))*(-1+EXP(alpha*(-1)*Size*psi))*(EXP(alpha*(a*psi))-EXP(alpha*(b*psi))))/(((EXP(alpha*a*psi)-EXP(alpha*(b*psi)))^2)*(alpha^2)*(psi^2))</f>
        <v>3.97391012346822E-006</v>
      </c>
      <c r="AG6" s="5" t="n">
        <f aca="false">BCS+Taxjj*BCPTJJ+2*(Taxij*BCPTIJ)+BCPTII</f>
        <v>4209.01311860438</v>
      </c>
      <c r="AH6" s="5" t="n">
        <f aca="false">Taxij*BUTIJ+BUTII</f>
        <v>35075.1093217031</v>
      </c>
      <c r="AI6" s="2" t="n">
        <f aca="false">TaxCost+TaxUtility</f>
        <v>39284.1224403075</v>
      </c>
      <c r="AJ6" s="2" t="n">
        <f aca="false">TaxWelfare/Size</f>
        <v>392.841224403075</v>
      </c>
    </row>
    <row r="7" customFormat="false" ht="13" hidden="false" customHeight="false" outlineLevel="0" collapsed="false">
      <c r="A7" s="4" t="n">
        <f aca="false">'Toll-Regress-Result'!$B$17+'Toll-Regress-Result'!$B$18*'WG-OptSize (3)'!C7+'Toll-Regress-Result'!$B$19*Theta</f>
        <v>2.38654599795285</v>
      </c>
      <c r="B7" s="4" t="n">
        <f aca="false">Tau</f>
        <v>2.38654599795285</v>
      </c>
      <c r="C7" s="2" t="n">
        <v>100</v>
      </c>
      <c r="D7" s="2" t="n">
        <f aca="false">0.08</f>
        <v>0.08</v>
      </c>
      <c r="E7" s="2" t="n">
        <v>0</v>
      </c>
      <c r="F7" s="2" t="n">
        <f aca="false">Size-a</f>
        <v>100</v>
      </c>
      <c r="G7" s="4" t="n">
        <f aca="false">(EXP(alpha*(Tau+OldTau+zeta-2*a*psi))*((EXP(alpha*a*psi)-EXP(alpha*b*psi))^2))/((EXP(alpha*a*psi)-EXP(alpha*(2*OldTau+b*psi)))*(alpha^2)*(psi^2))</f>
        <v>0.10982658739652</v>
      </c>
      <c r="H7" s="4" t="n">
        <f aca="false">(EXP(alpha*(zeta+(2*b-a)*psi))*(-1+EXP(alpha*(-1)*Size*psi))*(EXP(alpha*(2*(Tau+OldTau)+a*psi))-EXP(alpha*(2*(Tau+OldTau)+b*psi))))/(((EXP(alpha*a*psi)-EXP(alpha*(2*OldTau+b*psi)))^2)*(alpha^2)*(psi^2))</f>
        <v>2.84029040227711E-010</v>
      </c>
      <c r="I7" s="5" t="n">
        <f aca="false">-Beta/alpha</f>
        <v>180</v>
      </c>
      <c r="J7" s="5" t="n">
        <f aca="false">(-EXP(alpha*zeta)*Beta*(-1+EXP(alpha*Size*psi)-Size*alpha*psi))/((alpha^3)*(psi^2))</f>
        <v>32736.7694155601</v>
      </c>
      <c r="K7" s="5" t="n">
        <f aca="false">Beta*Theta</f>
        <v>14.4</v>
      </c>
      <c r="L7" s="5" t="n">
        <f aca="false">Beta*Theta</f>
        <v>14.4</v>
      </c>
      <c r="M7" s="5" t="n">
        <v>15</v>
      </c>
      <c r="N7" s="5" t="n">
        <f aca="false">Gamma*Size</f>
        <v>0</v>
      </c>
      <c r="O7" s="5" t="n">
        <f aca="false">Size*Beta*Phi</f>
        <v>324</v>
      </c>
      <c r="P7" s="5" t="n">
        <f aca="false">-(EXP(alpha*a*psi)+EXP(alpha*b*psi)*(-1+Size*psi*alpha))*(Beta*Phi)/((alpha*psi)*(EXP(alpha*a*psi)-EXP(alpha*b*psi)))</f>
        <v>21.5999008876178</v>
      </c>
      <c r="Q7" s="5" t="n">
        <f aca="false">(EXP(alpha*(zeta-a*psi))*Beta*Phi*(-EXP(alpha*a*psi)*(-2+(-1)*Size*alpha*psi)+EXP(alpha*b*psi)*(-2+Size*alpha*psi)))/((alpha^3)*(psi^3))</f>
        <v>3647.81282867692</v>
      </c>
      <c r="R7" s="5" t="n">
        <f aca="false">Tau*Beta</f>
        <v>429.578279631512</v>
      </c>
      <c r="S7" s="5" t="n">
        <f aca="false">Tau*Beta</f>
        <v>429.578279631512</v>
      </c>
      <c r="T7" s="6" t="n">
        <f aca="false">Tau</f>
        <v>2.38654599795285</v>
      </c>
      <c r="U7" s="5" t="n">
        <f aca="false">Profit+Utility</f>
        <v>29180.1761131793</v>
      </c>
      <c r="V7" s="5" t="n">
        <f aca="false">(2*ij*BRIJ)+2*jj*BRJJ</f>
        <v>94.358233187219</v>
      </c>
      <c r="W7" s="5" t="n">
        <f aca="false">2*(ij*BCCIJ)+(2*jj*BCCJJ)+BCS+jj*BCPTJJ+2*(ij*BCPTIJ)+BCPTII+BCk</f>
        <v>3670.72032129933</v>
      </c>
      <c r="X7" s="5" t="n">
        <f aca="false">ij*BUTIJ+BUTII</f>
        <v>32756.5382012915</v>
      </c>
      <c r="Y7" s="5" t="n">
        <f aca="false">Revenue-Cost</f>
        <v>-3576.36208811211</v>
      </c>
      <c r="Z7" s="5" t="n">
        <f aca="false">Size</f>
        <v>100</v>
      </c>
      <c r="AA7" s="6" t="n">
        <f aca="false">Welfare/(Size)</f>
        <v>291.801761131793</v>
      </c>
      <c r="AB7" s="6" t="n">
        <f aca="false">Profit/(Size)</f>
        <v>-35.7636208811211</v>
      </c>
      <c r="AC7" s="6" t="n">
        <f aca="false">Utility/(Size)</f>
        <v>327.565382012915</v>
      </c>
      <c r="AE7" s="4" t="n">
        <f aca="false">(EXP(alpha*(zeta-2*a*psi))*((EXP(alpha*a*psi)-EXP(alpha*b*psi))^2))/((EXP(alpha*a*psi)-EXP(alpha*(b*psi)))*(alpha^2)*(psi^2))</f>
        <v>12.9907772563503</v>
      </c>
      <c r="AF7" s="4" t="n">
        <f aca="false">(EXP(alpha*(zeta+(2*b-a)*psi))*(-1+EXP(alpha*(-1)*Size*psi))*(EXP(alpha*(a*psi))-EXP(alpha*(b*psi))))/(((EXP(alpha*a*psi)-EXP(alpha*(b*psi)))^2)*(alpha^2)*(psi^2))</f>
        <v>3.97391012346822E-006</v>
      </c>
      <c r="AG7" s="5" t="n">
        <f aca="false">BCS+Taxjj*BCPTJJ+2*(Taxij*BCPTIJ)+BCPTII</f>
        <v>4209.01311860438</v>
      </c>
      <c r="AH7" s="5" t="n">
        <f aca="false">Taxij*BUTIJ+BUTII</f>
        <v>35075.1093217031</v>
      </c>
      <c r="AI7" s="2" t="n">
        <f aca="false">TaxCost+TaxUtility</f>
        <v>39284.1224403075</v>
      </c>
      <c r="AJ7" s="2" t="n">
        <f aca="false">TaxWelfare/Size</f>
        <v>392.841224403075</v>
      </c>
    </row>
    <row r="8" customFormat="false" ht="13" hidden="false" customHeight="false" outlineLevel="0" collapsed="false">
      <c r="A8" s="4" t="n">
        <f aca="false">'Toll-Regress-Result'!$B$17+'Toll-Regress-Result'!$B$18*'WG-OptSize (3)'!C8+'Toll-Regress-Result'!$B$19*Theta</f>
        <v>2.38654599795285</v>
      </c>
      <c r="B8" s="4" t="n">
        <f aca="false">Tau</f>
        <v>2.38654599795285</v>
      </c>
      <c r="C8" s="2" t="n">
        <v>100</v>
      </c>
      <c r="D8" s="2" t="n">
        <f aca="false">0.08</f>
        <v>0.08</v>
      </c>
      <c r="E8" s="2" t="n">
        <v>0</v>
      </c>
      <c r="F8" s="2" t="n">
        <f aca="false">Size-a</f>
        <v>100</v>
      </c>
      <c r="G8" s="4" t="n">
        <f aca="false">(EXP(alpha*(Tau+OldTau+zeta-2*a*psi))*((EXP(alpha*a*psi)-EXP(alpha*b*psi))^2))/((EXP(alpha*a*psi)-EXP(alpha*(2*OldTau+b*psi)))*(alpha^2)*(psi^2))</f>
        <v>0.10982658739652</v>
      </c>
      <c r="H8" s="4" t="n">
        <f aca="false">(EXP(alpha*(zeta+(2*b-a)*psi))*(-1+EXP(alpha*(-1)*Size*psi))*(EXP(alpha*(2*(Tau+OldTau)+a*psi))-EXP(alpha*(2*(Tau+OldTau)+b*psi))))/(((EXP(alpha*a*psi)-EXP(alpha*(2*OldTau+b*psi)))^2)*(alpha^2)*(psi^2))</f>
        <v>2.84029040227711E-010</v>
      </c>
      <c r="I8" s="5" t="n">
        <f aca="false">-Beta/alpha</f>
        <v>180</v>
      </c>
      <c r="J8" s="5" t="n">
        <f aca="false">(-EXP(alpha*zeta)*Beta*(-1+EXP(alpha*Size*psi)-Size*alpha*psi))/((alpha^3)*(psi^2))</f>
        <v>32736.7694155601</v>
      </c>
      <c r="K8" s="5" t="n">
        <f aca="false">Beta*Theta</f>
        <v>14.4</v>
      </c>
      <c r="L8" s="5" t="n">
        <f aca="false">Beta*Theta</f>
        <v>14.4</v>
      </c>
      <c r="M8" s="5" t="n">
        <v>0</v>
      </c>
      <c r="N8" s="5" t="n">
        <f aca="false">Gamma*Size</f>
        <v>0</v>
      </c>
      <c r="O8" s="5" t="n">
        <f aca="false">Size*Beta*Phi</f>
        <v>324</v>
      </c>
      <c r="P8" s="5" t="n">
        <f aca="false">-(EXP(alpha*a*psi)+EXP(alpha*b*psi)*(-1+Size*psi*alpha))*(Beta*Phi)/((alpha*psi)*(EXP(alpha*a*psi)-EXP(alpha*b*psi)))</f>
        <v>21.5999008876178</v>
      </c>
      <c r="Q8" s="5" t="n">
        <f aca="false">(EXP(alpha*(zeta-a*psi))*Beta*Phi*(-EXP(alpha*a*psi)*(-2+(-1)*Size*alpha*psi)+EXP(alpha*b*psi)*(-2+Size*alpha*psi)))/((alpha^3)*(psi^3))</f>
        <v>3647.81282867692</v>
      </c>
      <c r="R8" s="5" t="n">
        <f aca="false">Tau*Beta</f>
        <v>429.578279631512</v>
      </c>
      <c r="S8" s="5" t="n">
        <f aca="false">Tau*Beta</f>
        <v>429.578279631512</v>
      </c>
      <c r="T8" s="6" t="n">
        <f aca="false">Tau</f>
        <v>2.38654599795285</v>
      </c>
      <c r="U8" s="5" t="n">
        <f aca="false">Profit+Utility</f>
        <v>29195.1761131793</v>
      </c>
      <c r="V8" s="5" t="n">
        <f aca="false">(2*ij*BRIJ)+2*jj*BRJJ</f>
        <v>94.358233187219</v>
      </c>
      <c r="W8" s="5" t="n">
        <f aca="false">2*(ij*BCCIJ)+(2*jj*BCCJJ)+BCS+jj*BCPTJJ+2*(ij*BCPTIJ)+BCPTII+BCk</f>
        <v>3655.72032129933</v>
      </c>
      <c r="X8" s="5" t="n">
        <f aca="false">ij*BUTIJ+BUTII</f>
        <v>32756.5382012915</v>
      </c>
      <c r="Y8" s="5" t="n">
        <f aca="false">Revenue-Cost</f>
        <v>-3561.36208811211</v>
      </c>
      <c r="Z8" s="5" t="n">
        <f aca="false">Size</f>
        <v>100</v>
      </c>
      <c r="AA8" s="6" t="n">
        <f aca="false">Welfare/(Size)</f>
        <v>291.951761131793</v>
      </c>
      <c r="AB8" s="6" t="n">
        <f aca="false">Profit/(Size)</f>
        <v>-35.6136208811211</v>
      </c>
      <c r="AC8" s="6" t="n">
        <f aca="false">Utility/(Size)</f>
        <v>327.565382012915</v>
      </c>
      <c r="AE8" s="4" t="n">
        <f aca="false">(EXP(alpha*(zeta-2*a*psi))*((EXP(alpha*a*psi)-EXP(alpha*b*psi))^2))/((EXP(alpha*a*psi)-EXP(alpha*(b*psi)))*(alpha^2)*(psi^2))</f>
        <v>12.9907772563503</v>
      </c>
      <c r="AF8" s="4" t="n">
        <f aca="false">(EXP(alpha*(zeta+(2*b-a)*psi))*(-1+EXP(alpha*(-1)*Size*psi))*(EXP(alpha*(a*psi))-EXP(alpha*(b*psi))))/(((EXP(alpha*a*psi)-EXP(alpha*(b*psi)))^2)*(alpha^2)*(psi^2))</f>
        <v>3.97391012346822E-006</v>
      </c>
      <c r="AG8" s="5" t="n">
        <f aca="false">BCS+Taxjj*BCPTJJ+2*(Taxij*BCPTIJ)+BCPTII</f>
        <v>4209.01311860438</v>
      </c>
      <c r="AH8" s="5" t="n">
        <f aca="false">Taxij*BUTIJ+BUTII</f>
        <v>35075.1093217031</v>
      </c>
      <c r="AI8" s="2" t="n">
        <f aca="false">TaxCost+TaxUtility</f>
        <v>39284.1224403075</v>
      </c>
      <c r="AJ8" s="2" t="n">
        <f aca="false">TaxWelfare/Size</f>
        <v>392.841224403075</v>
      </c>
    </row>
    <row r="9" customFormat="false" ht="13" hidden="false" customHeight="false" outlineLevel="0" collapsed="false">
      <c r="A9" s="4"/>
      <c r="B9" s="4"/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  <c r="U9" s="5"/>
      <c r="V9" s="5"/>
      <c r="W9" s="5"/>
      <c r="X9" s="5"/>
      <c r="Y9" s="5"/>
      <c r="Z9" s="5"/>
      <c r="AA9" s="6"/>
      <c r="AB9" s="6"/>
      <c r="AC9" s="6"/>
      <c r="AE9" s="4"/>
      <c r="AF9" s="4"/>
      <c r="AG9" s="5"/>
      <c r="AH9" s="5"/>
    </row>
    <row r="10" customFormat="false" ht="13" hidden="false" customHeight="false" outlineLevel="0" collapsed="false">
      <c r="A10" s="4" t="n">
        <f aca="false">'Toll-Regress-Result'!$B$17+'Toll-Regress-Result'!$B$18*'WG-OptSize (3)'!C10+'Toll-Regress-Result'!$B$19*Theta</f>
        <v>2.34656079105944</v>
      </c>
      <c r="B10" s="4" t="n">
        <f aca="false">Tau</f>
        <v>2.34656079105944</v>
      </c>
      <c r="C10" s="2" t="n">
        <v>100</v>
      </c>
      <c r="D10" s="2" t="n">
        <f aca="false">0.5*0.08</f>
        <v>0.04</v>
      </c>
      <c r="E10" s="2" t="n">
        <v>0</v>
      </c>
      <c r="F10" s="2" t="n">
        <f aca="false">Size-a</f>
        <v>100</v>
      </c>
      <c r="G10" s="4" t="n">
        <f aca="false">(EXP(alpha*(Tau+OldTau+zeta-2*a*psi))*((EXP(alpha*a*psi)-EXP(alpha*b*psi))^2))/((EXP(alpha*a*psi)-EXP(alpha*(2*OldTau+b*psi)))*(alpha^2)*(psi^2))</f>
        <v>0.118970201909312</v>
      </c>
      <c r="H10" s="4" t="n">
        <f aca="false">(EXP(alpha*(zeta+(2*b-a)*psi))*(-1+EXP(alpha*(-1)*Size*psi))*(EXP(alpha*(2*(Tau+OldTau)+a*psi))-EXP(alpha*(2*(Tau+OldTau)+b*psi))))/(((EXP(alpha*a*psi)-EXP(alpha*(2*OldTau+b*psi)))^2)*(alpha^2)*(psi^2))</f>
        <v>3.33291444281166E-010</v>
      </c>
      <c r="I10" s="5" t="n">
        <f aca="false">-Beta/alpha</f>
        <v>180</v>
      </c>
      <c r="J10" s="5" t="n">
        <f aca="false">(-EXP(alpha*zeta)*Beta*(-1+EXP(alpha*Size*psi)-Size*alpha*psi))/((alpha^3)*(psi^2))</f>
        <v>32736.7694155601</v>
      </c>
      <c r="K10" s="5" t="n">
        <f aca="false">Beta*Theta</f>
        <v>7.2</v>
      </c>
      <c r="L10" s="5" t="n">
        <f aca="false">Beta*Theta</f>
        <v>7.2</v>
      </c>
      <c r="M10" s="5" t="n">
        <v>90</v>
      </c>
      <c r="N10" s="5" t="n">
        <f aca="false">Gamma*Size</f>
        <v>0</v>
      </c>
      <c r="O10" s="5" t="n">
        <f aca="false">Size*Beta*Phi</f>
        <v>324</v>
      </c>
      <c r="P10" s="5" t="n">
        <f aca="false">-(EXP(alpha*a*psi)+EXP(alpha*b*psi)*(-1+Size*psi*alpha))*(Beta*Phi)/((alpha*psi)*(EXP(alpha*a*psi)-EXP(alpha*b*psi)))</f>
        <v>21.5999008876178</v>
      </c>
      <c r="Q10" s="5" t="n">
        <f aca="false">(EXP(alpha*(zeta-a*psi))*Beta*Phi*(-EXP(alpha*a*psi)*(-2+(-1)*Size*alpha*psi)+EXP(alpha*b*psi)*(-2+Size*alpha*psi)))/((alpha^3)*(psi^3))</f>
        <v>3647.81282867692</v>
      </c>
      <c r="R10" s="5" t="n">
        <f aca="false">Tau*Beta</f>
        <v>422.3809423907</v>
      </c>
      <c r="S10" s="5" t="n">
        <f aca="false">Tau*Beta</f>
        <v>422.3809423907</v>
      </c>
      <c r="T10" s="6" t="n">
        <f aca="false">Tau</f>
        <v>2.34656079105944</v>
      </c>
      <c r="U10" s="5" t="n">
        <f aca="false">Profit+Utility</f>
        <v>29114.0200553462</v>
      </c>
      <c r="V10" s="5" t="n">
        <f aca="false">(2*ij*BRIJ)+2*jj*BRJJ</f>
        <v>100.501492279286</v>
      </c>
      <c r="W10" s="5" t="n">
        <f aca="false">2*(ij*BCCIJ)+(2*jj*BCCJJ)+BCS+jj*BCPTJJ+2*(ij*BCPTIJ)+BCPTII+BCk</f>
        <v>3744.66548883685</v>
      </c>
      <c r="X10" s="5" t="n">
        <f aca="false">ij*BUTIJ+BUTII</f>
        <v>32758.1840519038</v>
      </c>
      <c r="Y10" s="5" t="n">
        <f aca="false">Revenue-Cost</f>
        <v>-3644.16399655756</v>
      </c>
      <c r="Z10" s="5" t="n">
        <f aca="false">Size</f>
        <v>100</v>
      </c>
      <c r="AA10" s="6" t="n">
        <f aca="false">Welfare/(Size)</f>
        <v>291.140200553462</v>
      </c>
      <c r="AB10" s="6" t="n">
        <f aca="false">Profit/(Size)</f>
        <v>-36.4416399655756</v>
      </c>
      <c r="AC10" s="6" t="n">
        <f aca="false">Utility/(Size)</f>
        <v>327.581840519038</v>
      </c>
      <c r="AE10" s="4" t="n">
        <f aca="false">(EXP(alpha*(zeta-2*a*psi))*((EXP(alpha*a*psi)-EXP(alpha*b*psi))^2))/((EXP(alpha*a*psi)-EXP(alpha*(b*psi)))*(alpha^2)*(psi^2))</f>
        <v>12.9907772563503</v>
      </c>
      <c r="AF10" s="4" t="n">
        <f aca="false">(EXP(alpha*(zeta+(2*b-a)*psi))*(-1+EXP(alpha*(-1)*Size*psi))*(EXP(alpha*(a*psi))-EXP(alpha*(b*psi))))/(((EXP(alpha*a*psi)-EXP(alpha*(b*psi)))^2)*(alpha^2)*(psi^2))</f>
        <v>3.97391012346822E-006</v>
      </c>
      <c r="AG10" s="5" t="n">
        <f aca="false">BCS+Taxjj*BCPTJJ+2*(Taxij*BCPTIJ)+BCPTII</f>
        <v>4209.01311860438</v>
      </c>
      <c r="AH10" s="5" t="n">
        <f aca="false">Taxij*BUTIJ+BUTII</f>
        <v>35075.1093217031</v>
      </c>
      <c r="AI10" s="2" t="n">
        <f aca="false">TaxCost+TaxUtility</f>
        <v>39284.1224403075</v>
      </c>
      <c r="AJ10" s="2" t="n">
        <f aca="false">TaxWelfare/Size</f>
        <v>392.841224403075</v>
      </c>
    </row>
    <row r="11" customFormat="false" ht="13" hidden="false" customHeight="false" outlineLevel="0" collapsed="false">
      <c r="A11" s="4" t="n">
        <f aca="false">'Toll-Regress-Result'!$B$17+'Toll-Regress-Result'!$B$18*'WG-OptSize (3)'!C11+'Toll-Regress-Result'!$B$19*Theta</f>
        <v>2.34656079105944</v>
      </c>
      <c r="B11" s="4" t="n">
        <f aca="false">Tau</f>
        <v>2.34656079105944</v>
      </c>
      <c r="C11" s="2" t="n">
        <v>100</v>
      </c>
      <c r="D11" s="2" t="n">
        <f aca="false">0.5*0.08</f>
        <v>0.04</v>
      </c>
      <c r="E11" s="2" t="n">
        <v>0</v>
      </c>
      <c r="F11" s="2" t="n">
        <f aca="false">Size-a</f>
        <v>100</v>
      </c>
      <c r="G11" s="4" t="n">
        <f aca="false">(EXP(alpha*(Tau+OldTau+zeta-2*a*psi))*((EXP(alpha*a*psi)-EXP(alpha*b*psi))^2))/((EXP(alpha*a*psi)-EXP(alpha*(2*OldTau+b*psi)))*(alpha^2)*(psi^2))</f>
        <v>0.118970201909312</v>
      </c>
      <c r="H11" s="4" t="n">
        <f aca="false">(EXP(alpha*(zeta+(2*b-a)*psi))*(-1+EXP(alpha*(-1)*Size*psi))*(EXP(alpha*(2*(Tau+OldTau)+a*psi))-EXP(alpha*(2*(Tau+OldTau)+b*psi))))/(((EXP(alpha*a*psi)-EXP(alpha*(2*OldTau+b*psi)))^2)*(alpha^2)*(psi^2))</f>
        <v>3.33291444281166E-010</v>
      </c>
      <c r="I11" s="5" t="n">
        <f aca="false">-Beta/alpha</f>
        <v>180</v>
      </c>
      <c r="J11" s="5" t="n">
        <f aca="false">(-EXP(alpha*zeta)*Beta*(-1+EXP(alpha*Size*psi)-Size*alpha*psi))/((alpha^3)*(psi^2))</f>
        <v>32736.7694155601</v>
      </c>
      <c r="K11" s="5" t="n">
        <f aca="false">Beta*Theta</f>
        <v>7.2</v>
      </c>
      <c r="L11" s="5" t="n">
        <f aca="false">Beta*Theta</f>
        <v>7.2</v>
      </c>
      <c r="M11" s="5" t="n">
        <v>75</v>
      </c>
      <c r="N11" s="5" t="n">
        <f aca="false">Gamma*Size</f>
        <v>0</v>
      </c>
      <c r="O11" s="5" t="n">
        <f aca="false">Size*Beta*Phi</f>
        <v>324</v>
      </c>
      <c r="P11" s="5" t="n">
        <f aca="false">-(EXP(alpha*a*psi)+EXP(alpha*b*psi)*(-1+Size*psi*alpha))*(Beta*Phi)/((alpha*psi)*(EXP(alpha*a*psi)-EXP(alpha*b*psi)))</f>
        <v>21.5999008876178</v>
      </c>
      <c r="Q11" s="5" t="n">
        <f aca="false">(EXP(alpha*(zeta-a*psi))*Beta*Phi*(-EXP(alpha*a*psi)*(-2+(-1)*Size*alpha*psi)+EXP(alpha*b*psi)*(-2+Size*alpha*psi)))/((alpha^3)*(psi^3))</f>
        <v>3647.81282867692</v>
      </c>
      <c r="R11" s="5" t="n">
        <f aca="false">Tau*Beta</f>
        <v>422.3809423907</v>
      </c>
      <c r="S11" s="5" t="n">
        <f aca="false">Tau*Beta</f>
        <v>422.3809423907</v>
      </c>
      <c r="T11" s="6" t="n">
        <f aca="false">Tau</f>
        <v>2.34656079105944</v>
      </c>
      <c r="U11" s="5" t="n">
        <f aca="false">Profit+Utility</f>
        <v>29129.0200553462</v>
      </c>
      <c r="V11" s="5" t="n">
        <f aca="false">(2*ij*BRIJ)+2*jj*BRJJ</f>
        <v>100.501492279286</v>
      </c>
      <c r="W11" s="5" t="n">
        <f aca="false">2*(ij*BCCIJ)+(2*jj*BCCJJ)+BCS+jj*BCPTJJ+2*(ij*BCPTIJ)+BCPTII+BCk</f>
        <v>3729.66548883685</v>
      </c>
      <c r="X11" s="5" t="n">
        <f aca="false">ij*BUTIJ+BUTII</f>
        <v>32758.1840519038</v>
      </c>
      <c r="Y11" s="5" t="n">
        <f aca="false">Revenue-Cost</f>
        <v>-3629.16399655756</v>
      </c>
      <c r="Z11" s="5" t="n">
        <f aca="false">Size</f>
        <v>100</v>
      </c>
      <c r="AA11" s="6" t="n">
        <f aca="false">Welfare/(Size)</f>
        <v>291.290200553462</v>
      </c>
      <c r="AB11" s="6" t="n">
        <f aca="false">Profit/(Size)</f>
        <v>-36.2916399655756</v>
      </c>
      <c r="AC11" s="6" t="n">
        <f aca="false">Utility/(Size)</f>
        <v>327.581840519038</v>
      </c>
      <c r="AE11" s="4" t="n">
        <f aca="false">(EXP(alpha*(zeta-2*a*psi))*((EXP(alpha*a*psi)-EXP(alpha*b*psi))^2))/((EXP(alpha*a*psi)-EXP(alpha*(b*psi)))*(alpha^2)*(psi^2))</f>
        <v>12.9907772563503</v>
      </c>
      <c r="AF11" s="4" t="n">
        <f aca="false">(EXP(alpha*(zeta+(2*b-a)*psi))*(-1+EXP(alpha*(-1)*Size*psi))*(EXP(alpha*(a*psi))-EXP(alpha*(b*psi))))/(((EXP(alpha*a*psi)-EXP(alpha*(b*psi)))^2)*(alpha^2)*(psi^2))</f>
        <v>3.97391012346822E-006</v>
      </c>
      <c r="AG11" s="5" t="n">
        <f aca="false">BCS+Taxjj*BCPTJJ+2*(Taxij*BCPTIJ)+BCPTII</f>
        <v>4209.01311860438</v>
      </c>
      <c r="AH11" s="5" t="n">
        <f aca="false">Taxij*BUTIJ+BUTII</f>
        <v>35075.1093217031</v>
      </c>
      <c r="AI11" s="2" t="n">
        <f aca="false">TaxCost+TaxUtility</f>
        <v>39284.1224403075</v>
      </c>
      <c r="AJ11" s="2" t="n">
        <f aca="false">TaxWelfare/Size</f>
        <v>392.841224403075</v>
      </c>
    </row>
    <row r="12" customFormat="false" ht="13" hidden="false" customHeight="false" outlineLevel="0" collapsed="false">
      <c r="A12" s="4" t="n">
        <f aca="false">'Toll-Regress-Result'!$B$17+'Toll-Regress-Result'!$B$18*'WG-OptSize (3)'!C12+'Toll-Regress-Result'!$B$19*Theta</f>
        <v>2.34656079105944</v>
      </c>
      <c r="B12" s="4" t="n">
        <f aca="false">Tau</f>
        <v>2.34656079105944</v>
      </c>
      <c r="C12" s="2" t="n">
        <v>100</v>
      </c>
      <c r="D12" s="2" t="n">
        <f aca="false">0.5*0.08</f>
        <v>0.04</v>
      </c>
      <c r="E12" s="2" t="n">
        <v>0</v>
      </c>
      <c r="F12" s="2" t="n">
        <f aca="false">Size-a</f>
        <v>100</v>
      </c>
      <c r="G12" s="4" t="n">
        <f aca="false">(EXP(alpha*(Tau+OldTau+zeta-2*a*psi))*((EXP(alpha*a*psi)-EXP(alpha*b*psi))^2))/((EXP(alpha*a*psi)-EXP(alpha*(2*OldTau+b*psi)))*(alpha^2)*(psi^2))</f>
        <v>0.118970201909312</v>
      </c>
      <c r="H12" s="4" t="n">
        <f aca="false">(EXP(alpha*(zeta+(2*b-a)*psi))*(-1+EXP(alpha*(-1)*Size*psi))*(EXP(alpha*(2*(Tau+OldTau)+a*psi))-EXP(alpha*(2*(Tau+OldTau)+b*psi))))/(((EXP(alpha*a*psi)-EXP(alpha*(2*OldTau+b*psi)))^2)*(alpha^2)*(psi^2))</f>
        <v>3.33291444281166E-010</v>
      </c>
      <c r="I12" s="5" t="n">
        <f aca="false">-Beta/alpha</f>
        <v>180</v>
      </c>
      <c r="J12" s="5" t="n">
        <f aca="false">(-EXP(alpha*zeta)*Beta*(-1+EXP(alpha*Size*psi)-Size*alpha*psi))/((alpha^3)*(psi^2))</f>
        <v>32736.7694155601</v>
      </c>
      <c r="K12" s="5" t="n">
        <f aca="false">Beta*Theta</f>
        <v>7.2</v>
      </c>
      <c r="L12" s="5" t="n">
        <f aca="false">Beta*Theta</f>
        <v>7.2</v>
      </c>
      <c r="M12" s="5" t="n">
        <v>60</v>
      </c>
      <c r="N12" s="5" t="n">
        <f aca="false">Gamma*Size</f>
        <v>0</v>
      </c>
      <c r="O12" s="5" t="n">
        <f aca="false">Size*Beta*Phi</f>
        <v>324</v>
      </c>
      <c r="P12" s="5" t="n">
        <f aca="false">-(EXP(alpha*a*psi)+EXP(alpha*b*psi)*(-1+Size*psi*alpha))*(Beta*Phi)/((alpha*psi)*(EXP(alpha*a*psi)-EXP(alpha*b*psi)))</f>
        <v>21.5999008876178</v>
      </c>
      <c r="Q12" s="5" t="n">
        <f aca="false">(EXP(alpha*(zeta-a*psi))*Beta*Phi*(-EXP(alpha*a*psi)*(-2+(-1)*Size*alpha*psi)+EXP(alpha*b*psi)*(-2+Size*alpha*psi)))/((alpha^3)*(psi^3))</f>
        <v>3647.81282867692</v>
      </c>
      <c r="R12" s="5" t="n">
        <f aca="false">Tau*Beta</f>
        <v>422.3809423907</v>
      </c>
      <c r="S12" s="5" t="n">
        <f aca="false">Tau*Beta</f>
        <v>422.3809423907</v>
      </c>
      <c r="T12" s="6" t="n">
        <f aca="false">Tau</f>
        <v>2.34656079105944</v>
      </c>
      <c r="U12" s="5" t="n">
        <f aca="false">Profit+Utility</f>
        <v>29144.0200553462</v>
      </c>
      <c r="V12" s="5" t="n">
        <f aca="false">(2*ij*BRIJ)+2*jj*BRJJ</f>
        <v>100.501492279286</v>
      </c>
      <c r="W12" s="5" t="n">
        <f aca="false">2*(ij*BCCIJ)+(2*jj*BCCJJ)+BCS+jj*BCPTJJ+2*(ij*BCPTIJ)+BCPTII+BCk</f>
        <v>3714.66548883685</v>
      </c>
      <c r="X12" s="5" t="n">
        <f aca="false">ij*BUTIJ+BUTII</f>
        <v>32758.1840519038</v>
      </c>
      <c r="Y12" s="5" t="n">
        <f aca="false">Revenue-Cost</f>
        <v>-3614.16399655756</v>
      </c>
      <c r="Z12" s="5" t="n">
        <f aca="false">Size</f>
        <v>100</v>
      </c>
      <c r="AA12" s="6" t="n">
        <f aca="false">Welfare/(Size)</f>
        <v>291.440200553462</v>
      </c>
      <c r="AB12" s="6" t="n">
        <f aca="false">Profit/(Size)</f>
        <v>-36.1416399655756</v>
      </c>
      <c r="AC12" s="6" t="n">
        <f aca="false">Utility/(Size)</f>
        <v>327.581840519038</v>
      </c>
      <c r="AE12" s="4" t="n">
        <f aca="false">(EXP(alpha*(zeta-2*a*psi))*((EXP(alpha*a*psi)-EXP(alpha*b*psi))^2))/((EXP(alpha*a*psi)-EXP(alpha*(b*psi)))*(alpha^2)*(psi^2))</f>
        <v>12.9907772563503</v>
      </c>
      <c r="AF12" s="4" t="n">
        <f aca="false">(EXP(alpha*(zeta+(2*b-a)*psi))*(-1+EXP(alpha*(-1)*Size*psi))*(EXP(alpha*(a*psi))-EXP(alpha*(b*psi))))/(((EXP(alpha*a*psi)-EXP(alpha*(b*psi)))^2)*(alpha^2)*(psi^2))</f>
        <v>3.97391012346822E-006</v>
      </c>
      <c r="AG12" s="5" t="n">
        <f aca="false">BCS+Taxjj*BCPTJJ+2*(Taxij*BCPTIJ)+BCPTII</f>
        <v>4209.01311860438</v>
      </c>
      <c r="AH12" s="5" t="n">
        <f aca="false">Taxij*BUTIJ+BUTII</f>
        <v>35075.1093217031</v>
      </c>
      <c r="AI12" s="2" t="n">
        <f aca="false">TaxCost+TaxUtility</f>
        <v>39284.1224403075</v>
      </c>
      <c r="AJ12" s="2" t="n">
        <f aca="false">TaxWelfare/Size</f>
        <v>392.841224403075</v>
      </c>
    </row>
    <row r="13" customFormat="false" ht="13" hidden="false" customHeight="false" outlineLevel="0" collapsed="false">
      <c r="A13" s="4" t="n">
        <f aca="false">'Toll-Regress-Result'!$B$17+'Toll-Regress-Result'!$B$18*'WG-OptSize (3)'!C13+'Toll-Regress-Result'!$B$19*Theta</f>
        <v>2.34656079105944</v>
      </c>
      <c r="B13" s="4" t="n">
        <f aca="false">Tau</f>
        <v>2.34656079105944</v>
      </c>
      <c r="C13" s="2" t="n">
        <v>100</v>
      </c>
      <c r="D13" s="2" t="n">
        <f aca="false">0.5*0.08</f>
        <v>0.04</v>
      </c>
      <c r="E13" s="2" t="n">
        <v>0</v>
      </c>
      <c r="F13" s="2" t="n">
        <f aca="false">Size-a</f>
        <v>100</v>
      </c>
      <c r="G13" s="4" t="n">
        <f aca="false">(EXP(alpha*(Tau+OldTau+zeta-2*a*psi))*((EXP(alpha*a*psi)-EXP(alpha*b*psi))^2))/((EXP(alpha*a*psi)-EXP(alpha*(2*OldTau+b*psi)))*(alpha^2)*(psi^2))</f>
        <v>0.118970201909312</v>
      </c>
      <c r="H13" s="4" t="n">
        <f aca="false">(EXP(alpha*(zeta+(2*b-a)*psi))*(-1+EXP(alpha*(-1)*Size*psi))*(EXP(alpha*(2*(Tau+OldTau)+a*psi))-EXP(alpha*(2*(Tau+OldTau)+b*psi))))/(((EXP(alpha*a*psi)-EXP(alpha*(2*OldTau+b*psi)))^2)*(alpha^2)*(psi^2))</f>
        <v>3.33291444281166E-010</v>
      </c>
      <c r="I13" s="5" t="n">
        <f aca="false">-Beta/alpha</f>
        <v>180</v>
      </c>
      <c r="J13" s="5" t="n">
        <f aca="false">(-EXP(alpha*zeta)*Beta*(-1+EXP(alpha*Size*psi)-Size*alpha*psi))/((alpha^3)*(psi^2))</f>
        <v>32736.7694155601</v>
      </c>
      <c r="K13" s="5" t="n">
        <f aca="false">Beta*Theta</f>
        <v>7.2</v>
      </c>
      <c r="L13" s="5" t="n">
        <f aca="false">Beta*Theta</f>
        <v>7.2</v>
      </c>
      <c r="M13" s="5" t="n">
        <v>45</v>
      </c>
      <c r="N13" s="5" t="n">
        <f aca="false">Gamma*Size</f>
        <v>0</v>
      </c>
      <c r="O13" s="5" t="n">
        <f aca="false">Size*Beta*Phi</f>
        <v>324</v>
      </c>
      <c r="P13" s="5" t="n">
        <f aca="false">-(EXP(alpha*a*psi)+EXP(alpha*b*psi)*(-1+Size*psi*alpha))*(Beta*Phi)/((alpha*psi)*(EXP(alpha*a*psi)-EXP(alpha*b*psi)))</f>
        <v>21.5999008876178</v>
      </c>
      <c r="Q13" s="5" t="n">
        <f aca="false">(EXP(alpha*(zeta-a*psi))*Beta*Phi*(-EXP(alpha*a*psi)*(-2+(-1)*Size*alpha*psi)+EXP(alpha*b*psi)*(-2+Size*alpha*psi)))/((alpha^3)*(psi^3))</f>
        <v>3647.81282867692</v>
      </c>
      <c r="R13" s="5" t="n">
        <f aca="false">Tau*Beta</f>
        <v>422.3809423907</v>
      </c>
      <c r="S13" s="5" t="n">
        <f aca="false">Tau*Beta</f>
        <v>422.3809423907</v>
      </c>
      <c r="T13" s="6" t="n">
        <f aca="false">Tau</f>
        <v>2.34656079105944</v>
      </c>
      <c r="U13" s="5" t="n">
        <f aca="false">Profit+Utility</f>
        <v>29159.0200553462</v>
      </c>
      <c r="V13" s="5" t="n">
        <f aca="false">(2*ij*BRIJ)+2*jj*BRJJ</f>
        <v>100.501492279286</v>
      </c>
      <c r="W13" s="5" t="n">
        <f aca="false">2*(ij*BCCIJ)+(2*jj*BCCJJ)+BCS+jj*BCPTJJ+2*(ij*BCPTIJ)+BCPTII+BCk</f>
        <v>3699.66548883685</v>
      </c>
      <c r="X13" s="5" t="n">
        <f aca="false">ij*BUTIJ+BUTII</f>
        <v>32758.1840519038</v>
      </c>
      <c r="Y13" s="5" t="n">
        <f aca="false">Revenue-Cost</f>
        <v>-3599.16399655756</v>
      </c>
      <c r="Z13" s="5" t="n">
        <f aca="false">Size</f>
        <v>100</v>
      </c>
      <c r="AA13" s="6" t="n">
        <f aca="false">Welfare/(Size)</f>
        <v>291.590200553462</v>
      </c>
      <c r="AB13" s="6" t="n">
        <f aca="false">Profit/(Size)</f>
        <v>-35.9916399655756</v>
      </c>
      <c r="AC13" s="6" t="n">
        <f aca="false">Utility/(Size)</f>
        <v>327.581840519038</v>
      </c>
      <c r="AE13" s="4" t="n">
        <f aca="false">(EXP(alpha*(zeta-2*a*psi))*((EXP(alpha*a*psi)-EXP(alpha*b*psi))^2))/((EXP(alpha*a*psi)-EXP(alpha*(b*psi)))*(alpha^2)*(psi^2))</f>
        <v>12.9907772563503</v>
      </c>
      <c r="AF13" s="4" t="n">
        <f aca="false">(EXP(alpha*(zeta+(2*b-a)*psi))*(-1+EXP(alpha*(-1)*Size*psi))*(EXP(alpha*(a*psi))-EXP(alpha*(b*psi))))/(((EXP(alpha*a*psi)-EXP(alpha*(b*psi)))^2)*(alpha^2)*(psi^2))</f>
        <v>3.97391012346822E-006</v>
      </c>
      <c r="AG13" s="5" t="n">
        <f aca="false">BCS+Taxjj*BCPTJJ+2*(Taxij*BCPTIJ)+BCPTII</f>
        <v>4209.01311860438</v>
      </c>
      <c r="AH13" s="5" t="n">
        <f aca="false">Taxij*BUTIJ+BUTII</f>
        <v>35075.1093217031</v>
      </c>
      <c r="AI13" s="2" t="n">
        <f aca="false">TaxCost+TaxUtility</f>
        <v>39284.1224403075</v>
      </c>
      <c r="AJ13" s="2" t="n">
        <f aca="false">TaxWelfare/Size</f>
        <v>392.841224403075</v>
      </c>
    </row>
    <row r="14" customFormat="false" ht="13" hidden="false" customHeight="false" outlineLevel="0" collapsed="false">
      <c r="A14" s="4" t="n">
        <f aca="false">'Toll-Regress-Result'!$B$17+'Toll-Regress-Result'!$B$18*'WG-OptSize (3)'!C14+'Toll-Regress-Result'!$B$19*Theta</f>
        <v>2.34656079105944</v>
      </c>
      <c r="B14" s="4" t="n">
        <f aca="false">Tau</f>
        <v>2.34656079105944</v>
      </c>
      <c r="C14" s="2" t="n">
        <v>100</v>
      </c>
      <c r="D14" s="2" t="n">
        <f aca="false">0.5*0.08</f>
        <v>0.04</v>
      </c>
      <c r="E14" s="2" t="n">
        <v>0</v>
      </c>
      <c r="F14" s="2" t="n">
        <f aca="false">Size-a</f>
        <v>100</v>
      </c>
      <c r="G14" s="4" t="n">
        <f aca="false">(EXP(alpha*(Tau+OldTau+zeta-2*a*psi))*((EXP(alpha*a*psi)-EXP(alpha*b*psi))^2))/((EXP(alpha*a*psi)-EXP(alpha*(2*OldTau+b*psi)))*(alpha^2)*(psi^2))</f>
        <v>0.118970201909312</v>
      </c>
      <c r="H14" s="4" t="n">
        <f aca="false">(EXP(alpha*(zeta+(2*b-a)*psi))*(-1+EXP(alpha*(-1)*Size*psi))*(EXP(alpha*(2*(Tau+OldTau)+a*psi))-EXP(alpha*(2*(Tau+OldTau)+b*psi))))/(((EXP(alpha*a*psi)-EXP(alpha*(2*OldTau+b*psi)))^2)*(alpha^2)*(psi^2))</f>
        <v>3.33291444281166E-010</v>
      </c>
      <c r="I14" s="5" t="n">
        <f aca="false">-Beta/alpha</f>
        <v>180</v>
      </c>
      <c r="J14" s="5" t="n">
        <f aca="false">(-EXP(alpha*zeta)*Beta*(-1+EXP(alpha*Size*psi)-Size*alpha*psi))/((alpha^3)*(psi^2))</f>
        <v>32736.7694155601</v>
      </c>
      <c r="K14" s="5" t="n">
        <f aca="false">Beta*Theta</f>
        <v>7.2</v>
      </c>
      <c r="L14" s="5" t="n">
        <f aca="false">Beta*Theta</f>
        <v>7.2</v>
      </c>
      <c r="M14" s="5" t="n">
        <v>15</v>
      </c>
      <c r="N14" s="5" t="n">
        <f aca="false">Gamma*Size</f>
        <v>0</v>
      </c>
      <c r="O14" s="5" t="n">
        <f aca="false">Size*Beta*Phi</f>
        <v>324</v>
      </c>
      <c r="P14" s="5" t="n">
        <f aca="false">-(EXP(alpha*a*psi)+EXP(alpha*b*psi)*(-1+Size*psi*alpha))*(Beta*Phi)/((alpha*psi)*(EXP(alpha*a*psi)-EXP(alpha*b*psi)))</f>
        <v>21.5999008876178</v>
      </c>
      <c r="Q14" s="5" t="n">
        <f aca="false">(EXP(alpha*(zeta-a*psi))*Beta*Phi*(-EXP(alpha*a*psi)*(-2+(-1)*Size*alpha*psi)+EXP(alpha*b*psi)*(-2+Size*alpha*psi)))/((alpha^3)*(psi^3))</f>
        <v>3647.81282867692</v>
      </c>
      <c r="R14" s="5" t="n">
        <f aca="false">Tau*Beta</f>
        <v>422.3809423907</v>
      </c>
      <c r="S14" s="5" t="n">
        <f aca="false">Tau*Beta</f>
        <v>422.3809423907</v>
      </c>
      <c r="T14" s="6" t="n">
        <f aca="false">Tau</f>
        <v>2.34656079105944</v>
      </c>
      <c r="U14" s="5" t="n">
        <f aca="false">Profit+Utility</f>
        <v>29189.0200553462</v>
      </c>
      <c r="V14" s="5" t="n">
        <f aca="false">(2*ij*BRIJ)+2*jj*BRJJ</f>
        <v>100.501492279286</v>
      </c>
      <c r="W14" s="5" t="n">
        <f aca="false">2*(ij*BCCIJ)+(2*jj*BCCJJ)+BCS+jj*BCPTJJ+2*(ij*BCPTIJ)+BCPTII+BCk</f>
        <v>3669.66548883685</v>
      </c>
      <c r="X14" s="5" t="n">
        <f aca="false">ij*BUTIJ+BUTII</f>
        <v>32758.1840519038</v>
      </c>
      <c r="Y14" s="5" t="n">
        <f aca="false">Revenue-Cost</f>
        <v>-3569.16399655756</v>
      </c>
      <c r="Z14" s="5" t="n">
        <f aca="false">Size</f>
        <v>100</v>
      </c>
      <c r="AA14" s="6" t="n">
        <f aca="false">Welfare/(Size)</f>
        <v>291.890200553462</v>
      </c>
      <c r="AB14" s="6" t="n">
        <f aca="false">Profit/(Size)</f>
        <v>-35.6916399655756</v>
      </c>
      <c r="AC14" s="6" t="n">
        <f aca="false">Utility/(Size)</f>
        <v>327.581840519038</v>
      </c>
      <c r="AE14" s="4" t="n">
        <f aca="false">(EXP(alpha*(zeta-2*a*psi))*((EXP(alpha*a*psi)-EXP(alpha*b*psi))^2))/((EXP(alpha*a*psi)-EXP(alpha*(b*psi)))*(alpha^2)*(psi^2))</f>
        <v>12.9907772563503</v>
      </c>
      <c r="AF14" s="4" t="n">
        <f aca="false">(EXP(alpha*(zeta+(2*b-a)*psi))*(-1+EXP(alpha*(-1)*Size*psi))*(EXP(alpha*(a*psi))-EXP(alpha*(b*psi))))/(((EXP(alpha*a*psi)-EXP(alpha*(b*psi)))^2)*(alpha^2)*(psi^2))</f>
        <v>3.97391012346822E-006</v>
      </c>
      <c r="AG14" s="5" t="n">
        <f aca="false">BCS+Taxjj*BCPTJJ+2*(Taxij*BCPTIJ)+BCPTII</f>
        <v>4209.01311860438</v>
      </c>
      <c r="AH14" s="5" t="n">
        <f aca="false">Taxij*BUTIJ+BUTII</f>
        <v>35075.1093217031</v>
      </c>
      <c r="AI14" s="2" t="n">
        <f aca="false">TaxCost+TaxUtility</f>
        <v>39284.1224403075</v>
      </c>
      <c r="AJ14" s="2" t="n">
        <f aca="false">TaxWelfare/Size</f>
        <v>392.841224403075</v>
      </c>
    </row>
    <row r="15" customFormat="false" ht="13" hidden="false" customHeight="false" outlineLevel="0" collapsed="false">
      <c r="A15" s="4" t="n">
        <f aca="false">'Toll-Regress-Result'!$B$17+'Toll-Regress-Result'!$B$18*'WG-OptSize (3)'!C15+'Toll-Regress-Result'!$B$19*Theta</f>
        <v>2.34656079105944</v>
      </c>
      <c r="B15" s="4" t="n">
        <f aca="false">Tau</f>
        <v>2.34656079105944</v>
      </c>
      <c r="C15" s="2" t="n">
        <v>100</v>
      </c>
      <c r="D15" s="2" t="n">
        <f aca="false">0.5*0.08</f>
        <v>0.04</v>
      </c>
      <c r="E15" s="2" t="n">
        <v>0</v>
      </c>
      <c r="F15" s="2" t="n">
        <f aca="false">Size-a</f>
        <v>100</v>
      </c>
      <c r="G15" s="4" t="n">
        <f aca="false">(EXP(alpha*(Tau+OldTau+zeta-2*a*psi))*((EXP(alpha*a*psi)-EXP(alpha*b*psi))^2))/((EXP(alpha*a*psi)-EXP(alpha*(2*OldTau+b*psi)))*(alpha^2)*(psi^2))</f>
        <v>0.118970201909312</v>
      </c>
      <c r="H15" s="4" t="n">
        <f aca="false">(EXP(alpha*(zeta+(2*b-a)*psi))*(-1+EXP(alpha*(-1)*Size*psi))*(EXP(alpha*(2*(Tau+OldTau)+a*psi))-EXP(alpha*(2*(Tau+OldTau)+b*psi))))/(((EXP(alpha*a*psi)-EXP(alpha*(2*OldTau+b*psi)))^2)*(alpha^2)*(psi^2))</f>
        <v>3.33291444281166E-010</v>
      </c>
      <c r="I15" s="5" t="n">
        <f aca="false">-Beta/alpha</f>
        <v>180</v>
      </c>
      <c r="J15" s="5" t="n">
        <f aca="false">(-EXP(alpha*zeta)*Beta*(-1+EXP(alpha*Size*psi)-Size*alpha*psi))/((alpha^3)*(psi^2))</f>
        <v>32736.7694155601</v>
      </c>
      <c r="K15" s="5" t="n">
        <f aca="false">Beta*Theta</f>
        <v>7.2</v>
      </c>
      <c r="L15" s="5" t="n">
        <f aca="false">Beta*Theta</f>
        <v>7.2</v>
      </c>
      <c r="M15" s="5" t="n">
        <v>0</v>
      </c>
      <c r="N15" s="5" t="n">
        <f aca="false">Gamma*Size</f>
        <v>0</v>
      </c>
      <c r="O15" s="5" t="n">
        <f aca="false">Size*Beta*Phi</f>
        <v>324</v>
      </c>
      <c r="P15" s="5" t="n">
        <f aca="false">-(EXP(alpha*a*psi)+EXP(alpha*b*psi)*(-1+Size*psi*alpha))*(Beta*Phi)/((alpha*psi)*(EXP(alpha*a*psi)-EXP(alpha*b*psi)))</f>
        <v>21.5999008876178</v>
      </c>
      <c r="Q15" s="5" t="n">
        <f aca="false">(EXP(alpha*(zeta-a*psi))*Beta*Phi*(-EXP(alpha*a*psi)*(-2+(-1)*Size*alpha*psi)+EXP(alpha*b*psi)*(-2+Size*alpha*psi)))/((alpha^3)*(psi^3))</f>
        <v>3647.81282867692</v>
      </c>
      <c r="R15" s="5" t="n">
        <f aca="false">Tau*Beta</f>
        <v>422.3809423907</v>
      </c>
      <c r="S15" s="5" t="n">
        <f aca="false">Tau*Beta</f>
        <v>422.3809423907</v>
      </c>
      <c r="T15" s="6" t="n">
        <f aca="false">Tau</f>
        <v>2.34656079105944</v>
      </c>
      <c r="U15" s="5" t="n">
        <f aca="false">Profit+Utility</f>
        <v>29204.0200553462</v>
      </c>
      <c r="V15" s="5" t="n">
        <f aca="false">(2*ij*BRIJ)+2*jj*BRJJ</f>
        <v>100.501492279286</v>
      </c>
      <c r="W15" s="5" t="n">
        <f aca="false">2*(ij*BCCIJ)+(2*jj*BCCJJ)+BCS+jj*BCPTJJ+2*(ij*BCPTIJ)+BCPTII+BCk</f>
        <v>3654.66548883685</v>
      </c>
      <c r="X15" s="5" t="n">
        <f aca="false">ij*BUTIJ+BUTII</f>
        <v>32758.1840519038</v>
      </c>
      <c r="Y15" s="5" t="n">
        <f aca="false">Revenue-Cost</f>
        <v>-3554.16399655756</v>
      </c>
      <c r="Z15" s="5" t="n">
        <f aca="false">Size</f>
        <v>100</v>
      </c>
      <c r="AA15" s="6" t="n">
        <f aca="false">Welfare/(Size)</f>
        <v>292.040200553462</v>
      </c>
      <c r="AB15" s="6" t="n">
        <f aca="false">Profit/(Size)</f>
        <v>-35.5416399655756</v>
      </c>
      <c r="AC15" s="6" t="n">
        <f aca="false">Utility/(Size)</f>
        <v>327.581840519038</v>
      </c>
      <c r="AE15" s="4" t="n">
        <f aca="false">(EXP(alpha*(zeta-2*a*psi))*((EXP(alpha*a*psi)-EXP(alpha*b*psi))^2))/((EXP(alpha*a*psi)-EXP(alpha*(b*psi)))*(alpha^2)*(psi^2))</f>
        <v>12.9907772563503</v>
      </c>
      <c r="AF15" s="4" t="n">
        <f aca="false">(EXP(alpha*(zeta+(2*b-a)*psi))*(-1+EXP(alpha*(-1)*Size*psi))*(EXP(alpha*(a*psi))-EXP(alpha*(b*psi))))/(((EXP(alpha*a*psi)-EXP(alpha*(b*psi)))^2)*(alpha^2)*(psi^2))</f>
        <v>3.97391012346822E-006</v>
      </c>
      <c r="AG15" s="5" t="n">
        <f aca="false">BCS+Taxjj*BCPTJJ+2*(Taxij*BCPTIJ)+BCPTII</f>
        <v>4209.01311860438</v>
      </c>
      <c r="AH15" s="5" t="n">
        <f aca="false">Taxij*BUTIJ+BUTII</f>
        <v>35075.1093217031</v>
      </c>
      <c r="AI15" s="2" t="n">
        <f aca="false">TaxCost+TaxUtility</f>
        <v>39284.1224403075</v>
      </c>
      <c r="AJ15" s="2" t="n">
        <f aca="false">TaxWelfare/Size</f>
        <v>392.841224403075</v>
      </c>
    </row>
    <row r="16" customFormat="false" ht="13" hidden="false" customHeight="false" outlineLevel="0" collapsed="false">
      <c r="A16" s="4"/>
      <c r="B16" s="4"/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  <c r="U16" s="5"/>
      <c r="V16" s="5"/>
      <c r="W16" s="5"/>
      <c r="X16" s="5"/>
      <c r="Y16" s="5"/>
      <c r="Z16" s="5"/>
      <c r="AA16" s="6"/>
      <c r="AB16" s="6"/>
      <c r="AC16" s="6"/>
      <c r="AE16" s="4"/>
      <c r="AF16" s="4"/>
      <c r="AG16" s="5"/>
      <c r="AH16" s="5"/>
    </row>
    <row r="17" customFormat="false" ht="13" hidden="false" customHeight="false" outlineLevel="0" collapsed="false">
      <c r="A17" s="4" t="n">
        <f aca="false">'Toll-Regress-Result'!$B$17+'Toll-Regress-Result'!$B$18*'WG-OptSize (3)'!C17+'Toll-Regress-Result'!$B$19*Theta</f>
        <v>2.30657558416604</v>
      </c>
      <c r="B17" s="4" t="n">
        <f aca="false">Tau</f>
        <v>2.30657558416604</v>
      </c>
      <c r="C17" s="2" t="n">
        <v>100</v>
      </c>
      <c r="D17" s="2" t="n">
        <v>0</v>
      </c>
      <c r="E17" s="2" t="n">
        <v>0</v>
      </c>
      <c r="F17" s="2" t="n">
        <f aca="false">Size-a</f>
        <v>100</v>
      </c>
      <c r="G17" s="4" t="n">
        <f aca="false">(EXP(alpha*(Tau+OldTau+zeta-2*a*psi))*((EXP(alpha*a*psi)-EXP(alpha*b*psi))^2))/((EXP(alpha*a*psi)-EXP(alpha*(2*OldTau+b*psi)))*(alpha^2)*(psi^2))</f>
        <v>0.128875068215446</v>
      </c>
      <c r="H17" s="4" t="n">
        <f aca="false">(EXP(alpha*(zeta+(2*b-a)*psi))*(-1+EXP(alpha*(-1)*Size*psi))*(EXP(alpha*(2*(Tau+OldTau)+a*psi))-EXP(alpha*(2*(Tau+OldTau)+b*psi))))/(((EXP(alpha*a*psi)-EXP(alpha*(2*OldTau+b*psi)))^2)*(alpha^2)*(psi^2))</f>
        <v>3.91097990353207E-010</v>
      </c>
      <c r="I17" s="5" t="n">
        <f aca="false">-Beta/alpha</f>
        <v>180</v>
      </c>
      <c r="J17" s="5" t="n">
        <f aca="false">(-EXP(alpha*zeta)*Beta*(-1+EXP(alpha*Size*psi)-Size*alpha*psi))/((alpha^3)*(psi^2))</f>
        <v>32736.7694155601</v>
      </c>
      <c r="K17" s="5" t="n">
        <f aca="false">Beta*Theta</f>
        <v>0</v>
      </c>
      <c r="L17" s="5" t="n">
        <f aca="false">Beta*Theta</f>
        <v>0</v>
      </c>
      <c r="M17" s="5" t="n">
        <v>90</v>
      </c>
      <c r="N17" s="5" t="n">
        <f aca="false">Gamma*Size</f>
        <v>0</v>
      </c>
      <c r="O17" s="5" t="n">
        <f aca="false">Size*Beta*Phi</f>
        <v>324</v>
      </c>
      <c r="P17" s="5" t="n">
        <f aca="false">-(EXP(alpha*a*psi)+EXP(alpha*b*psi)*(-1+Size*psi*alpha))*(Beta*Phi)/((alpha*psi)*(EXP(alpha*a*psi)-EXP(alpha*b*psi)))</f>
        <v>21.5999008876178</v>
      </c>
      <c r="Q17" s="5" t="n">
        <f aca="false">(EXP(alpha*(zeta-a*psi))*Beta*Phi*(-EXP(alpha*a*psi)*(-2+(-1)*Size*alpha*psi)+EXP(alpha*b*psi)*(-2+Size*alpha*psi)))/((alpha^3)*(psi^3))</f>
        <v>3647.81282867692</v>
      </c>
      <c r="R17" s="5" t="n">
        <f aca="false">Tau*Beta</f>
        <v>415.183605149887</v>
      </c>
      <c r="S17" s="5" t="n">
        <f aca="false">Tau*Beta</f>
        <v>415.183605149887</v>
      </c>
      <c r="T17" s="6" t="n">
        <f aca="false">Tau</f>
        <v>2.30657558416604</v>
      </c>
      <c r="U17" s="5" t="n">
        <f aca="false">Profit+Utility</f>
        <v>29123.6003528306</v>
      </c>
      <c r="V17" s="5" t="n">
        <f aca="false">(2*ij*BRIJ)+2*jj*BRJJ</f>
        <v>107.013631196008</v>
      </c>
      <c r="W17" s="5" t="n">
        <f aca="false">2*(ij*BCCIJ)+(2*jj*BCCJJ)+BCS+jj*BCPTJJ+2*(ij*BCPTIJ)+BCPTII+BCk</f>
        <v>3743.38020620432</v>
      </c>
      <c r="X17" s="5" t="n">
        <f aca="false">ij*BUTIJ+BUTII</f>
        <v>32759.9669278389</v>
      </c>
      <c r="Y17" s="5" t="n">
        <f aca="false">Revenue-Cost</f>
        <v>-3636.36657500831</v>
      </c>
      <c r="Z17" s="5" t="n">
        <f aca="false">Size</f>
        <v>100</v>
      </c>
      <c r="AA17" s="6" t="n">
        <f aca="false">Welfare/(Size)</f>
        <v>291.236003528306</v>
      </c>
      <c r="AB17" s="6" t="n">
        <f aca="false">Profit/(Size)</f>
        <v>-36.3636657500831</v>
      </c>
      <c r="AC17" s="6" t="n">
        <f aca="false">Utility/(Size)</f>
        <v>327.599669278389</v>
      </c>
      <c r="AE17" s="4" t="n">
        <f aca="false">(EXP(alpha*(zeta-2*a*psi))*((EXP(alpha*a*psi)-EXP(alpha*b*psi))^2))/((EXP(alpha*a*psi)-EXP(alpha*(b*psi)))*(alpha^2)*(psi^2))</f>
        <v>12.9907772563503</v>
      </c>
      <c r="AF17" s="4" t="n">
        <f aca="false">(EXP(alpha*(zeta+(2*b-a)*psi))*(-1+EXP(alpha*(-1)*Size*psi))*(EXP(alpha*(a*psi))-EXP(alpha*(b*psi))))/(((EXP(alpha*a*psi)-EXP(alpha*(b*psi)))^2)*(alpha^2)*(psi^2))</f>
        <v>3.97391012346822E-006</v>
      </c>
      <c r="AG17" s="5" t="n">
        <f aca="false">BCS+Taxjj*BCPTJJ+2*(Taxij*BCPTIJ)+BCPTII</f>
        <v>4209.01311860438</v>
      </c>
      <c r="AH17" s="5" t="n">
        <f aca="false">Taxij*BUTIJ+BUTII</f>
        <v>35075.1093217031</v>
      </c>
      <c r="AI17" s="2" t="n">
        <f aca="false">TaxCost+TaxUtility</f>
        <v>39284.1224403075</v>
      </c>
      <c r="AJ17" s="2" t="n">
        <f aca="false">TaxWelfare/Size</f>
        <v>392.841224403075</v>
      </c>
    </row>
    <row r="18" customFormat="false" ht="13" hidden="false" customHeight="false" outlineLevel="0" collapsed="false">
      <c r="A18" s="4" t="n">
        <f aca="false">'Toll-Regress-Result'!$B$17+'Toll-Regress-Result'!$B$18*'WG-OptSize (3)'!C18+'Toll-Regress-Result'!$B$19*Theta</f>
        <v>2.30657558416604</v>
      </c>
      <c r="B18" s="4" t="n">
        <f aca="false">Tau</f>
        <v>2.30657558416604</v>
      </c>
      <c r="C18" s="2" t="n">
        <v>100</v>
      </c>
      <c r="D18" s="2" t="n">
        <v>0</v>
      </c>
      <c r="E18" s="2" t="n">
        <v>0</v>
      </c>
      <c r="F18" s="2" t="n">
        <f aca="false">Size-a</f>
        <v>100</v>
      </c>
      <c r="G18" s="4" t="n">
        <f aca="false">(EXP(alpha*(Tau+OldTau+zeta-2*a*psi))*((EXP(alpha*a*psi)-EXP(alpha*b*psi))^2))/((EXP(alpha*a*psi)-EXP(alpha*(2*OldTau+b*psi)))*(alpha^2)*(psi^2))</f>
        <v>0.128875068215446</v>
      </c>
      <c r="H18" s="4" t="n">
        <f aca="false">(EXP(alpha*(zeta+(2*b-a)*psi))*(-1+EXP(alpha*(-1)*Size*psi))*(EXP(alpha*(2*(Tau+OldTau)+a*psi))-EXP(alpha*(2*(Tau+OldTau)+b*psi))))/(((EXP(alpha*a*psi)-EXP(alpha*(2*OldTau+b*psi)))^2)*(alpha^2)*(psi^2))</f>
        <v>3.91097990353207E-010</v>
      </c>
      <c r="I18" s="5" t="n">
        <f aca="false">-Beta/alpha</f>
        <v>180</v>
      </c>
      <c r="J18" s="5" t="n">
        <f aca="false">(-EXP(alpha*zeta)*Beta*(-1+EXP(alpha*Size*psi)-Size*alpha*psi))/((alpha^3)*(psi^2))</f>
        <v>32736.7694155601</v>
      </c>
      <c r="K18" s="5" t="n">
        <f aca="false">Beta*Theta</f>
        <v>0</v>
      </c>
      <c r="L18" s="5" t="n">
        <f aca="false">Beta*Theta</f>
        <v>0</v>
      </c>
      <c r="M18" s="5" t="n">
        <v>75</v>
      </c>
      <c r="N18" s="5" t="n">
        <f aca="false">Gamma*Size</f>
        <v>0</v>
      </c>
      <c r="O18" s="5" t="n">
        <f aca="false">Size*Beta*Phi</f>
        <v>324</v>
      </c>
      <c r="P18" s="5" t="n">
        <f aca="false">-(EXP(alpha*a*psi)+EXP(alpha*b*psi)*(-1+Size*psi*alpha))*(Beta*Phi)/((alpha*psi)*(EXP(alpha*a*psi)-EXP(alpha*b*psi)))</f>
        <v>21.5999008876178</v>
      </c>
      <c r="Q18" s="5" t="n">
        <f aca="false">(EXP(alpha*(zeta-a*psi))*Beta*Phi*(-EXP(alpha*a*psi)*(-2+(-1)*Size*alpha*psi)+EXP(alpha*b*psi)*(-2+Size*alpha*psi)))/((alpha^3)*(psi^3))</f>
        <v>3647.81282867692</v>
      </c>
      <c r="R18" s="5" t="n">
        <f aca="false">Tau*Beta</f>
        <v>415.183605149887</v>
      </c>
      <c r="S18" s="5" t="n">
        <f aca="false">Tau*Beta</f>
        <v>415.183605149887</v>
      </c>
      <c r="T18" s="6" t="n">
        <f aca="false">Tau</f>
        <v>2.30657558416604</v>
      </c>
      <c r="U18" s="5" t="n">
        <f aca="false">Profit+Utility</f>
        <v>29138.6003528306</v>
      </c>
      <c r="V18" s="5" t="n">
        <f aca="false">(2*ij*BRIJ)+2*jj*BRJJ</f>
        <v>107.013631196008</v>
      </c>
      <c r="W18" s="5" t="n">
        <f aca="false">2*(ij*BCCIJ)+(2*jj*BCCJJ)+BCS+jj*BCPTJJ+2*(ij*BCPTIJ)+BCPTII+BCk</f>
        <v>3728.38020620432</v>
      </c>
      <c r="X18" s="5" t="n">
        <f aca="false">ij*BUTIJ+BUTII</f>
        <v>32759.9669278389</v>
      </c>
      <c r="Y18" s="5" t="n">
        <f aca="false">Revenue-Cost</f>
        <v>-3621.36657500831</v>
      </c>
      <c r="Z18" s="5" t="n">
        <f aca="false">Size</f>
        <v>100</v>
      </c>
      <c r="AA18" s="6" t="n">
        <f aca="false">Welfare/(Size)</f>
        <v>291.386003528306</v>
      </c>
      <c r="AB18" s="6" t="n">
        <f aca="false">Profit/(Size)</f>
        <v>-36.2136657500831</v>
      </c>
      <c r="AC18" s="6" t="n">
        <f aca="false">Utility/(Size)</f>
        <v>327.599669278389</v>
      </c>
      <c r="AE18" s="4" t="n">
        <f aca="false">(EXP(alpha*(zeta-2*a*psi))*((EXP(alpha*a*psi)-EXP(alpha*b*psi))^2))/((EXP(alpha*a*psi)-EXP(alpha*(b*psi)))*(alpha^2)*(psi^2))</f>
        <v>12.9907772563503</v>
      </c>
      <c r="AF18" s="4" t="n">
        <f aca="false">(EXP(alpha*(zeta+(2*b-a)*psi))*(-1+EXP(alpha*(-1)*Size*psi))*(EXP(alpha*(a*psi))-EXP(alpha*(b*psi))))/(((EXP(alpha*a*psi)-EXP(alpha*(b*psi)))^2)*(alpha^2)*(psi^2))</f>
        <v>3.97391012346822E-006</v>
      </c>
      <c r="AG18" s="5" t="n">
        <f aca="false">BCS+Taxjj*BCPTJJ+2*(Taxij*BCPTIJ)+BCPTII</f>
        <v>4209.01311860438</v>
      </c>
      <c r="AH18" s="5" t="n">
        <f aca="false">Taxij*BUTIJ+BUTII</f>
        <v>35075.1093217031</v>
      </c>
      <c r="AI18" s="2" t="n">
        <f aca="false">TaxCost+TaxUtility</f>
        <v>39284.1224403075</v>
      </c>
      <c r="AJ18" s="2" t="n">
        <f aca="false">TaxWelfare/Size</f>
        <v>392.841224403075</v>
      </c>
    </row>
    <row r="19" customFormat="false" ht="13" hidden="false" customHeight="false" outlineLevel="0" collapsed="false">
      <c r="A19" s="4" t="n">
        <f aca="false">'Toll-Regress-Result'!$B$17+'Toll-Regress-Result'!$B$18*'WG-OptSize (3)'!C19+'Toll-Regress-Result'!$B$19*Theta</f>
        <v>2.30657558416604</v>
      </c>
      <c r="B19" s="4" t="n">
        <f aca="false">Tau</f>
        <v>2.30657558416604</v>
      </c>
      <c r="C19" s="2" t="n">
        <v>100</v>
      </c>
      <c r="D19" s="2" t="n">
        <v>0</v>
      </c>
      <c r="E19" s="2" t="n">
        <v>0</v>
      </c>
      <c r="F19" s="2" t="n">
        <f aca="false">Size-a</f>
        <v>100</v>
      </c>
      <c r="G19" s="4" t="n">
        <f aca="false">(EXP(alpha*(Tau+OldTau+zeta-2*a*psi))*((EXP(alpha*a*psi)-EXP(alpha*b*psi))^2))/((EXP(alpha*a*psi)-EXP(alpha*(2*OldTau+b*psi)))*(alpha^2)*(psi^2))</f>
        <v>0.128875068215446</v>
      </c>
      <c r="H19" s="4" t="n">
        <f aca="false">(EXP(alpha*(zeta+(2*b-a)*psi))*(-1+EXP(alpha*(-1)*Size*psi))*(EXP(alpha*(2*(Tau+OldTau)+a*psi))-EXP(alpha*(2*(Tau+OldTau)+b*psi))))/(((EXP(alpha*a*psi)-EXP(alpha*(2*OldTau+b*psi)))^2)*(alpha^2)*(psi^2))</f>
        <v>3.91097990353207E-010</v>
      </c>
      <c r="I19" s="5" t="n">
        <f aca="false">-Beta/alpha</f>
        <v>180</v>
      </c>
      <c r="J19" s="5" t="n">
        <f aca="false">(-EXP(alpha*zeta)*Beta*(-1+EXP(alpha*Size*psi)-Size*alpha*psi))/((alpha^3)*(psi^2))</f>
        <v>32736.7694155601</v>
      </c>
      <c r="K19" s="5" t="n">
        <f aca="false">Beta*Theta</f>
        <v>0</v>
      </c>
      <c r="L19" s="5" t="n">
        <f aca="false">Beta*Theta</f>
        <v>0</v>
      </c>
      <c r="M19" s="5" t="n">
        <v>60</v>
      </c>
      <c r="N19" s="5" t="n">
        <f aca="false">Gamma*Size</f>
        <v>0</v>
      </c>
      <c r="O19" s="5" t="n">
        <f aca="false">Size*Beta*Phi</f>
        <v>324</v>
      </c>
      <c r="P19" s="5" t="n">
        <f aca="false">-(EXP(alpha*a*psi)+EXP(alpha*b*psi)*(-1+Size*psi*alpha))*(Beta*Phi)/((alpha*psi)*(EXP(alpha*a*psi)-EXP(alpha*b*psi)))</f>
        <v>21.5999008876178</v>
      </c>
      <c r="Q19" s="5" t="n">
        <f aca="false">(EXP(alpha*(zeta-a*psi))*Beta*Phi*(-EXP(alpha*a*psi)*(-2+(-1)*Size*alpha*psi)+EXP(alpha*b*psi)*(-2+Size*alpha*psi)))/((alpha^3)*(psi^3))</f>
        <v>3647.81282867692</v>
      </c>
      <c r="R19" s="5" t="n">
        <f aca="false">Tau*Beta</f>
        <v>415.183605149887</v>
      </c>
      <c r="S19" s="5" t="n">
        <f aca="false">Tau*Beta</f>
        <v>415.183605149887</v>
      </c>
      <c r="T19" s="6" t="n">
        <f aca="false">Tau</f>
        <v>2.30657558416604</v>
      </c>
      <c r="U19" s="5" t="n">
        <f aca="false">Profit+Utility</f>
        <v>29153.6003528306</v>
      </c>
      <c r="V19" s="5" t="n">
        <f aca="false">(2*ij*BRIJ)+2*jj*BRJJ</f>
        <v>107.013631196008</v>
      </c>
      <c r="W19" s="5" t="n">
        <f aca="false">2*(ij*BCCIJ)+(2*jj*BCCJJ)+BCS+jj*BCPTJJ+2*(ij*BCPTIJ)+BCPTII+BCk</f>
        <v>3713.38020620432</v>
      </c>
      <c r="X19" s="5" t="n">
        <f aca="false">ij*BUTIJ+BUTII</f>
        <v>32759.9669278389</v>
      </c>
      <c r="Y19" s="5" t="n">
        <f aca="false">Revenue-Cost</f>
        <v>-3606.36657500831</v>
      </c>
      <c r="Z19" s="5" t="n">
        <f aca="false">Size</f>
        <v>100</v>
      </c>
      <c r="AA19" s="6" t="n">
        <f aca="false">Welfare/(Size)</f>
        <v>291.536003528306</v>
      </c>
      <c r="AB19" s="6" t="n">
        <f aca="false">Profit/(Size)</f>
        <v>-36.0636657500831</v>
      </c>
      <c r="AC19" s="6" t="n">
        <f aca="false">Utility/(Size)</f>
        <v>327.599669278389</v>
      </c>
      <c r="AE19" s="4" t="n">
        <f aca="false">(EXP(alpha*(zeta-2*a*psi))*((EXP(alpha*a*psi)-EXP(alpha*b*psi))^2))/((EXP(alpha*a*psi)-EXP(alpha*(b*psi)))*(alpha^2)*(psi^2))</f>
        <v>12.9907772563503</v>
      </c>
      <c r="AF19" s="4" t="n">
        <f aca="false">(EXP(alpha*(zeta+(2*b-a)*psi))*(-1+EXP(alpha*(-1)*Size*psi))*(EXP(alpha*(a*psi))-EXP(alpha*(b*psi))))/(((EXP(alpha*a*psi)-EXP(alpha*(b*psi)))^2)*(alpha^2)*(psi^2))</f>
        <v>3.97391012346822E-006</v>
      </c>
      <c r="AG19" s="5" t="n">
        <f aca="false">BCS+Taxjj*BCPTJJ+2*(Taxij*BCPTIJ)+BCPTII</f>
        <v>4209.01311860438</v>
      </c>
      <c r="AH19" s="5" t="n">
        <f aca="false">Taxij*BUTIJ+BUTII</f>
        <v>35075.1093217031</v>
      </c>
      <c r="AI19" s="2" t="n">
        <f aca="false">TaxCost+TaxUtility</f>
        <v>39284.1224403075</v>
      </c>
      <c r="AJ19" s="2" t="n">
        <f aca="false">TaxWelfare/Size</f>
        <v>392.841224403075</v>
      </c>
    </row>
    <row r="20" customFormat="false" ht="13" hidden="false" customHeight="false" outlineLevel="0" collapsed="false">
      <c r="A20" s="4" t="n">
        <f aca="false">'Toll-Regress-Result'!$B$17+'Toll-Regress-Result'!$B$18*'WG-OptSize (3)'!C20+'Toll-Regress-Result'!$B$19*Theta</f>
        <v>2.30657558416604</v>
      </c>
      <c r="B20" s="4" t="n">
        <f aca="false">Tau</f>
        <v>2.30657558416604</v>
      </c>
      <c r="C20" s="2" t="n">
        <v>100</v>
      </c>
      <c r="D20" s="2" t="n">
        <v>0</v>
      </c>
      <c r="E20" s="2" t="n">
        <v>0</v>
      </c>
      <c r="F20" s="2" t="n">
        <f aca="false">Size-a</f>
        <v>100</v>
      </c>
      <c r="G20" s="4" t="n">
        <f aca="false">(EXP(alpha*(Tau+OldTau+zeta-2*a*psi))*((EXP(alpha*a*psi)-EXP(alpha*b*psi))^2))/((EXP(alpha*a*psi)-EXP(alpha*(2*OldTau+b*psi)))*(alpha^2)*(psi^2))</f>
        <v>0.128875068215446</v>
      </c>
      <c r="H20" s="4" t="n">
        <f aca="false">(EXP(alpha*(zeta+(2*b-a)*psi))*(-1+EXP(alpha*(-1)*Size*psi))*(EXP(alpha*(2*(Tau+OldTau)+a*psi))-EXP(alpha*(2*(Tau+OldTau)+b*psi))))/(((EXP(alpha*a*psi)-EXP(alpha*(2*OldTau+b*psi)))^2)*(alpha^2)*(psi^2))</f>
        <v>3.91097990353207E-010</v>
      </c>
      <c r="I20" s="5" t="n">
        <f aca="false">-Beta/alpha</f>
        <v>180</v>
      </c>
      <c r="J20" s="5" t="n">
        <f aca="false">(-EXP(alpha*zeta)*Beta*(-1+EXP(alpha*Size*psi)-Size*alpha*psi))/((alpha^3)*(psi^2))</f>
        <v>32736.7694155601</v>
      </c>
      <c r="K20" s="5" t="n">
        <f aca="false">Beta*Theta</f>
        <v>0</v>
      </c>
      <c r="L20" s="5" t="n">
        <f aca="false">Beta*Theta</f>
        <v>0</v>
      </c>
      <c r="M20" s="5" t="n">
        <v>45</v>
      </c>
      <c r="N20" s="5" t="n">
        <f aca="false">Gamma*Size</f>
        <v>0</v>
      </c>
      <c r="O20" s="5" t="n">
        <f aca="false">Size*Beta*Phi</f>
        <v>324</v>
      </c>
      <c r="P20" s="5" t="n">
        <f aca="false">-(EXP(alpha*a*psi)+EXP(alpha*b*psi)*(-1+Size*psi*alpha))*(Beta*Phi)/((alpha*psi)*(EXP(alpha*a*psi)-EXP(alpha*b*psi)))</f>
        <v>21.5999008876178</v>
      </c>
      <c r="Q20" s="5" t="n">
        <f aca="false">(EXP(alpha*(zeta-a*psi))*Beta*Phi*(-EXP(alpha*a*psi)*(-2+(-1)*Size*alpha*psi)+EXP(alpha*b*psi)*(-2+Size*alpha*psi)))/((alpha^3)*(psi^3))</f>
        <v>3647.81282867692</v>
      </c>
      <c r="R20" s="5" t="n">
        <f aca="false">Tau*Beta</f>
        <v>415.183605149887</v>
      </c>
      <c r="S20" s="5" t="n">
        <f aca="false">Tau*Beta</f>
        <v>415.183605149887</v>
      </c>
      <c r="T20" s="6" t="n">
        <f aca="false">Tau</f>
        <v>2.30657558416604</v>
      </c>
      <c r="U20" s="5" t="n">
        <f aca="false">Profit+Utility</f>
        <v>29168.6003528306</v>
      </c>
      <c r="V20" s="5" t="n">
        <f aca="false">(2*ij*BRIJ)+2*jj*BRJJ</f>
        <v>107.013631196008</v>
      </c>
      <c r="W20" s="5" t="n">
        <f aca="false">2*(ij*BCCIJ)+(2*jj*BCCJJ)+BCS+jj*BCPTJJ+2*(ij*BCPTIJ)+BCPTII+BCk</f>
        <v>3698.38020620432</v>
      </c>
      <c r="X20" s="5" t="n">
        <f aca="false">ij*BUTIJ+BUTII</f>
        <v>32759.9669278389</v>
      </c>
      <c r="Y20" s="5" t="n">
        <f aca="false">Revenue-Cost</f>
        <v>-3591.36657500831</v>
      </c>
      <c r="Z20" s="5" t="n">
        <f aca="false">Size</f>
        <v>100</v>
      </c>
      <c r="AA20" s="6" t="n">
        <f aca="false">Welfare/(Size)</f>
        <v>291.686003528306</v>
      </c>
      <c r="AB20" s="6" t="n">
        <f aca="false">Profit/(Size)</f>
        <v>-35.9136657500831</v>
      </c>
      <c r="AC20" s="6" t="n">
        <f aca="false">Utility/(Size)</f>
        <v>327.599669278389</v>
      </c>
      <c r="AE20" s="4" t="n">
        <f aca="false">(EXP(alpha*(zeta-2*a*psi))*((EXP(alpha*a*psi)-EXP(alpha*b*psi))^2))/((EXP(alpha*a*psi)-EXP(alpha*(b*psi)))*(alpha^2)*(psi^2))</f>
        <v>12.9907772563503</v>
      </c>
      <c r="AF20" s="4" t="n">
        <f aca="false">(EXP(alpha*(zeta+(2*b-a)*psi))*(-1+EXP(alpha*(-1)*Size*psi))*(EXP(alpha*(a*psi))-EXP(alpha*(b*psi))))/(((EXP(alpha*a*psi)-EXP(alpha*(b*psi)))^2)*(alpha^2)*(psi^2))</f>
        <v>3.97391012346822E-006</v>
      </c>
      <c r="AG20" s="5" t="n">
        <f aca="false">BCS+Taxjj*BCPTJJ+2*(Taxij*BCPTIJ)+BCPTII</f>
        <v>4209.01311860438</v>
      </c>
      <c r="AH20" s="5" t="n">
        <f aca="false">Taxij*BUTIJ+BUTII</f>
        <v>35075.1093217031</v>
      </c>
      <c r="AI20" s="2" t="n">
        <f aca="false">TaxCost+TaxUtility</f>
        <v>39284.1224403075</v>
      </c>
      <c r="AJ20" s="2" t="n">
        <f aca="false">TaxWelfare/Size</f>
        <v>392.841224403075</v>
      </c>
    </row>
    <row r="21" customFormat="false" ht="13" hidden="false" customHeight="false" outlineLevel="0" collapsed="false">
      <c r="A21" s="4" t="n">
        <f aca="false">'Toll-Regress-Result'!$B$17+'Toll-Regress-Result'!$B$18*'WG-OptSize (3)'!C21+'Toll-Regress-Result'!$B$19*Theta</f>
        <v>2.30657558416604</v>
      </c>
      <c r="B21" s="4" t="n">
        <f aca="false">Tau</f>
        <v>2.30657558416604</v>
      </c>
      <c r="C21" s="2" t="n">
        <v>100</v>
      </c>
      <c r="D21" s="2" t="n">
        <v>0</v>
      </c>
      <c r="E21" s="2" t="n">
        <v>0</v>
      </c>
      <c r="F21" s="2" t="n">
        <f aca="false">Size-a</f>
        <v>100</v>
      </c>
      <c r="G21" s="4" t="n">
        <f aca="false">(EXP(alpha*(Tau+OldTau+zeta-2*a*psi))*((EXP(alpha*a*psi)-EXP(alpha*b*psi))^2))/((EXP(alpha*a*psi)-EXP(alpha*(2*OldTau+b*psi)))*(alpha^2)*(psi^2))</f>
        <v>0.128875068215446</v>
      </c>
      <c r="H21" s="4" t="n">
        <f aca="false">(EXP(alpha*(zeta+(2*b-a)*psi))*(-1+EXP(alpha*(-1)*Size*psi))*(EXP(alpha*(2*(Tau+OldTau)+a*psi))-EXP(alpha*(2*(Tau+OldTau)+b*psi))))/(((EXP(alpha*a*psi)-EXP(alpha*(2*OldTau+b*psi)))^2)*(alpha^2)*(psi^2))</f>
        <v>3.91097990353207E-010</v>
      </c>
      <c r="I21" s="5" t="n">
        <f aca="false">-Beta/alpha</f>
        <v>180</v>
      </c>
      <c r="J21" s="5" t="n">
        <f aca="false">(-EXP(alpha*zeta)*Beta*(-1+EXP(alpha*Size*psi)-Size*alpha*psi))/((alpha^3)*(psi^2))</f>
        <v>32736.7694155601</v>
      </c>
      <c r="K21" s="5" t="n">
        <f aca="false">Beta*Theta</f>
        <v>0</v>
      </c>
      <c r="L21" s="5" t="n">
        <f aca="false">Beta*Theta</f>
        <v>0</v>
      </c>
      <c r="M21" s="5" t="n">
        <v>15</v>
      </c>
      <c r="N21" s="5" t="n">
        <f aca="false">Gamma*Size</f>
        <v>0</v>
      </c>
      <c r="O21" s="5" t="n">
        <f aca="false">Size*Beta*Phi</f>
        <v>324</v>
      </c>
      <c r="P21" s="5" t="n">
        <f aca="false">-(EXP(alpha*a*psi)+EXP(alpha*b*psi)*(-1+Size*psi*alpha))*(Beta*Phi)/((alpha*psi)*(EXP(alpha*a*psi)-EXP(alpha*b*psi)))</f>
        <v>21.5999008876178</v>
      </c>
      <c r="Q21" s="5" t="n">
        <f aca="false">(EXP(alpha*(zeta-a*psi))*Beta*Phi*(-EXP(alpha*a*psi)*(-2+(-1)*Size*alpha*psi)+EXP(alpha*b*psi)*(-2+Size*alpha*psi)))/((alpha^3)*(psi^3))</f>
        <v>3647.81282867692</v>
      </c>
      <c r="R21" s="5" t="n">
        <f aca="false">Tau*Beta</f>
        <v>415.183605149887</v>
      </c>
      <c r="S21" s="5" t="n">
        <f aca="false">Tau*Beta</f>
        <v>415.183605149887</v>
      </c>
      <c r="T21" s="6" t="n">
        <f aca="false">Tau</f>
        <v>2.30657558416604</v>
      </c>
      <c r="U21" s="5" t="n">
        <f aca="false">Profit+Utility</f>
        <v>29198.6003528306</v>
      </c>
      <c r="V21" s="5" t="n">
        <f aca="false">(2*ij*BRIJ)+2*jj*BRJJ</f>
        <v>107.013631196008</v>
      </c>
      <c r="W21" s="5" t="n">
        <f aca="false">2*(ij*BCCIJ)+(2*jj*BCCJJ)+BCS+jj*BCPTJJ+2*(ij*BCPTIJ)+BCPTII+BCk</f>
        <v>3668.38020620432</v>
      </c>
      <c r="X21" s="5" t="n">
        <f aca="false">ij*BUTIJ+BUTII</f>
        <v>32759.9669278389</v>
      </c>
      <c r="Y21" s="5" t="n">
        <f aca="false">Revenue-Cost</f>
        <v>-3561.36657500831</v>
      </c>
      <c r="Z21" s="5" t="n">
        <f aca="false">Size</f>
        <v>100</v>
      </c>
      <c r="AA21" s="6" t="n">
        <f aca="false">Welfare/(Size)</f>
        <v>291.986003528306</v>
      </c>
      <c r="AB21" s="6" t="n">
        <f aca="false">Profit/(Size)</f>
        <v>-35.6136657500831</v>
      </c>
      <c r="AC21" s="6" t="n">
        <f aca="false">Utility/(Size)</f>
        <v>327.599669278389</v>
      </c>
      <c r="AE21" s="4" t="n">
        <f aca="false">(EXP(alpha*(zeta-2*a*psi))*((EXP(alpha*a*psi)-EXP(alpha*b*psi))^2))/((EXP(alpha*a*psi)-EXP(alpha*(b*psi)))*(alpha^2)*(psi^2))</f>
        <v>12.9907772563503</v>
      </c>
      <c r="AF21" s="4" t="n">
        <f aca="false">(EXP(alpha*(zeta+(2*b-a)*psi))*(-1+EXP(alpha*(-1)*Size*psi))*(EXP(alpha*(a*psi))-EXP(alpha*(b*psi))))/(((EXP(alpha*a*psi)-EXP(alpha*(b*psi)))^2)*(alpha^2)*(psi^2))</f>
        <v>3.97391012346822E-006</v>
      </c>
      <c r="AG21" s="5" t="n">
        <f aca="false">BCS+Taxjj*BCPTJJ+2*(Taxij*BCPTIJ)+BCPTII</f>
        <v>4209.01311860438</v>
      </c>
      <c r="AH21" s="5" t="n">
        <f aca="false">Taxij*BUTIJ+BUTII</f>
        <v>35075.1093217031</v>
      </c>
      <c r="AI21" s="2" t="n">
        <f aca="false">TaxCost+TaxUtility</f>
        <v>39284.1224403075</v>
      </c>
      <c r="AJ21" s="2" t="n">
        <f aca="false">TaxWelfare/Size</f>
        <v>392.841224403075</v>
      </c>
    </row>
    <row r="22" customFormat="false" ht="13" hidden="false" customHeight="false" outlineLevel="0" collapsed="false">
      <c r="A22" s="4" t="n">
        <f aca="false">'Toll-Regress-Result'!$B$17+'Toll-Regress-Result'!$B$18*'WG-OptSize (3)'!C22+'Toll-Regress-Result'!$B$19*Theta</f>
        <v>2.30657558416604</v>
      </c>
      <c r="B22" s="4" t="n">
        <f aca="false">Tau</f>
        <v>2.30657558416604</v>
      </c>
      <c r="C22" s="2" t="n">
        <v>100</v>
      </c>
      <c r="D22" s="2" t="n">
        <v>0</v>
      </c>
      <c r="E22" s="2" t="n">
        <v>0</v>
      </c>
      <c r="F22" s="2" t="n">
        <f aca="false">Size-a</f>
        <v>100</v>
      </c>
      <c r="G22" s="4" t="n">
        <f aca="false">(EXP(alpha*(Tau+OldTau+zeta-2*a*psi))*((EXP(alpha*a*psi)-EXP(alpha*b*psi))^2))/((EXP(alpha*a*psi)-EXP(alpha*(2*OldTau+b*psi)))*(alpha^2)*(psi^2))</f>
        <v>0.128875068215446</v>
      </c>
      <c r="H22" s="4" t="n">
        <f aca="false">(EXP(alpha*(zeta+(2*b-a)*psi))*(-1+EXP(alpha*(-1)*Size*psi))*(EXP(alpha*(2*(Tau+OldTau)+a*psi))-EXP(alpha*(2*(Tau+OldTau)+b*psi))))/(((EXP(alpha*a*psi)-EXP(alpha*(2*OldTau+b*psi)))^2)*(alpha^2)*(psi^2))</f>
        <v>3.91097990353207E-010</v>
      </c>
      <c r="I22" s="5" t="n">
        <f aca="false">-Beta/alpha</f>
        <v>180</v>
      </c>
      <c r="J22" s="5" t="n">
        <f aca="false">(-EXP(alpha*zeta)*Beta*(-1+EXP(alpha*Size*psi)-Size*alpha*psi))/((alpha^3)*(psi^2))</f>
        <v>32736.7694155601</v>
      </c>
      <c r="K22" s="5" t="n">
        <f aca="false">Beta*Theta</f>
        <v>0</v>
      </c>
      <c r="L22" s="5" t="n">
        <f aca="false">Beta*Theta</f>
        <v>0</v>
      </c>
      <c r="M22" s="5" t="n">
        <v>0</v>
      </c>
      <c r="N22" s="5" t="n">
        <f aca="false">Gamma*Size</f>
        <v>0</v>
      </c>
      <c r="O22" s="5" t="n">
        <f aca="false">Size*Beta*Phi</f>
        <v>324</v>
      </c>
      <c r="P22" s="5" t="n">
        <f aca="false">-(EXP(alpha*a*psi)+EXP(alpha*b*psi)*(-1+Size*psi*alpha))*(Beta*Phi)/((alpha*psi)*(EXP(alpha*a*psi)-EXP(alpha*b*psi)))</f>
        <v>21.5999008876178</v>
      </c>
      <c r="Q22" s="5" t="n">
        <f aca="false">(EXP(alpha*(zeta-a*psi))*Beta*Phi*(-EXP(alpha*a*psi)*(-2+(-1)*Size*alpha*psi)+EXP(alpha*b*psi)*(-2+Size*alpha*psi)))/((alpha^3)*(psi^3))</f>
        <v>3647.81282867692</v>
      </c>
      <c r="R22" s="5" t="n">
        <f aca="false">Tau*Beta</f>
        <v>415.183605149887</v>
      </c>
      <c r="S22" s="5" t="n">
        <f aca="false">Tau*Beta</f>
        <v>415.183605149887</v>
      </c>
      <c r="T22" s="6" t="n">
        <f aca="false">Tau</f>
        <v>2.30657558416604</v>
      </c>
      <c r="U22" s="5" t="n">
        <f aca="false">Profit+Utility</f>
        <v>29213.6003528306</v>
      </c>
      <c r="V22" s="5" t="n">
        <f aca="false">(2*ij*BRIJ)+2*jj*BRJJ</f>
        <v>107.013631196008</v>
      </c>
      <c r="W22" s="5" t="n">
        <f aca="false">2*(ij*BCCIJ)+(2*jj*BCCJJ)+BCS+jj*BCPTJJ+2*(ij*BCPTIJ)+BCPTII+BCk</f>
        <v>3653.38020620432</v>
      </c>
      <c r="X22" s="5" t="n">
        <f aca="false">ij*BUTIJ+BUTII</f>
        <v>32759.9669278389</v>
      </c>
      <c r="Y22" s="5" t="n">
        <f aca="false">Revenue-Cost</f>
        <v>-3546.36657500831</v>
      </c>
      <c r="Z22" s="5" t="n">
        <f aca="false">Size</f>
        <v>100</v>
      </c>
      <c r="AA22" s="6" t="n">
        <f aca="false">Welfare/(Size)</f>
        <v>292.136003528306</v>
      </c>
      <c r="AB22" s="6" t="n">
        <f aca="false">Profit/(Size)</f>
        <v>-35.4636657500831</v>
      </c>
      <c r="AC22" s="6" t="n">
        <f aca="false">Utility/(Size)</f>
        <v>327.599669278389</v>
      </c>
      <c r="AE22" s="4" t="n">
        <f aca="false">(EXP(alpha*(zeta-2*a*psi))*((EXP(alpha*a*psi)-EXP(alpha*b*psi))^2))/((EXP(alpha*a*psi)-EXP(alpha*(b*psi)))*(alpha^2)*(psi^2))</f>
        <v>12.9907772563503</v>
      </c>
      <c r="AF22" s="4" t="n">
        <f aca="false">(EXP(alpha*(zeta+(2*b-a)*psi))*(-1+EXP(alpha*(-1)*Size*psi))*(EXP(alpha*(a*psi))-EXP(alpha*(b*psi))))/(((EXP(alpha*a*psi)-EXP(alpha*(b*psi)))^2)*(alpha^2)*(psi^2))</f>
        <v>3.97391012346822E-006</v>
      </c>
      <c r="AG22" s="5" t="n">
        <f aca="false">BCS+Taxjj*BCPTJJ+2*(Taxij*BCPTIJ)+BCPTII</f>
        <v>4209.01311860438</v>
      </c>
      <c r="AH22" s="5" t="n">
        <f aca="false">Taxij*BUTIJ+BUTII</f>
        <v>35075.1093217031</v>
      </c>
      <c r="AI22" s="2" t="n">
        <f aca="false">TaxCost+TaxUtility</f>
        <v>39284.1224403075</v>
      </c>
      <c r="AJ22" s="2" t="n">
        <f aca="false">TaxWelfare/Size</f>
        <v>392.841224403075</v>
      </c>
    </row>
    <row r="24" customFormat="false" ht="13" hidden="false" customHeight="false" outlineLevel="0" collapsed="false">
      <c r="A24" s="2" t="s">
        <v>175</v>
      </c>
      <c r="B24" s="2" t="s">
        <v>176</v>
      </c>
    </row>
    <row r="25" customFormat="false" ht="13" hidden="false" customHeight="false" outlineLevel="0" collapsed="false">
      <c r="A25" s="5" t="n">
        <v>0</v>
      </c>
      <c r="B25" s="2" t="n">
        <v>5.87157621694293</v>
      </c>
    </row>
    <row r="26" customFormat="false" ht="13" hidden="false" customHeight="false" outlineLevel="0" collapsed="false">
      <c r="A26" s="5" t="n">
        <v>15</v>
      </c>
      <c r="B26" s="2" t="n">
        <v>10.2918045434737</v>
      </c>
    </row>
    <row r="27" customFormat="false" ht="13" hidden="false" customHeight="false" outlineLevel="0" collapsed="false">
      <c r="A27" s="5" t="n">
        <v>45</v>
      </c>
      <c r="B27" s="2" t="n">
        <v>26.6</v>
      </c>
    </row>
    <row r="28" customFormat="false" ht="13" hidden="false" customHeight="false" outlineLevel="0" collapsed="false">
      <c r="A28" s="5" t="n">
        <v>60</v>
      </c>
      <c r="B28" s="2" t="n">
        <v>103.4</v>
      </c>
    </row>
    <row r="29" customFormat="false" ht="13" hidden="false" customHeight="false" outlineLevel="0" collapsed="false">
      <c r="A29" s="5" t="n">
        <v>75</v>
      </c>
      <c r="B29" s="2" t="n">
        <v>6554.6</v>
      </c>
    </row>
    <row r="30" customFormat="false" ht="13" hidden="false" customHeight="false" outlineLevel="0" collapsed="false">
      <c r="A30" s="5" t="n">
        <v>90</v>
      </c>
      <c r="B30" s="2" t="n">
        <v>6554.6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10.99"/>
    <col collapsed="false" customWidth="true" hidden="false" outlineLevel="0" max="2" min="2" style="2" width="9.85"/>
    <col collapsed="false" customWidth="true" hidden="false" outlineLevel="0" max="3" min="3" style="2" width="9.57"/>
    <col collapsed="false" customWidth="true" hidden="false" outlineLevel="0" max="4" min="4" style="2" width="9.85"/>
    <col collapsed="false" customWidth="true" hidden="false" outlineLevel="0" max="5" min="5" style="2" width="7.42"/>
    <col collapsed="false" customWidth="true" hidden="false" outlineLevel="0" max="6" min="6" style="3" width="7.42"/>
    <col collapsed="false" customWidth="true" hidden="false" outlineLevel="0" max="7" min="7" style="2" width="7.42"/>
    <col collapsed="false" customWidth="true" hidden="false" outlineLevel="0" max="8" min="8" style="2" width="6.85"/>
    <col collapsed="false" customWidth="true" hidden="false" outlineLevel="0" max="9" min="9" style="2" width="10.42"/>
    <col collapsed="false" customWidth="false" hidden="false" outlineLevel="0" max="19" min="10" style="2" width="8.28"/>
    <col collapsed="false" customWidth="true" hidden="false" outlineLevel="0" max="20" min="20" style="2" width="9.99"/>
    <col collapsed="false" customWidth="false" hidden="false" outlineLevel="0" max="21" min="21" style="2" width="8.28"/>
    <col collapsed="false" customWidth="true" hidden="false" outlineLevel="0" max="22" min="22" style="2" width="8.99"/>
    <col collapsed="false" customWidth="true" hidden="false" outlineLevel="0" max="23" min="23" style="2" width="9.13"/>
    <col collapsed="false" customWidth="false" hidden="false" outlineLevel="0" max="257" min="24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D1" s="2" t="s">
        <v>146</v>
      </c>
      <c r="AE1" s="2" t="s">
        <v>147</v>
      </c>
      <c r="AF1" s="2" t="s">
        <v>148</v>
      </c>
      <c r="AG1" s="2" t="s">
        <v>149</v>
      </c>
      <c r="AH1" s="2" t="s">
        <v>150</v>
      </c>
      <c r="AI1" s="2" t="s">
        <v>151</v>
      </c>
    </row>
    <row r="3" customFormat="false" ht="13" hidden="false" customHeight="false" outlineLevel="0" collapsed="false">
      <c r="A3" s="4" t="n">
        <f aca="false">0.024+0.0176766*LN(Size)</f>
        <v>0.179340588604702</v>
      </c>
      <c r="B3" s="4" t="n">
        <f aca="false">Tau</f>
        <v>0.179340588604702</v>
      </c>
      <c r="C3" s="2" t="n">
        <v>6554.6</v>
      </c>
      <c r="D3" s="2" t="n">
        <v>0</v>
      </c>
      <c r="E3" s="2" t="n">
        <f aca="false">Size-a</f>
        <v>6554.6</v>
      </c>
      <c r="F3" s="4" t="n">
        <f aca="false">(EXP(alpha*(Tau+OldTau+zeta-2*a*psi))*((EXP(alpha*a*psi)-EXP(alpha*b*psi))^2))/((EXP(alpha*a*psi)-EXP(alpha*(2*OldTau+b*psi)))*(alpha^2)*(psi^2))</f>
        <v>9.07532137332413</v>
      </c>
      <c r="G3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3" s="5" t="n">
        <f aca="false">-Beta/alpha</f>
        <v>180</v>
      </c>
      <c r="I3" s="5" t="n">
        <f aca="false">(-EXP(alpha*zeta)*Beta*(-1+EXP(alpha*Size*psi)-Size*alpha*psi))/((alpha^3)*(psi^2))</f>
        <v>2296694.77497891</v>
      </c>
      <c r="J3" s="5" t="n">
        <f aca="false">Beta*Theta*2</f>
        <v>28.8</v>
      </c>
      <c r="K3" s="5" t="n">
        <f aca="false">Beta*Theta*2</f>
        <v>28.8</v>
      </c>
      <c r="L3" s="5" t="n">
        <v>90</v>
      </c>
      <c r="M3" s="5" t="n">
        <f aca="false">Gamma*Size</f>
        <v>0</v>
      </c>
      <c r="N3" s="5" t="n">
        <f aca="false">Size*Beta*Phi</f>
        <v>21236.904</v>
      </c>
      <c r="O3" s="5" t="n">
        <f aca="false">-(EXP(alpha*a*psi)+EXP(alpha*b*psi)*(-1+Size*psi*alpha))*(Beta*Phi)/((alpha*psi)*(EXP(alpha*a*psi)-EXP(alpha*b*psi)))</f>
        <v>21.6</v>
      </c>
      <c r="P3" s="5" t="n">
        <f aca="false">(EXP(alpha*(zeta-a*psi))*Beta*Phi*(-EXP(alpha*a*psi)*(-2+(-1)*Size*alpha*psi)+EXP(alpha*b*psi)*(-2+Size*alpha*psi)))/((alpha^3)*(psi^3))</f>
        <v>275322.772122895</v>
      </c>
      <c r="Q3" s="5" t="n">
        <f aca="false">Tau*Beta</f>
        <v>32.2813059488464</v>
      </c>
      <c r="R3" s="5" t="n">
        <f aca="false">Tau*Beta</f>
        <v>32.2813059488464</v>
      </c>
      <c r="S3" s="6" t="n">
        <f aca="false">Tau</f>
        <v>0.179340588604702</v>
      </c>
      <c r="T3" s="5" t="e">
        <f aca="false">Profit+Utility</f>
        <v>#NUM!</v>
      </c>
      <c r="U3" s="5" t="e">
        <f aca="false">(2*ij*BRIJ)+2*jj*BRJJ</f>
        <v>#NUM!</v>
      </c>
      <c r="V3" s="5" t="e">
        <f aca="false">2*(ij*BCCIJ)+(2*jj*BCCJJ)+BCS+jj*BCPTJJ+2*(ij*BCPTIJ)+BCPTII+BCk</f>
        <v>#NUM!</v>
      </c>
      <c r="W3" s="5" t="n">
        <f aca="false">ij*BUTIJ+BUTII</f>
        <v>2298328.33282611</v>
      </c>
      <c r="X3" s="5" t="e">
        <f aca="false">Revenue-Cost</f>
        <v>#NUM!</v>
      </c>
      <c r="Y3" s="5" t="n">
        <f aca="false">Size</f>
        <v>6554.6</v>
      </c>
      <c r="Z3" s="6" t="e">
        <f aca="false">Welfare/(Size)</f>
        <v>#NUM!</v>
      </c>
      <c r="AA3" s="6" t="e">
        <f aca="false">Profit/(Size)</f>
        <v>#NUM!</v>
      </c>
      <c r="AB3" s="6" t="n">
        <f aca="false">Utility/(Size)</f>
        <v>350.643568307159</v>
      </c>
      <c r="AD3" s="4" t="n">
        <f aca="false">(EXP(alpha*(zeta-2*a*psi))*((EXP(alpha*a*psi)-EXP(alpha*b*psi))^2))/((EXP(alpha*a*psi)-EXP(alpha*(b*psi)))*(alpha^2)*(psi^2))</f>
        <v>12.9907812302604</v>
      </c>
      <c r="AE3" s="4" t="e">
        <f aca="false">(EXP(alpha*(zeta+(2*b-a)*psi))*(-1+EXP(alpha*(-1)*Size*psi))*(EXP(alpha*(a*psi))-EXP(alpha*(b*psi))))/(((EXP(alpha*a*psi)-EXP(alpha*(b*psi)))^2)*(alpha^2)*(psi^2))</f>
        <v>#NUM!</v>
      </c>
      <c r="AF3" s="5" t="e">
        <f aca="false">BCS+Taxjj*BCPTJJ+2*(Taxij*BCPTIJ)+BCPTII</f>
        <v>#NUM!</v>
      </c>
      <c r="AG3" s="5" t="n">
        <f aca="false">Taxij*BUTIJ+BUTII</f>
        <v>2299033.11560035</v>
      </c>
      <c r="AH3" s="2" t="e">
        <f aca="false">TaxCost+TaxUtility</f>
        <v>#NUM!</v>
      </c>
      <c r="AI3" s="2" t="e">
        <f aca="false">TaxWelfare/Size</f>
        <v>#NUM!</v>
      </c>
    </row>
    <row r="4" customFormat="false" ht="13" hidden="false" customHeight="false" outlineLevel="0" collapsed="false">
      <c r="A4" s="4" t="n">
        <f aca="false">0.024+0.0176766*LN(Size)</f>
        <v>0.179340588604702</v>
      </c>
      <c r="B4" s="4" t="n">
        <f aca="false">Tau</f>
        <v>0.179340588604702</v>
      </c>
      <c r="C4" s="2" t="n">
        <v>6554.6</v>
      </c>
      <c r="D4" s="2" t="n">
        <v>0</v>
      </c>
      <c r="E4" s="2" t="n">
        <f aca="false">Size-a</f>
        <v>6554.6</v>
      </c>
      <c r="F4" s="4" t="n">
        <f aca="false">(EXP(alpha*(Tau+OldTau+zeta-2*a*psi))*((EXP(alpha*a*psi)-EXP(alpha*b*psi))^2))/((EXP(alpha*a*psi)-EXP(alpha*(2*OldTau+b*psi)))*(alpha^2)*(psi^2))</f>
        <v>9.07532137332413</v>
      </c>
      <c r="G4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4" s="5" t="n">
        <f aca="false">-Beta/alpha</f>
        <v>180</v>
      </c>
      <c r="I4" s="5" t="n">
        <f aca="false">(-EXP(alpha*zeta)*Beta*(-1+EXP(alpha*Size*psi)-Size*alpha*psi))/((alpha^3)*(psi^2))</f>
        <v>2296694.77497891</v>
      </c>
      <c r="J4" s="5" t="n">
        <f aca="false">Beta*Theta*2</f>
        <v>28.8</v>
      </c>
      <c r="K4" s="5" t="n">
        <f aca="false">Beta*Theta*2</f>
        <v>28.8</v>
      </c>
      <c r="L4" s="5" t="n">
        <v>75</v>
      </c>
      <c r="M4" s="5" t="n">
        <f aca="false">Gamma*Size</f>
        <v>0</v>
      </c>
      <c r="N4" s="5" t="n">
        <f aca="false">Size*Beta*Phi</f>
        <v>21236.904</v>
      </c>
      <c r="O4" s="5" t="n">
        <f aca="false">-(EXP(alpha*a*psi)+EXP(alpha*b*psi)*(-1+Size*psi*alpha))*(Beta*Phi)/((alpha*psi)*(EXP(alpha*a*psi)-EXP(alpha*b*psi)))</f>
        <v>21.6</v>
      </c>
      <c r="P4" s="5" t="n">
        <f aca="false">(EXP(alpha*(zeta-a*psi))*Beta*Phi*(-EXP(alpha*a*psi)*(-2+(-1)*Size*alpha*psi)+EXP(alpha*b*psi)*(-2+Size*alpha*psi)))/((alpha^3)*(psi^3))</f>
        <v>275322.772122895</v>
      </c>
      <c r="Q4" s="5" t="n">
        <f aca="false">Tau*Beta</f>
        <v>32.2813059488464</v>
      </c>
      <c r="R4" s="5" t="n">
        <f aca="false">Tau*Beta</f>
        <v>32.2813059488464</v>
      </c>
      <c r="S4" s="6" t="n">
        <f aca="false">Tau</f>
        <v>0.179340588604702</v>
      </c>
      <c r="T4" s="5" t="e">
        <f aca="false">Profit+Utility</f>
        <v>#NUM!</v>
      </c>
      <c r="U4" s="5" t="e">
        <f aca="false">(2*ij*BRIJ)+2*jj*BRJJ</f>
        <v>#NUM!</v>
      </c>
      <c r="V4" s="5" t="e">
        <f aca="false">2*(ij*BCCIJ)+(2*jj*BCCJJ)+BCS+jj*BCPTJJ+2*(ij*BCPTIJ)+BCPTII+BCk</f>
        <v>#NUM!</v>
      </c>
      <c r="W4" s="5" t="n">
        <f aca="false">ij*BUTIJ+BUTII</f>
        <v>2298328.33282611</v>
      </c>
      <c r="X4" s="5" t="e">
        <f aca="false">Revenue-Cost</f>
        <v>#NUM!</v>
      </c>
      <c r="Y4" s="5" t="n">
        <f aca="false">Size</f>
        <v>6554.6</v>
      </c>
      <c r="Z4" s="6" t="e">
        <f aca="false">Welfare/(Size)</f>
        <v>#NUM!</v>
      </c>
      <c r="AA4" s="6" t="e">
        <f aca="false">Profit/(Size)</f>
        <v>#NUM!</v>
      </c>
      <c r="AB4" s="6" t="n">
        <f aca="false">Utility/(Size)</f>
        <v>350.643568307159</v>
      </c>
      <c r="AD4" s="4" t="n">
        <f aca="false">(EXP(alpha*(zeta-2*a*psi))*((EXP(alpha*a*psi)-EXP(alpha*b*psi))^2))/((EXP(alpha*a*psi)-EXP(alpha*(b*psi)))*(alpha^2)*(psi^2))</f>
        <v>12.9907812302604</v>
      </c>
      <c r="AE4" s="4" t="e">
        <f aca="false">(EXP(alpha*(zeta+(2*b-a)*psi))*(-1+EXP(alpha*(-1)*Size*psi))*(EXP(alpha*(a*psi))-EXP(alpha*(b*psi))))/(((EXP(alpha*a*psi)-EXP(alpha*(b*psi)))^2)*(alpha^2)*(psi^2))</f>
        <v>#NUM!</v>
      </c>
      <c r="AF4" s="5" t="e">
        <f aca="false">BCS+Taxjj*BCPTJJ+2*(Taxij*BCPTIJ)+BCPTII</f>
        <v>#NUM!</v>
      </c>
      <c r="AG4" s="5" t="n">
        <f aca="false">Taxij*BUTIJ+BUTII</f>
        <v>2299033.11560035</v>
      </c>
      <c r="AH4" s="2" t="e">
        <f aca="false">TaxCost+TaxUtility</f>
        <v>#NUM!</v>
      </c>
      <c r="AI4" s="2" t="e">
        <f aca="false">TaxWelfare/Size</f>
        <v>#NUM!</v>
      </c>
    </row>
    <row r="5" customFormat="false" ht="13" hidden="false" customHeight="false" outlineLevel="0" collapsed="false">
      <c r="A5" s="4" t="n">
        <f aca="false">0.024+0.0176766*LN(Size)</f>
        <v>0.179340588604702</v>
      </c>
      <c r="B5" s="4" t="n">
        <f aca="false">Tau</f>
        <v>0.179340588604702</v>
      </c>
      <c r="C5" s="2" t="n">
        <v>6554.6</v>
      </c>
      <c r="D5" s="2" t="n">
        <v>0</v>
      </c>
      <c r="E5" s="2" t="n">
        <f aca="false">Size-a</f>
        <v>6554.6</v>
      </c>
      <c r="F5" s="4" t="n">
        <f aca="false">(EXP(alpha*(Tau+OldTau+zeta-2*a*psi))*((EXP(alpha*a*psi)-EXP(alpha*b*psi))^2))/((EXP(alpha*a*psi)-EXP(alpha*(2*OldTau+b*psi)))*(alpha^2)*(psi^2))</f>
        <v>9.07532137332413</v>
      </c>
      <c r="G5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5" s="5" t="n">
        <f aca="false">-Beta/alpha</f>
        <v>180</v>
      </c>
      <c r="I5" s="5" t="n">
        <f aca="false">(-EXP(alpha*zeta)*Beta*(-1+EXP(alpha*Size*psi)-Size*alpha*psi))/((alpha^3)*(psi^2))</f>
        <v>2296694.77497891</v>
      </c>
      <c r="J5" s="5" t="n">
        <f aca="false">Beta*Theta*2</f>
        <v>28.8</v>
      </c>
      <c r="K5" s="5" t="n">
        <f aca="false">Beta*Theta*2</f>
        <v>28.8</v>
      </c>
      <c r="L5" s="5" t="n">
        <v>60</v>
      </c>
      <c r="M5" s="5" t="n">
        <f aca="false">Gamma*Size</f>
        <v>0</v>
      </c>
      <c r="N5" s="5" t="n">
        <f aca="false">Size*Beta*Phi</f>
        <v>21236.904</v>
      </c>
      <c r="O5" s="5" t="n">
        <f aca="false">-(EXP(alpha*a*psi)+EXP(alpha*b*psi)*(-1+Size*psi*alpha))*(Beta*Phi)/((alpha*psi)*(EXP(alpha*a*psi)-EXP(alpha*b*psi)))</f>
        <v>21.6</v>
      </c>
      <c r="P5" s="5" t="n">
        <f aca="false">(EXP(alpha*(zeta-a*psi))*Beta*Phi*(-EXP(alpha*a*psi)*(-2+(-1)*Size*alpha*psi)+EXP(alpha*b*psi)*(-2+Size*alpha*psi)))/((alpha^3)*(psi^3))</f>
        <v>275322.772122895</v>
      </c>
      <c r="Q5" s="5" t="n">
        <f aca="false">Tau*Beta</f>
        <v>32.2813059488464</v>
      </c>
      <c r="R5" s="5" t="n">
        <f aca="false">Tau*Beta</f>
        <v>32.2813059488464</v>
      </c>
      <c r="S5" s="6" t="n">
        <f aca="false">Tau</f>
        <v>0.179340588604702</v>
      </c>
      <c r="T5" s="5" t="e">
        <f aca="false">Profit+Utility</f>
        <v>#NUM!</v>
      </c>
      <c r="U5" s="5" t="e">
        <f aca="false">(2*ij*BRIJ)+2*jj*BRJJ</f>
        <v>#NUM!</v>
      </c>
      <c r="V5" s="5" t="e">
        <f aca="false">2*(ij*BCCIJ)+(2*jj*BCCJJ)+BCS+jj*BCPTJJ+2*(ij*BCPTIJ)+BCPTII+BCk</f>
        <v>#NUM!</v>
      </c>
      <c r="W5" s="5" t="n">
        <f aca="false">ij*BUTIJ+BUTII</f>
        <v>2298328.33282611</v>
      </c>
      <c r="X5" s="5" t="e">
        <f aca="false">Revenue-Cost</f>
        <v>#NUM!</v>
      </c>
      <c r="Y5" s="5" t="n">
        <f aca="false">Size</f>
        <v>6554.6</v>
      </c>
      <c r="Z5" s="6" t="e">
        <f aca="false">Welfare/(Size)</f>
        <v>#NUM!</v>
      </c>
      <c r="AA5" s="6" t="e">
        <f aca="false">Profit/(Size)</f>
        <v>#NUM!</v>
      </c>
      <c r="AB5" s="6" t="n">
        <f aca="false">Utility/(Size)</f>
        <v>350.643568307159</v>
      </c>
      <c r="AD5" s="4" t="n">
        <f aca="false">(EXP(alpha*(zeta-2*a*psi))*((EXP(alpha*a*psi)-EXP(alpha*b*psi))^2))/((EXP(alpha*a*psi)-EXP(alpha*(b*psi)))*(alpha^2)*(psi^2))</f>
        <v>12.9907812302604</v>
      </c>
      <c r="AE5" s="4" t="e">
        <f aca="false">(EXP(alpha*(zeta+(2*b-a)*psi))*(-1+EXP(alpha*(-1)*Size*psi))*(EXP(alpha*(a*psi))-EXP(alpha*(b*psi))))/(((EXP(alpha*a*psi)-EXP(alpha*(b*psi)))^2)*(alpha^2)*(psi^2))</f>
        <v>#NUM!</v>
      </c>
      <c r="AF5" s="5" t="e">
        <f aca="false">BCS+Taxjj*BCPTJJ+2*(Taxij*BCPTIJ)+BCPTII</f>
        <v>#NUM!</v>
      </c>
      <c r="AG5" s="5" t="n">
        <f aca="false">Taxij*BUTIJ+BUTII</f>
        <v>2299033.11560035</v>
      </c>
      <c r="AH5" s="2" t="e">
        <f aca="false">TaxCost+TaxUtility</f>
        <v>#NUM!</v>
      </c>
      <c r="AI5" s="2" t="e">
        <f aca="false">TaxWelfare/Size</f>
        <v>#NUM!</v>
      </c>
    </row>
    <row r="6" customFormat="false" ht="13" hidden="false" customHeight="false" outlineLevel="0" collapsed="false">
      <c r="A6" s="4" t="n">
        <f aca="false">0.024+0.0176766*LN(Size)</f>
        <v>0.179340588604702</v>
      </c>
      <c r="B6" s="4" t="n">
        <f aca="false">Tau</f>
        <v>0.179340588604702</v>
      </c>
      <c r="C6" s="2" t="n">
        <v>6554.6</v>
      </c>
      <c r="D6" s="2" t="n">
        <v>0</v>
      </c>
      <c r="E6" s="2" t="n">
        <f aca="false">Size-a</f>
        <v>6554.6</v>
      </c>
      <c r="F6" s="4" t="n">
        <f aca="false">(EXP(alpha*(Tau+OldTau+zeta-2*a*psi))*((EXP(alpha*a*psi)-EXP(alpha*b*psi))^2))/((EXP(alpha*a*psi)-EXP(alpha*(2*OldTau+b*psi)))*(alpha^2)*(psi^2))</f>
        <v>9.07532137332413</v>
      </c>
      <c r="G6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6" s="5" t="n">
        <f aca="false">-Beta/alpha</f>
        <v>180</v>
      </c>
      <c r="I6" s="5" t="n">
        <f aca="false">(-EXP(alpha*zeta)*Beta*(-1+EXP(alpha*Size*psi)-Size*alpha*psi))/((alpha^3)*(psi^2))</f>
        <v>2296694.77497891</v>
      </c>
      <c r="J6" s="5" t="n">
        <f aca="false">Beta*Theta*2</f>
        <v>28.8</v>
      </c>
      <c r="K6" s="5" t="n">
        <f aca="false">Beta*Theta*2</f>
        <v>28.8</v>
      </c>
      <c r="L6" s="5" t="n">
        <v>45</v>
      </c>
      <c r="M6" s="5" t="n">
        <f aca="false">Gamma*Size</f>
        <v>0</v>
      </c>
      <c r="N6" s="5" t="n">
        <f aca="false">Size*Beta*Phi</f>
        <v>21236.904</v>
      </c>
      <c r="O6" s="5" t="n">
        <f aca="false">-(EXP(alpha*a*psi)+EXP(alpha*b*psi)*(-1+Size*psi*alpha))*(Beta*Phi)/((alpha*psi)*(EXP(alpha*a*psi)-EXP(alpha*b*psi)))</f>
        <v>21.6</v>
      </c>
      <c r="P6" s="5" t="n">
        <f aca="false">(EXP(alpha*(zeta-a*psi))*Beta*Phi*(-EXP(alpha*a*psi)*(-2+(-1)*Size*alpha*psi)+EXP(alpha*b*psi)*(-2+Size*alpha*psi)))/((alpha^3)*(psi^3))</f>
        <v>275322.772122895</v>
      </c>
      <c r="Q6" s="5" t="n">
        <f aca="false">Tau*Beta</f>
        <v>32.2813059488464</v>
      </c>
      <c r="R6" s="5" t="n">
        <f aca="false">Tau*Beta</f>
        <v>32.2813059488464</v>
      </c>
      <c r="S6" s="6" t="n">
        <f aca="false">Tau</f>
        <v>0.179340588604702</v>
      </c>
      <c r="T6" s="5" t="e">
        <f aca="false">Profit+Utility</f>
        <v>#NUM!</v>
      </c>
      <c r="U6" s="5" t="e">
        <f aca="false">(2*ij*BRIJ)+2*jj*BRJJ</f>
        <v>#NUM!</v>
      </c>
      <c r="V6" s="5" t="e">
        <f aca="false">2*(ij*BCCIJ)+(2*jj*BCCJJ)+BCS+jj*BCPTJJ+2*(ij*BCPTIJ)+BCPTII+BCk</f>
        <v>#NUM!</v>
      </c>
      <c r="W6" s="5" t="n">
        <f aca="false">ij*BUTIJ+BUTII</f>
        <v>2298328.33282611</v>
      </c>
      <c r="X6" s="5" t="e">
        <f aca="false">Revenue-Cost</f>
        <v>#NUM!</v>
      </c>
      <c r="Y6" s="5" t="n">
        <f aca="false">Size</f>
        <v>6554.6</v>
      </c>
      <c r="Z6" s="6" t="e">
        <f aca="false">Welfare/(Size)</f>
        <v>#NUM!</v>
      </c>
      <c r="AA6" s="6" t="e">
        <f aca="false">Profit/(Size)</f>
        <v>#NUM!</v>
      </c>
      <c r="AB6" s="6" t="n">
        <f aca="false">Utility/(Size)</f>
        <v>350.643568307159</v>
      </c>
      <c r="AD6" s="4" t="n">
        <f aca="false">(EXP(alpha*(zeta-2*a*psi))*((EXP(alpha*a*psi)-EXP(alpha*b*psi))^2))/((EXP(alpha*a*psi)-EXP(alpha*(b*psi)))*(alpha^2)*(psi^2))</f>
        <v>12.9907812302604</v>
      </c>
      <c r="AE6" s="4" t="e">
        <f aca="false">(EXP(alpha*(zeta+(2*b-a)*psi))*(-1+EXP(alpha*(-1)*Size*psi))*(EXP(alpha*(a*psi))-EXP(alpha*(b*psi))))/(((EXP(alpha*a*psi)-EXP(alpha*(b*psi)))^2)*(alpha^2)*(psi^2))</f>
        <v>#NUM!</v>
      </c>
      <c r="AF6" s="5" t="e">
        <f aca="false">BCS+Taxjj*BCPTJJ+2*(Taxij*BCPTIJ)+BCPTII</f>
        <v>#NUM!</v>
      </c>
      <c r="AG6" s="5" t="n">
        <f aca="false">Taxij*BUTIJ+BUTII</f>
        <v>2299033.11560035</v>
      </c>
      <c r="AH6" s="2" t="e">
        <f aca="false">TaxCost+TaxUtility</f>
        <v>#NUM!</v>
      </c>
      <c r="AI6" s="2" t="e">
        <f aca="false">TaxWelfare/Size</f>
        <v>#NUM!</v>
      </c>
    </row>
    <row r="7" customFormat="false" ht="13" hidden="false" customHeight="false" outlineLevel="0" collapsed="false">
      <c r="A7" s="4" t="n">
        <f aca="false">0.024+0.0176766*LN(Size)</f>
        <v>0.179340588604702</v>
      </c>
      <c r="B7" s="4" t="n">
        <f aca="false">Tau</f>
        <v>0.179340588604702</v>
      </c>
      <c r="C7" s="2" t="n">
        <v>6554.6</v>
      </c>
      <c r="D7" s="2" t="n">
        <v>0</v>
      </c>
      <c r="E7" s="2" t="n">
        <f aca="false">Size-a</f>
        <v>6554.6</v>
      </c>
      <c r="F7" s="4" t="n">
        <f aca="false">(EXP(alpha*(Tau+OldTau+zeta-2*a*psi))*((EXP(alpha*a*psi)-EXP(alpha*b*psi))^2))/((EXP(alpha*a*psi)-EXP(alpha*(2*OldTau+b*psi)))*(alpha^2)*(psi^2))</f>
        <v>9.07532137332413</v>
      </c>
      <c r="G7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7" s="5" t="n">
        <f aca="false">-Beta/alpha</f>
        <v>180</v>
      </c>
      <c r="I7" s="5" t="n">
        <f aca="false">(-EXP(alpha*zeta)*Beta*(-1+EXP(alpha*Size*psi)-Size*alpha*psi))/((alpha^3)*(psi^2))</f>
        <v>2296694.77497891</v>
      </c>
      <c r="J7" s="5" t="n">
        <f aca="false">Beta*Theta*2</f>
        <v>28.8</v>
      </c>
      <c r="K7" s="5" t="n">
        <f aca="false">Beta*Theta*2</f>
        <v>28.8</v>
      </c>
      <c r="L7" s="5" t="n">
        <v>15</v>
      </c>
      <c r="M7" s="5" t="n">
        <f aca="false">Gamma*Size</f>
        <v>0</v>
      </c>
      <c r="N7" s="5" t="n">
        <f aca="false">Size*Beta*Phi</f>
        <v>21236.904</v>
      </c>
      <c r="O7" s="5" t="n">
        <f aca="false">-(EXP(alpha*a*psi)+EXP(alpha*b*psi)*(-1+Size*psi*alpha))*(Beta*Phi)/((alpha*psi)*(EXP(alpha*a*psi)-EXP(alpha*b*psi)))</f>
        <v>21.6</v>
      </c>
      <c r="P7" s="5" t="n">
        <f aca="false">(EXP(alpha*(zeta-a*psi))*Beta*Phi*(-EXP(alpha*a*psi)*(-2+(-1)*Size*alpha*psi)+EXP(alpha*b*psi)*(-2+Size*alpha*psi)))/((alpha^3)*(psi^3))</f>
        <v>275322.772122895</v>
      </c>
      <c r="Q7" s="5" t="n">
        <f aca="false">Tau*Beta</f>
        <v>32.2813059488464</v>
      </c>
      <c r="R7" s="5" t="n">
        <f aca="false">Tau*Beta</f>
        <v>32.2813059488464</v>
      </c>
      <c r="S7" s="6" t="n">
        <f aca="false">Tau</f>
        <v>0.179340588604702</v>
      </c>
      <c r="T7" s="5" t="e">
        <f aca="false">Profit+Utility</f>
        <v>#NUM!</v>
      </c>
      <c r="U7" s="5" t="e">
        <f aca="false">(2*ij*BRIJ)+2*jj*BRJJ</f>
        <v>#NUM!</v>
      </c>
      <c r="V7" s="5" t="e">
        <f aca="false">2*(ij*BCCIJ)+(2*jj*BCCJJ)+BCS+jj*BCPTJJ+2*(ij*BCPTIJ)+BCPTII+BCk</f>
        <v>#NUM!</v>
      </c>
      <c r="W7" s="5" t="n">
        <f aca="false">ij*BUTIJ+BUTII</f>
        <v>2298328.33282611</v>
      </c>
      <c r="X7" s="5" t="e">
        <f aca="false">Revenue-Cost</f>
        <v>#NUM!</v>
      </c>
      <c r="Y7" s="5" t="n">
        <f aca="false">Size</f>
        <v>6554.6</v>
      </c>
      <c r="Z7" s="6" t="e">
        <f aca="false">Welfare/(Size)</f>
        <v>#NUM!</v>
      </c>
      <c r="AA7" s="6" t="e">
        <f aca="false">Profit/(Size)</f>
        <v>#NUM!</v>
      </c>
      <c r="AB7" s="6" t="n">
        <f aca="false">Utility/(Size)</f>
        <v>350.643568307159</v>
      </c>
      <c r="AD7" s="4" t="n">
        <f aca="false">(EXP(alpha*(zeta-2*a*psi))*((EXP(alpha*a*psi)-EXP(alpha*b*psi))^2))/((EXP(alpha*a*psi)-EXP(alpha*(b*psi)))*(alpha^2)*(psi^2))</f>
        <v>12.9907812302604</v>
      </c>
      <c r="AE7" s="4" t="e">
        <f aca="false">(EXP(alpha*(zeta+(2*b-a)*psi))*(-1+EXP(alpha*(-1)*Size*psi))*(EXP(alpha*(a*psi))-EXP(alpha*(b*psi))))/(((EXP(alpha*a*psi)-EXP(alpha*(b*psi)))^2)*(alpha^2)*(psi^2))</f>
        <v>#NUM!</v>
      </c>
      <c r="AF7" s="5" t="e">
        <f aca="false">BCS+Taxjj*BCPTJJ+2*(Taxij*BCPTIJ)+BCPTII</f>
        <v>#NUM!</v>
      </c>
      <c r="AG7" s="5" t="n">
        <f aca="false">Taxij*BUTIJ+BUTII</f>
        <v>2299033.11560035</v>
      </c>
      <c r="AH7" s="2" t="e">
        <f aca="false">TaxCost+TaxUtility</f>
        <v>#NUM!</v>
      </c>
      <c r="AI7" s="2" t="e">
        <f aca="false">TaxWelfare/Size</f>
        <v>#NUM!</v>
      </c>
    </row>
    <row r="8" customFormat="false" ht="13" hidden="false" customHeight="false" outlineLevel="0" collapsed="false">
      <c r="A8" s="4" t="n">
        <f aca="false">0.024+0.0176766*LN(Size)</f>
        <v>0.179340588604702</v>
      </c>
      <c r="B8" s="4" t="n">
        <f aca="false">Tau</f>
        <v>0.179340588604702</v>
      </c>
      <c r="C8" s="2" t="n">
        <v>6554.6</v>
      </c>
      <c r="D8" s="2" t="n">
        <v>0</v>
      </c>
      <c r="E8" s="2" t="n">
        <f aca="false">Size-a</f>
        <v>6554.6</v>
      </c>
      <c r="F8" s="4" t="n">
        <f aca="false">(EXP(alpha*(Tau+OldTau+zeta-2*a*psi))*((EXP(alpha*a*psi)-EXP(alpha*b*psi))^2))/((EXP(alpha*a*psi)-EXP(alpha*(2*OldTau+b*psi)))*(alpha^2)*(psi^2))</f>
        <v>9.07532137332413</v>
      </c>
      <c r="G8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8" s="5" t="n">
        <f aca="false">-Beta/alpha</f>
        <v>180</v>
      </c>
      <c r="I8" s="5" t="n">
        <f aca="false">(-EXP(alpha*zeta)*Beta*(-1+EXP(alpha*Size*psi)-Size*alpha*psi))/((alpha^3)*(psi^2))</f>
        <v>2296694.77497891</v>
      </c>
      <c r="J8" s="5" t="n">
        <f aca="false">Beta*Theta*2</f>
        <v>28.8</v>
      </c>
      <c r="K8" s="5" t="n">
        <f aca="false">Beta*Theta*2</f>
        <v>28.8</v>
      </c>
      <c r="L8" s="5" t="n">
        <v>0</v>
      </c>
      <c r="M8" s="5" t="n">
        <f aca="false">Gamma*Size</f>
        <v>0</v>
      </c>
      <c r="N8" s="5" t="n">
        <f aca="false">Size*Beta*Phi</f>
        <v>21236.904</v>
      </c>
      <c r="O8" s="5" t="n">
        <f aca="false">-(EXP(alpha*a*psi)+EXP(alpha*b*psi)*(-1+Size*psi*alpha))*(Beta*Phi)/((alpha*psi)*(EXP(alpha*a*psi)-EXP(alpha*b*psi)))</f>
        <v>21.6</v>
      </c>
      <c r="P8" s="5" t="n">
        <f aca="false">(EXP(alpha*(zeta-a*psi))*Beta*Phi*(-EXP(alpha*a*psi)*(-2+(-1)*Size*alpha*psi)+EXP(alpha*b*psi)*(-2+Size*alpha*psi)))/((alpha^3)*(psi^3))</f>
        <v>275322.772122895</v>
      </c>
      <c r="Q8" s="5" t="n">
        <f aca="false">Tau*Beta</f>
        <v>32.2813059488464</v>
      </c>
      <c r="R8" s="5" t="n">
        <f aca="false">Tau*Beta</f>
        <v>32.2813059488464</v>
      </c>
      <c r="S8" s="6" t="n">
        <f aca="false">Tau</f>
        <v>0.179340588604702</v>
      </c>
      <c r="T8" s="5" t="e">
        <f aca="false">Profit+Utility</f>
        <v>#NUM!</v>
      </c>
      <c r="U8" s="5" t="e">
        <f aca="false">(2*ij*BRIJ)+2*jj*BRJJ</f>
        <v>#NUM!</v>
      </c>
      <c r="V8" s="5" t="e">
        <f aca="false">2*(ij*BCCIJ)+(2*jj*BCCJJ)+BCS+jj*BCPTJJ+2*(ij*BCPTIJ)+BCPTII+BCk</f>
        <v>#NUM!</v>
      </c>
      <c r="W8" s="5" t="n">
        <f aca="false">ij*BUTIJ+BUTII</f>
        <v>2298328.33282611</v>
      </c>
      <c r="X8" s="5" t="e">
        <f aca="false">Revenue-Cost</f>
        <v>#NUM!</v>
      </c>
      <c r="Y8" s="5" t="n">
        <f aca="false">Size</f>
        <v>6554.6</v>
      </c>
      <c r="Z8" s="6" t="e">
        <f aca="false">Welfare/(Size)</f>
        <v>#NUM!</v>
      </c>
      <c r="AA8" s="6" t="e">
        <f aca="false">Profit/(Size)</f>
        <v>#NUM!</v>
      </c>
      <c r="AB8" s="6" t="n">
        <f aca="false">Utility/(Size)</f>
        <v>350.643568307159</v>
      </c>
      <c r="AD8" s="4" t="n">
        <f aca="false">(EXP(alpha*(zeta-2*a*psi))*((EXP(alpha*a*psi)-EXP(alpha*b*psi))^2))/((EXP(alpha*a*psi)-EXP(alpha*(b*psi)))*(alpha^2)*(psi^2))</f>
        <v>12.9907812302604</v>
      </c>
      <c r="AE8" s="4" t="e">
        <f aca="false">(EXP(alpha*(zeta+(2*b-a)*psi))*(-1+EXP(alpha*(-1)*Size*psi))*(EXP(alpha*(a*psi))-EXP(alpha*(b*psi))))/(((EXP(alpha*a*psi)-EXP(alpha*(b*psi)))^2)*(alpha^2)*(psi^2))</f>
        <v>#NUM!</v>
      </c>
      <c r="AF8" s="5" t="e">
        <f aca="false">BCS+Taxjj*BCPTJJ+2*(Taxij*BCPTIJ)+BCPTII</f>
        <v>#NUM!</v>
      </c>
      <c r="AG8" s="5" t="n">
        <f aca="false">Taxij*BUTIJ+BUTII</f>
        <v>2299033.11560035</v>
      </c>
      <c r="AH8" s="2" t="e">
        <f aca="false">TaxCost+TaxUtility</f>
        <v>#NUM!</v>
      </c>
      <c r="AI8" s="2" t="e">
        <f aca="false">TaxWelfare/Size</f>
        <v>#NUM!</v>
      </c>
    </row>
    <row r="9" customFormat="false" ht="13" hidden="false" customHeight="false" outlineLevel="0" collapsed="false">
      <c r="A9" s="4"/>
      <c r="B9" s="4"/>
      <c r="F9" s="4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5"/>
      <c r="U9" s="5"/>
      <c r="V9" s="5"/>
      <c r="W9" s="5"/>
      <c r="X9" s="5"/>
      <c r="Y9" s="5"/>
      <c r="Z9" s="6"/>
      <c r="AA9" s="6"/>
      <c r="AB9" s="6"/>
      <c r="AD9" s="4"/>
      <c r="AE9" s="4"/>
      <c r="AF9" s="5"/>
      <c r="AG9" s="5"/>
    </row>
    <row r="10" customFormat="false" ht="13" hidden="false" customHeight="false" outlineLevel="0" collapsed="false">
      <c r="A10" s="4" t="n">
        <f aca="false">0.024+0.0176766*LN(Size)</f>
        <v>0.179340588604702</v>
      </c>
      <c r="B10" s="4" t="n">
        <f aca="false">Tau</f>
        <v>0.179340588604702</v>
      </c>
      <c r="C10" s="2" t="n">
        <v>6554.6</v>
      </c>
      <c r="D10" s="2" t="n">
        <v>0</v>
      </c>
      <c r="E10" s="2" t="n">
        <f aca="false">Size-a</f>
        <v>6554.6</v>
      </c>
      <c r="F10" s="4" t="n">
        <f aca="false">(EXP(alpha*(Tau+OldTau+zeta-2*a*psi))*((EXP(alpha*a*psi)-EXP(alpha*b*psi))^2))/((EXP(alpha*a*psi)-EXP(alpha*(2*OldTau+b*psi)))*(alpha^2)*(psi^2))</f>
        <v>9.07532137332413</v>
      </c>
      <c r="G10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10" s="5" t="n">
        <f aca="false">-Beta/alpha</f>
        <v>180</v>
      </c>
      <c r="I10" s="5" t="n">
        <f aca="false">(-EXP(alpha*zeta)*Beta*(-1+EXP(alpha*Size*psi)-Size*alpha*psi))/((alpha^3)*(psi^2))</f>
        <v>2296694.77497891</v>
      </c>
      <c r="J10" s="5" t="n">
        <f aca="false">Beta*Theta*0.5</f>
        <v>7.2</v>
      </c>
      <c r="K10" s="5" t="n">
        <f aca="false">Beta*Theta*0.5</f>
        <v>7.2</v>
      </c>
      <c r="L10" s="5" t="n">
        <v>90</v>
      </c>
      <c r="M10" s="5" t="n">
        <f aca="false">Gamma*Size</f>
        <v>0</v>
      </c>
      <c r="N10" s="5" t="n">
        <f aca="false">Size*Beta*Phi</f>
        <v>21236.904</v>
      </c>
      <c r="O10" s="5" t="n">
        <f aca="false">-(EXP(alpha*a*psi)+EXP(alpha*b*psi)*(-1+Size*psi*alpha))*(Beta*Phi)/((alpha*psi)*(EXP(alpha*a*psi)-EXP(alpha*b*psi)))</f>
        <v>21.6</v>
      </c>
      <c r="P10" s="5" t="n">
        <f aca="false">(EXP(alpha*(zeta-a*psi))*Beta*Phi*(-EXP(alpha*a*psi)*(-2+(-1)*Size*alpha*psi)+EXP(alpha*b*psi)*(-2+Size*alpha*psi)))/((alpha^3)*(psi^3))</f>
        <v>275322.772122895</v>
      </c>
      <c r="Q10" s="5" t="n">
        <f aca="false">Tau*Beta</f>
        <v>32.2813059488464</v>
      </c>
      <c r="R10" s="5" t="n">
        <f aca="false">Tau*Beta</f>
        <v>32.2813059488464</v>
      </c>
      <c r="S10" s="6" t="n">
        <f aca="false">Tau</f>
        <v>0.179340588604702</v>
      </c>
      <c r="T10" s="5" t="e">
        <f aca="false">Profit+Utility</f>
        <v>#NUM!</v>
      </c>
      <c r="U10" s="5" t="e">
        <f aca="false">(2*ij*BRIJ)+2*jj*BRJJ</f>
        <v>#NUM!</v>
      </c>
      <c r="V10" s="5" t="e">
        <f aca="false">2*(ij*BCCIJ)+(2*jj*BCCJJ)+BCS+jj*BCPTJJ+2*(ij*BCPTIJ)+BCPTII+BCk</f>
        <v>#NUM!</v>
      </c>
      <c r="W10" s="5" t="n">
        <f aca="false">ij*BUTIJ+BUTII</f>
        <v>2298328.33282611</v>
      </c>
      <c r="X10" s="5" t="e">
        <f aca="false">Revenue-Cost</f>
        <v>#NUM!</v>
      </c>
      <c r="Y10" s="5" t="n">
        <f aca="false">Size</f>
        <v>6554.6</v>
      </c>
      <c r="Z10" s="6" t="e">
        <f aca="false">Welfare/(Size)</f>
        <v>#NUM!</v>
      </c>
      <c r="AA10" s="6" t="e">
        <f aca="false">Profit/(Size)</f>
        <v>#NUM!</v>
      </c>
      <c r="AB10" s="6" t="n">
        <f aca="false">Utility/(Size)</f>
        <v>350.643568307159</v>
      </c>
      <c r="AD10" s="4" t="n">
        <f aca="false">(EXP(alpha*(zeta-2*a*psi))*((EXP(alpha*a*psi)-EXP(alpha*b*psi))^2))/((EXP(alpha*a*psi)-EXP(alpha*(b*psi)))*(alpha^2)*(psi^2))</f>
        <v>12.9907812302604</v>
      </c>
      <c r="AE10" s="4" t="e">
        <f aca="false">(EXP(alpha*(zeta+(2*b-a)*psi))*(-1+EXP(alpha*(-1)*Size*psi))*(EXP(alpha*(a*psi))-EXP(alpha*(b*psi))))/(((EXP(alpha*a*psi)-EXP(alpha*(b*psi)))^2)*(alpha^2)*(psi^2))</f>
        <v>#NUM!</v>
      </c>
      <c r="AF10" s="5" t="e">
        <f aca="false">BCS+Taxjj*BCPTJJ+2*(Taxij*BCPTIJ)+BCPTII</f>
        <v>#NUM!</v>
      </c>
      <c r="AG10" s="5" t="n">
        <f aca="false">Taxij*BUTIJ+BUTII</f>
        <v>2299033.11560035</v>
      </c>
      <c r="AH10" s="2" t="e">
        <f aca="false">TaxCost+TaxUtility</f>
        <v>#NUM!</v>
      </c>
      <c r="AI10" s="2" t="e">
        <f aca="false">TaxWelfare/Size</f>
        <v>#NUM!</v>
      </c>
    </row>
    <row r="11" customFormat="false" ht="13" hidden="false" customHeight="false" outlineLevel="0" collapsed="false">
      <c r="A11" s="4" t="n">
        <f aca="false">0.024+0.0176766*LN(Size)</f>
        <v>0.179340588604702</v>
      </c>
      <c r="B11" s="4" t="n">
        <f aca="false">Tau</f>
        <v>0.179340588604702</v>
      </c>
      <c r="C11" s="2" t="n">
        <v>6554.6</v>
      </c>
      <c r="D11" s="2" t="n">
        <v>0</v>
      </c>
      <c r="E11" s="2" t="n">
        <f aca="false">Size-a</f>
        <v>6554.6</v>
      </c>
      <c r="F11" s="4" t="n">
        <f aca="false">(EXP(alpha*(Tau+OldTau+zeta-2*a*psi))*((EXP(alpha*a*psi)-EXP(alpha*b*psi))^2))/((EXP(alpha*a*psi)-EXP(alpha*(2*OldTau+b*psi)))*(alpha^2)*(psi^2))</f>
        <v>9.07532137332413</v>
      </c>
      <c r="G11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11" s="5" t="n">
        <f aca="false">-Beta/alpha</f>
        <v>180</v>
      </c>
      <c r="I11" s="5" t="n">
        <f aca="false">(-EXP(alpha*zeta)*Beta*(-1+EXP(alpha*Size*psi)-Size*alpha*psi))/((alpha^3)*(psi^2))</f>
        <v>2296694.77497891</v>
      </c>
      <c r="J11" s="5" t="n">
        <f aca="false">Beta*Theta*0.5</f>
        <v>7.2</v>
      </c>
      <c r="K11" s="5" t="n">
        <f aca="false">Beta*Theta*0.5</f>
        <v>7.2</v>
      </c>
      <c r="L11" s="5" t="n">
        <v>75</v>
      </c>
      <c r="M11" s="5" t="n">
        <f aca="false">Gamma*Size</f>
        <v>0</v>
      </c>
      <c r="N11" s="5" t="n">
        <f aca="false">Size*Beta*Phi</f>
        <v>21236.904</v>
      </c>
      <c r="O11" s="5" t="n">
        <f aca="false">-(EXP(alpha*a*psi)+EXP(alpha*b*psi)*(-1+Size*psi*alpha))*(Beta*Phi)/((alpha*psi)*(EXP(alpha*a*psi)-EXP(alpha*b*psi)))</f>
        <v>21.6</v>
      </c>
      <c r="P11" s="5" t="n">
        <f aca="false">(EXP(alpha*(zeta-a*psi))*Beta*Phi*(-EXP(alpha*a*psi)*(-2+(-1)*Size*alpha*psi)+EXP(alpha*b*psi)*(-2+Size*alpha*psi)))/((alpha^3)*(psi^3))</f>
        <v>275322.772122895</v>
      </c>
      <c r="Q11" s="5" t="n">
        <f aca="false">Tau*Beta</f>
        <v>32.2813059488464</v>
      </c>
      <c r="R11" s="5" t="n">
        <f aca="false">Tau*Beta</f>
        <v>32.2813059488464</v>
      </c>
      <c r="S11" s="6" t="n">
        <f aca="false">Tau</f>
        <v>0.179340588604702</v>
      </c>
      <c r="T11" s="5" t="e">
        <f aca="false">Profit+Utility</f>
        <v>#NUM!</v>
      </c>
      <c r="U11" s="5" t="e">
        <f aca="false">(2*ij*BRIJ)+2*jj*BRJJ</f>
        <v>#NUM!</v>
      </c>
      <c r="V11" s="5" t="e">
        <f aca="false">2*(ij*BCCIJ)+(2*jj*BCCJJ)+BCS+jj*BCPTJJ+2*(ij*BCPTIJ)+BCPTII+BCk</f>
        <v>#NUM!</v>
      </c>
      <c r="W11" s="5" t="n">
        <f aca="false">ij*BUTIJ+BUTII</f>
        <v>2298328.33282611</v>
      </c>
      <c r="X11" s="5" t="e">
        <f aca="false">Revenue-Cost</f>
        <v>#NUM!</v>
      </c>
      <c r="Y11" s="5" t="n">
        <f aca="false">Size</f>
        <v>6554.6</v>
      </c>
      <c r="Z11" s="6" t="e">
        <f aca="false">Welfare/(Size)</f>
        <v>#NUM!</v>
      </c>
      <c r="AA11" s="6" t="e">
        <f aca="false">Profit/(Size)</f>
        <v>#NUM!</v>
      </c>
      <c r="AB11" s="6" t="n">
        <f aca="false">Utility/(Size)</f>
        <v>350.643568307159</v>
      </c>
      <c r="AD11" s="4" t="n">
        <f aca="false">(EXP(alpha*(zeta-2*a*psi))*((EXP(alpha*a*psi)-EXP(alpha*b*psi))^2))/((EXP(alpha*a*psi)-EXP(alpha*(b*psi)))*(alpha^2)*(psi^2))</f>
        <v>12.9907812302604</v>
      </c>
      <c r="AE11" s="4" t="e">
        <f aca="false">(EXP(alpha*(zeta+(2*b-a)*psi))*(-1+EXP(alpha*(-1)*Size*psi))*(EXP(alpha*(a*psi))-EXP(alpha*(b*psi))))/(((EXP(alpha*a*psi)-EXP(alpha*(b*psi)))^2)*(alpha^2)*(psi^2))</f>
        <v>#NUM!</v>
      </c>
      <c r="AF11" s="5" t="e">
        <f aca="false">BCS+Taxjj*BCPTJJ+2*(Taxij*BCPTIJ)+BCPTII</f>
        <v>#NUM!</v>
      </c>
      <c r="AG11" s="5" t="n">
        <f aca="false">Taxij*BUTIJ+BUTII</f>
        <v>2299033.11560035</v>
      </c>
      <c r="AH11" s="2" t="e">
        <f aca="false">TaxCost+TaxUtility</f>
        <v>#NUM!</v>
      </c>
      <c r="AI11" s="2" t="e">
        <f aca="false">TaxWelfare/Size</f>
        <v>#NUM!</v>
      </c>
    </row>
    <row r="12" customFormat="false" ht="13" hidden="false" customHeight="false" outlineLevel="0" collapsed="false">
      <c r="A12" s="4" t="n">
        <f aca="false">0.024+0.0176766*LN(Size)</f>
        <v>0.179340588604702</v>
      </c>
      <c r="B12" s="4" t="n">
        <f aca="false">Tau</f>
        <v>0.179340588604702</v>
      </c>
      <c r="C12" s="2" t="n">
        <v>6554.6</v>
      </c>
      <c r="D12" s="2" t="n">
        <v>0</v>
      </c>
      <c r="E12" s="2" t="n">
        <f aca="false">Size-a</f>
        <v>6554.6</v>
      </c>
      <c r="F12" s="4" t="n">
        <f aca="false">(EXP(alpha*(Tau+OldTau+zeta-2*a*psi))*((EXP(alpha*a*psi)-EXP(alpha*b*psi))^2))/((EXP(alpha*a*psi)-EXP(alpha*(2*OldTau+b*psi)))*(alpha^2)*(psi^2))</f>
        <v>9.07532137332413</v>
      </c>
      <c r="G12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12" s="5" t="n">
        <f aca="false">-Beta/alpha</f>
        <v>180</v>
      </c>
      <c r="I12" s="5" t="n">
        <f aca="false">(-EXP(alpha*zeta)*Beta*(-1+EXP(alpha*Size*psi)-Size*alpha*psi))/((alpha^3)*(psi^2))</f>
        <v>2296694.77497891</v>
      </c>
      <c r="J12" s="5" t="n">
        <f aca="false">Beta*Theta*0.5</f>
        <v>7.2</v>
      </c>
      <c r="K12" s="5" t="n">
        <f aca="false">Beta*Theta*0.5</f>
        <v>7.2</v>
      </c>
      <c r="L12" s="5" t="n">
        <v>60</v>
      </c>
      <c r="M12" s="5" t="n">
        <f aca="false">Gamma*Size</f>
        <v>0</v>
      </c>
      <c r="N12" s="5" t="n">
        <f aca="false">Size*Beta*Phi</f>
        <v>21236.904</v>
      </c>
      <c r="O12" s="5" t="n">
        <f aca="false">-(EXP(alpha*a*psi)+EXP(alpha*b*psi)*(-1+Size*psi*alpha))*(Beta*Phi)/((alpha*psi)*(EXP(alpha*a*psi)-EXP(alpha*b*psi)))</f>
        <v>21.6</v>
      </c>
      <c r="P12" s="5" t="n">
        <f aca="false">(EXP(alpha*(zeta-a*psi))*Beta*Phi*(-EXP(alpha*a*psi)*(-2+(-1)*Size*alpha*psi)+EXP(alpha*b*psi)*(-2+Size*alpha*psi)))/((alpha^3)*(psi^3))</f>
        <v>275322.772122895</v>
      </c>
      <c r="Q12" s="5" t="n">
        <f aca="false">Tau*Beta</f>
        <v>32.2813059488464</v>
      </c>
      <c r="R12" s="5" t="n">
        <f aca="false">Tau*Beta</f>
        <v>32.2813059488464</v>
      </c>
      <c r="S12" s="6" t="n">
        <f aca="false">Tau</f>
        <v>0.179340588604702</v>
      </c>
      <c r="T12" s="5" t="e">
        <f aca="false">Profit+Utility</f>
        <v>#NUM!</v>
      </c>
      <c r="U12" s="5" t="e">
        <f aca="false">(2*ij*BRIJ)+2*jj*BRJJ</f>
        <v>#NUM!</v>
      </c>
      <c r="V12" s="5" t="e">
        <f aca="false">2*(ij*BCCIJ)+(2*jj*BCCJJ)+BCS+jj*BCPTJJ+2*(ij*BCPTIJ)+BCPTII+BCk</f>
        <v>#NUM!</v>
      </c>
      <c r="W12" s="5" t="n">
        <f aca="false">ij*BUTIJ+BUTII</f>
        <v>2298328.33282611</v>
      </c>
      <c r="X12" s="5" t="e">
        <f aca="false">Revenue-Cost</f>
        <v>#NUM!</v>
      </c>
      <c r="Y12" s="5" t="n">
        <f aca="false">Size</f>
        <v>6554.6</v>
      </c>
      <c r="Z12" s="6" t="e">
        <f aca="false">Welfare/(Size)</f>
        <v>#NUM!</v>
      </c>
      <c r="AA12" s="6" t="e">
        <f aca="false">Profit/(Size)</f>
        <v>#NUM!</v>
      </c>
      <c r="AB12" s="6" t="n">
        <f aca="false">Utility/(Size)</f>
        <v>350.643568307159</v>
      </c>
      <c r="AD12" s="4" t="n">
        <f aca="false">(EXP(alpha*(zeta-2*a*psi))*((EXP(alpha*a*psi)-EXP(alpha*b*psi))^2))/((EXP(alpha*a*psi)-EXP(alpha*(b*psi)))*(alpha^2)*(psi^2))</f>
        <v>12.9907812302604</v>
      </c>
      <c r="AE12" s="4" t="e">
        <f aca="false">(EXP(alpha*(zeta+(2*b-a)*psi))*(-1+EXP(alpha*(-1)*Size*psi))*(EXP(alpha*(a*psi))-EXP(alpha*(b*psi))))/(((EXP(alpha*a*psi)-EXP(alpha*(b*psi)))^2)*(alpha^2)*(psi^2))</f>
        <v>#NUM!</v>
      </c>
      <c r="AF12" s="5" t="e">
        <f aca="false">BCS+Taxjj*BCPTJJ+2*(Taxij*BCPTIJ)+BCPTII</f>
        <v>#NUM!</v>
      </c>
      <c r="AG12" s="5" t="n">
        <f aca="false">Taxij*BUTIJ+BUTII</f>
        <v>2299033.11560035</v>
      </c>
      <c r="AH12" s="2" t="e">
        <f aca="false">TaxCost+TaxUtility</f>
        <v>#NUM!</v>
      </c>
      <c r="AI12" s="2" t="e">
        <f aca="false">TaxWelfare/Size</f>
        <v>#NUM!</v>
      </c>
    </row>
    <row r="13" customFormat="false" ht="13" hidden="false" customHeight="false" outlineLevel="0" collapsed="false">
      <c r="A13" s="4" t="n">
        <f aca="false">0.024+0.0176766*LN(Size)</f>
        <v>0.179340588604702</v>
      </c>
      <c r="B13" s="4" t="n">
        <f aca="false">Tau</f>
        <v>0.179340588604702</v>
      </c>
      <c r="C13" s="2" t="n">
        <v>6554.6</v>
      </c>
      <c r="D13" s="2" t="n">
        <v>0</v>
      </c>
      <c r="E13" s="2" t="n">
        <f aca="false">Size-a</f>
        <v>6554.6</v>
      </c>
      <c r="F13" s="4" t="n">
        <f aca="false">(EXP(alpha*(Tau+OldTau+zeta-2*a*psi))*((EXP(alpha*a*psi)-EXP(alpha*b*psi))^2))/((EXP(alpha*a*psi)-EXP(alpha*(2*OldTau+b*psi)))*(alpha^2)*(psi^2))</f>
        <v>9.07532137332413</v>
      </c>
      <c r="G13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13" s="5" t="n">
        <f aca="false">-Beta/alpha</f>
        <v>180</v>
      </c>
      <c r="I13" s="5" t="n">
        <f aca="false">(-EXP(alpha*zeta)*Beta*(-1+EXP(alpha*Size*psi)-Size*alpha*psi))/((alpha^3)*(psi^2))</f>
        <v>2296694.77497891</v>
      </c>
      <c r="J13" s="5" t="n">
        <f aca="false">Beta*Theta*0.5</f>
        <v>7.2</v>
      </c>
      <c r="K13" s="5" t="n">
        <f aca="false">Beta*Theta*0.5</f>
        <v>7.2</v>
      </c>
      <c r="L13" s="5" t="n">
        <v>45</v>
      </c>
      <c r="M13" s="5" t="n">
        <f aca="false">Gamma*Size</f>
        <v>0</v>
      </c>
      <c r="N13" s="5" t="n">
        <f aca="false">Size*Beta*Phi</f>
        <v>21236.904</v>
      </c>
      <c r="O13" s="5" t="n">
        <f aca="false">-(EXP(alpha*a*psi)+EXP(alpha*b*psi)*(-1+Size*psi*alpha))*(Beta*Phi)/((alpha*psi)*(EXP(alpha*a*psi)-EXP(alpha*b*psi)))</f>
        <v>21.6</v>
      </c>
      <c r="P13" s="5" t="n">
        <f aca="false">(EXP(alpha*(zeta-a*psi))*Beta*Phi*(-EXP(alpha*a*psi)*(-2+(-1)*Size*alpha*psi)+EXP(alpha*b*psi)*(-2+Size*alpha*psi)))/((alpha^3)*(psi^3))</f>
        <v>275322.772122895</v>
      </c>
      <c r="Q13" s="5" t="n">
        <f aca="false">Tau*Beta</f>
        <v>32.2813059488464</v>
      </c>
      <c r="R13" s="5" t="n">
        <f aca="false">Tau*Beta</f>
        <v>32.2813059488464</v>
      </c>
      <c r="S13" s="6" t="n">
        <f aca="false">Tau</f>
        <v>0.179340588604702</v>
      </c>
      <c r="T13" s="5" t="e">
        <f aca="false">Profit+Utility</f>
        <v>#NUM!</v>
      </c>
      <c r="U13" s="5" t="e">
        <f aca="false">(2*ij*BRIJ)+2*jj*BRJJ</f>
        <v>#NUM!</v>
      </c>
      <c r="V13" s="5" t="e">
        <f aca="false">2*(ij*BCCIJ)+(2*jj*BCCJJ)+BCS+jj*BCPTJJ+2*(ij*BCPTIJ)+BCPTII+BCk</f>
        <v>#NUM!</v>
      </c>
      <c r="W13" s="5" t="n">
        <f aca="false">ij*BUTIJ+BUTII</f>
        <v>2298328.33282611</v>
      </c>
      <c r="X13" s="5" t="e">
        <f aca="false">Revenue-Cost</f>
        <v>#NUM!</v>
      </c>
      <c r="Y13" s="5" t="n">
        <f aca="false">Size</f>
        <v>6554.6</v>
      </c>
      <c r="Z13" s="6" t="e">
        <f aca="false">Welfare/(Size)</f>
        <v>#NUM!</v>
      </c>
      <c r="AA13" s="6" t="e">
        <f aca="false">Profit/(Size)</f>
        <v>#NUM!</v>
      </c>
      <c r="AB13" s="6" t="n">
        <f aca="false">Utility/(Size)</f>
        <v>350.643568307159</v>
      </c>
      <c r="AD13" s="4" t="n">
        <f aca="false">(EXP(alpha*(zeta-2*a*psi))*((EXP(alpha*a*psi)-EXP(alpha*b*psi))^2))/((EXP(alpha*a*psi)-EXP(alpha*(b*psi)))*(alpha^2)*(psi^2))</f>
        <v>12.9907812302604</v>
      </c>
      <c r="AE13" s="4" t="e">
        <f aca="false">(EXP(alpha*(zeta+(2*b-a)*psi))*(-1+EXP(alpha*(-1)*Size*psi))*(EXP(alpha*(a*psi))-EXP(alpha*(b*psi))))/(((EXP(alpha*a*psi)-EXP(alpha*(b*psi)))^2)*(alpha^2)*(psi^2))</f>
        <v>#NUM!</v>
      </c>
      <c r="AF13" s="5" t="e">
        <f aca="false">BCS+Taxjj*BCPTJJ+2*(Taxij*BCPTIJ)+BCPTII</f>
        <v>#NUM!</v>
      </c>
      <c r="AG13" s="5" t="n">
        <f aca="false">Taxij*BUTIJ+BUTII</f>
        <v>2299033.11560035</v>
      </c>
      <c r="AH13" s="2" t="e">
        <f aca="false">TaxCost+TaxUtility</f>
        <v>#NUM!</v>
      </c>
      <c r="AI13" s="2" t="e">
        <f aca="false">TaxWelfare/Size</f>
        <v>#NUM!</v>
      </c>
    </row>
    <row r="14" customFormat="false" ht="13" hidden="false" customHeight="false" outlineLevel="0" collapsed="false">
      <c r="A14" s="4" t="n">
        <f aca="false">0.024+0.0176766*LN(Size)</f>
        <v>0.179340588604702</v>
      </c>
      <c r="B14" s="4" t="n">
        <f aca="false">Tau</f>
        <v>0.179340588604702</v>
      </c>
      <c r="C14" s="2" t="n">
        <v>6554.6</v>
      </c>
      <c r="D14" s="2" t="n">
        <v>0</v>
      </c>
      <c r="E14" s="2" t="n">
        <f aca="false">Size-a</f>
        <v>6554.6</v>
      </c>
      <c r="F14" s="4" t="n">
        <f aca="false">(EXP(alpha*(Tau+OldTau+zeta-2*a*psi))*((EXP(alpha*a*psi)-EXP(alpha*b*psi))^2))/((EXP(alpha*a*psi)-EXP(alpha*(2*OldTau+b*psi)))*(alpha^2)*(psi^2))</f>
        <v>9.07532137332413</v>
      </c>
      <c r="G14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14" s="5" t="n">
        <f aca="false">-Beta/alpha</f>
        <v>180</v>
      </c>
      <c r="I14" s="5" t="n">
        <f aca="false">(-EXP(alpha*zeta)*Beta*(-1+EXP(alpha*Size*psi)-Size*alpha*psi))/((alpha^3)*(psi^2))</f>
        <v>2296694.77497891</v>
      </c>
      <c r="J14" s="5" t="n">
        <f aca="false">Beta*Theta*0.5</f>
        <v>7.2</v>
      </c>
      <c r="K14" s="5" t="n">
        <f aca="false">Beta*Theta*0.5</f>
        <v>7.2</v>
      </c>
      <c r="L14" s="5" t="n">
        <v>15</v>
      </c>
      <c r="M14" s="5" t="n">
        <f aca="false">Gamma*Size</f>
        <v>0</v>
      </c>
      <c r="N14" s="5" t="n">
        <f aca="false">Size*Beta*Phi</f>
        <v>21236.904</v>
      </c>
      <c r="O14" s="5" t="n">
        <f aca="false">-(EXP(alpha*a*psi)+EXP(alpha*b*psi)*(-1+Size*psi*alpha))*(Beta*Phi)/((alpha*psi)*(EXP(alpha*a*psi)-EXP(alpha*b*psi)))</f>
        <v>21.6</v>
      </c>
      <c r="P14" s="5" t="n">
        <f aca="false">(EXP(alpha*(zeta-a*psi))*Beta*Phi*(-EXP(alpha*a*psi)*(-2+(-1)*Size*alpha*psi)+EXP(alpha*b*psi)*(-2+Size*alpha*psi)))/((alpha^3)*(psi^3))</f>
        <v>275322.772122895</v>
      </c>
      <c r="Q14" s="5" t="n">
        <f aca="false">Tau*Beta</f>
        <v>32.2813059488464</v>
      </c>
      <c r="R14" s="5" t="n">
        <f aca="false">Tau*Beta</f>
        <v>32.2813059488464</v>
      </c>
      <c r="S14" s="6" t="n">
        <f aca="false">Tau</f>
        <v>0.179340588604702</v>
      </c>
      <c r="T14" s="5" t="e">
        <f aca="false">Profit+Utility</f>
        <v>#NUM!</v>
      </c>
      <c r="U14" s="5" t="e">
        <f aca="false">(2*ij*BRIJ)+2*jj*BRJJ</f>
        <v>#NUM!</v>
      </c>
      <c r="V14" s="5" t="e">
        <f aca="false">2*(ij*BCCIJ)+(2*jj*BCCJJ)+BCS+jj*BCPTJJ+2*(ij*BCPTIJ)+BCPTII+BCk</f>
        <v>#NUM!</v>
      </c>
      <c r="W14" s="5" t="n">
        <f aca="false">ij*BUTIJ+BUTII</f>
        <v>2298328.33282611</v>
      </c>
      <c r="X14" s="5" t="e">
        <f aca="false">Revenue-Cost</f>
        <v>#NUM!</v>
      </c>
      <c r="Y14" s="5" t="n">
        <f aca="false">Size</f>
        <v>6554.6</v>
      </c>
      <c r="Z14" s="6" t="e">
        <f aca="false">Welfare/(Size)</f>
        <v>#NUM!</v>
      </c>
      <c r="AA14" s="6" t="e">
        <f aca="false">Profit/(Size)</f>
        <v>#NUM!</v>
      </c>
      <c r="AB14" s="6" t="n">
        <f aca="false">Utility/(Size)</f>
        <v>350.643568307159</v>
      </c>
      <c r="AD14" s="4" t="n">
        <f aca="false">(EXP(alpha*(zeta-2*a*psi))*((EXP(alpha*a*psi)-EXP(alpha*b*psi))^2))/((EXP(alpha*a*psi)-EXP(alpha*(b*psi)))*(alpha^2)*(psi^2))</f>
        <v>12.9907812302604</v>
      </c>
      <c r="AE14" s="4" t="e">
        <f aca="false">(EXP(alpha*(zeta+(2*b-a)*psi))*(-1+EXP(alpha*(-1)*Size*psi))*(EXP(alpha*(a*psi))-EXP(alpha*(b*psi))))/(((EXP(alpha*a*psi)-EXP(alpha*(b*psi)))^2)*(alpha^2)*(psi^2))</f>
        <v>#NUM!</v>
      </c>
      <c r="AF14" s="5" t="e">
        <f aca="false">BCS+Taxjj*BCPTJJ+2*(Taxij*BCPTIJ)+BCPTII</f>
        <v>#NUM!</v>
      </c>
      <c r="AG14" s="5" t="n">
        <f aca="false">Taxij*BUTIJ+BUTII</f>
        <v>2299033.11560035</v>
      </c>
      <c r="AH14" s="2" t="e">
        <f aca="false">TaxCost+TaxUtility</f>
        <v>#NUM!</v>
      </c>
      <c r="AI14" s="2" t="e">
        <f aca="false">TaxWelfare/Size</f>
        <v>#NUM!</v>
      </c>
    </row>
    <row r="15" customFormat="false" ht="13" hidden="false" customHeight="false" outlineLevel="0" collapsed="false">
      <c r="A15" s="4" t="e">
        <f aca="false">0.024+0.0176766*LN(Size)</f>
        <v>#VALUE!</v>
      </c>
      <c r="B15" s="4" t="e">
        <f aca="false">Tau</f>
        <v>#VALUE!</v>
      </c>
      <c r="C15" s="2" t="n">
        <v>-246.36</v>
      </c>
      <c r="D15" s="2" t="n">
        <v>0</v>
      </c>
      <c r="E15" s="2" t="n">
        <f aca="false">Size-a</f>
        <v>-246.36</v>
      </c>
      <c r="F15" s="4" t="e">
        <f aca="false">(EXP(alpha*(Tau+OldTau+zeta-2*a*psi))*((EXP(alpha*a*psi)-EXP(alpha*b*psi))^2))/((EXP(alpha*a*psi)-EXP(alpha*(2*OldTau+b*psi)))*(alpha^2)*(psi^2))</f>
        <v>#VALUE!</v>
      </c>
      <c r="G15" s="4" t="e">
        <f aca="false">(EXP(alpha*(zeta+(2*b-a)*psi))*(-1+EXP(alpha*(-1)*Size*psi))*(EXP(alpha*(2*(Tau+OldTau)+a*psi))-EXP(alpha*(2*(Tau+OldTau)+b*psi))))/(((EXP(alpha*a*psi)-EXP(alpha*(2*OldTau+b*psi)))^2)*(alpha^2)*(psi^2))</f>
        <v>#VALUE!</v>
      </c>
      <c r="H15" s="5" t="n">
        <f aca="false">-Beta/alpha</f>
        <v>180</v>
      </c>
      <c r="I15" s="5" t="n">
        <f aca="false">(-EXP(alpha*zeta)*Beta*(-1+EXP(alpha*Size*psi)-Size*alpha*psi))/((alpha^3)*(psi^2))</f>
        <v>2.61713459636544E+019</v>
      </c>
      <c r="J15" s="5" t="n">
        <f aca="false">Beta*Theta*0.5</f>
        <v>7.2</v>
      </c>
      <c r="K15" s="5" t="n">
        <f aca="false">Beta*Theta*0.5</f>
        <v>7.2</v>
      </c>
      <c r="L15" s="5" t="n">
        <v>0</v>
      </c>
      <c r="M15" s="5" t="n">
        <f aca="false">Gamma*Size</f>
        <v>-0</v>
      </c>
      <c r="N15" s="5" t="n">
        <f aca="false">Size*Beta*Phi</f>
        <v>-798.2064</v>
      </c>
      <c r="O15" s="5" t="n">
        <f aca="false">-(EXP(alpha*a*psi)+EXP(alpha*b*psi)*(-1+Size*psi*alpha))*(Beta*Phi)/((alpha*psi)*(EXP(alpha*a*psi)-EXP(alpha*b*psi)))</f>
        <v>-776.6064</v>
      </c>
      <c r="P15" s="5" t="n">
        <f aca="false">(EXP(alpha*(zeta-a*psi))*Beta*Phi*(-EXP(alpha*a*psi)*(-2+(-1)*Size*alpha*psi)+EXP(alpha*b*psi)*(-2+Size*alpha*psi)))/((alpha^3)*(psi^3))</f>
        <v>-1.09775187217629E+020</v>
      </c>
      <c r="Q15" s="5" t="e">
        <f aca="false">Tau*Beta</f>
        <v>#VALUE!</v>
      </c>
      <c r="R15" s="5" t="e">
        <f aca="false">Tau*Beta</f>
        <v>#VALUE!</v>
      </c>
      <c r="S15" s="6" t="e">
        <f aca="false">Tau</f>
        <v>#VALUE!</v>
      </c>
      <c r="T15" s="5" t="e">
        <f aca="false">Profit+Utility</f>
        <v>#VALUE!</v>
      </c>
      <c r="U15" s="5" t="e">
        <f aca="false">(2*ij*BRIJ)+2*jj*BRJJ</f>
        <v>#VALUE!</v>
      </c>
      <c r="V15" s="5" t="e">
        <f aca="false">2*(ij*BCCIJ)+(2*jj*BCCJJ)+BCS+jj*BCPTJJ+2*(ij*BCPTIJ)+BCPTII+BCk</f>
        <v>#VALUE!</v>
      </c>
      <c r="W15" s="5" t="e">
        <f aca="false">ij*BUTIJ+BUTII</f>
        <v>#VALUE!</v>
      </c>
      <c r="X15" s="5" t="e">
        <f aca="false">Revenue-Cost</f>
        <v>#VALUE!</v>
      </c>
      <c r="Y15" s="5" t="n">
        <f aca="false">Size</f>
        <v>-246.36</v>
      </c>
      <c r="Z15" s="6" t="e">
        <f aca="false">Welfare/(Size)</f>
        <v>#VALUE!</v>
      </c>
      <c r="AA15" s="6" t="e">
        <f aca="false">Profit/(Size)</f>
        <v>#VALUE!</v>
      </c>
      <c r="AB15" s="6" t="e">
        <f aca="false">Utility/(Size)</f>
        <v>#VALUE!</v>
      </c>
      <c r="AD15" s="4" t="n">
        <f aca="false">(EXP(alpha*(zeta-2*a*psi))*((EXP(alpha*a*psi)-EXP(alpha*b*psi))^2))/((EXP(alpha*a*psi)-EXP(alpha*(b*psi)))*(alpha^2)*(psi^2))</f>
        <v>-1.45396366464747E+017</v>
      </c>
      <c r="AE15" s="4" t="n">
        <f aca="false">(EXP(alpha*(zeta+(2*b-a)*psi))*(-1+EXP(alpha*(-1)*Size*psi))*(EXP(alpha*(a*psi))-EXP(alpha*(b*psi))))/(((EXP(alpha*a*psi)-EXP(alpha*(b*psi)))^2)*(alpha^2)*(psi^2))</f>
        <v>1.45396366464746E+017</v>
      </c>
      <c r="AF15" s="5" t="n">
        <f aca="false">BCS+Taxjj*BCPTJJ+2*(Taxij*BCPTIJ)+BCPTII</f>
        <v>0</v>
      </c>
      <c r="AG15" s="5" t="n">
        <f aca="false">Taxij*BUTIJ+BUTII</f>
        <v>0</v>
      </c>
      <c r="AH15" s="2" t="n">
        <f aca="false">TaxCost+TaxUtility</f>
        <v>0</v>
      </c>
      <c r="AI15" s="2" t="n">
        <f aca="false">TaxWelfare/Size</f>
        <v>-0</v>
      </c>
    </row>
    <row r="16" customFormat="false" ht="13" hidden="false" customHeight="false" outlineLevel="0" collapsed="false">
      <c r="A16" s="4"/>
      <c r="B16" s="4"/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  <c r="T16" s="5"/>
      <c r="U16" s="5"/>
      <c r="V16" s="5"/>
      <c r="W16" s="5"/>
      <c r="X16" s="5"/>
      <c r="Y16" s="5"/>
      <c r="Z16" s="6"/>
      <c r="AA16" s="6"/>
      <c r="AB16" s="6"/>
      <c r="AD16" s="4"/>
      <c r="AE16" s="4"/>
      <c r="AF16" s="5"/>
      <c r="AG16" s="5"/>
    </row>
    <row r="17" customFormat="false" ht="13" hidden="false" customHeight="false" outlineLevel="0" collapsed="false">
      <c r="A17" s="4" t="n">
        <f aca="false">0.024+0.0176766*LN(Size)</f>
        <v>0.179340588604702</v>
      </c>
      <c r="B17" s="4" t="n">
        <f aca="false">Tau</f>
        <v>0.179340588604702</v>
      </c>
      <c r="C17" s="2" t="n">
        <v>6554.6</v>
      </c>
      <c r="D17" s="2" t="n">
        <v>0</v>
      </c>
      <c r="E17" s="2" t="n">
        <f aca="false">Size-a</f>
        <v>6554.6</v>
      </c>
      <c r="F17" s="4" t="n">
        <f aca="false">(EXP(alpha*(Tau+OldTau+zeta-2*a*psi))*((EXP(alpha*a*psi)-EXP(alpha*b*psi))^2))/((EXP(alpha*a*psi)-EXP(alpha*(2*OldTau+b*psi)))*(alpha^2)*(psi^2))</f>
        <v>9.07532137332413</v>
      </c>
      <c r="G17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17" s="5" t="n">
        <f aca="false">-Beta/alpha</f>
        <v>180</v>
      </c>
      <c r="I17" s="5" t="n">
        <f aca="false">(-EXP(alpha*zeta)*Beta*(-1+EXP(alpha*Size*psi)-Size*alpha*psi))/((alpha^3)*(psi^2))</f>
        <v>2296694.77497891</v>
      </c>
      <c r="J17" s="5" t="n">
        <v>0</v>
      </c>
      <c r="K17" s="5" t="n">
        <v>0</v>
      </c>
      <c r="L17" s="5" t="n">
        <v>90</v>
      </c>
      <c r="M17" s="5" t="n">
        <f aca="false">Gamma*Size</f>
        <v>0</v>
      </c>
      <c r="N17" s="5" t="n">
        <f aca="false">Size*Beta*Phi</f>
        <v>21236.904</v>
      </c>
      <c r="O17" s="5" t="n">
        <f aca="false">-(EXP(alpha*a*psi)+EXP(alpha*b*psi)*(-1+Size*psi*alpha))*(Beta*Phi)/((alpha*psi)*(EXP(alpha*a*psi)-EXP(alpha*b*psi)))</f>
        <v>21.6</v>
      </c>
      <c r="P17" s="5" t="n">
        <f aca="false">(EXP(alpha*(zeta-a*psi))*Beta*Phi*(-EXP(alpha*a*psi)*(-2+(-1)*Size*alpha*psi)+EXP(alpha*b*psi)*(-2+Size*alpha*psi)))/((alpha^3)*(psi^3))</f>
        <v>275322.772122895</v>
      </c>
      <c r="Q17" s="5" t="n">
        <f aca="false">Tau*Beta</f>
        <v>32.2813059488464</v>
      </c>
      <c r="R17" s="5" t="n">
        <f aca="false">Tau*Beta</f>
        <v>32.2813059488464</v>
      </c>
      <c r="S17" s="6" t="n">
        <f aca="false">Tau</f>
        <v>0.179340588604702</v>
      </c>
      <c r="T17" s="5" t="e">
        <f aca="false">Profit+Utility</f>
        <v>#NUM!</v>
      </c>
      <c r="U17" s="5" t="e">
        <f aca="false">(2*ij*BRIJ)+2*jj*BRJJ</f>
        <v>#NUM!</v>
      </c>
      <c r="V17" s="5" t="e">
        <f aca="false">2*(ij*BCCIJ)+(2*jj*BCCJJ)+BCS+jj*BCPTJJ+2*(ij*BCPTIJ)+BCPTII+BCk</f>
        <v>#NUM!</v>
      </c>
      <c r="W17" s="5" t="n">
        <f aca="false">ij*BUTIJ+BUTII</f>
        <v>2298328.33282611</v>
      </c>
      <c r="X17" s="5" t="e">
        <f aca="false">Revenue-Cost</f>
        <v>#NUM!</v>
      </c>
      <c r="Y17" s="5" t="n">
        <f aca="false">Size</f>
        <v>6554.6</v>
      </c>
      <c r="Z17" s="6" t="e">
        <f aca="false">Welfare/(Size)</f>
        <v>#NUM!</v>
      </c>
      <c r="AA17" s="6" t="e">
        <f aca="false">Profit/(Size)</f>
        <v>#NUM!</v>
      </c>
      <c r="AB17" s="6" t="n">
        <f aca="false">Utility/(Size)</f>
        <v>350.643568307159</v>
      </c>
      <c r="AD17" s="4" t="n">
        <f aca="false">(EXP(alpha*(zeta-2*a*psi))*((EXP(alpha*a*psi)-EXP(alpha*b*psi))^2))/((EXP(alpha*a*psi)-EXP(alpha*(b*psi)))*(alpha^2)*(psi^2))</f>
        <v>12.9907812302604</v>
      </c>
      <c r="AE17" s="4" t="e">
        <f aca="false">(EXP(alpha*(zeta+(2*b-a)*psi))*(-1+EXP(alpha*(-1)*Size*psi))*(EXP(alpha*(a*psi))-EXP(alpha*(b*psi))))/(((EXP(alpha*a*psi)-EXP(alpha*(b*psi)))^2)*(alpha^2)*(psi^2))</f>
        <v>#NUM!</v>
      </c>
      <c r="AF17" s="5" t="e">
        <f aca="false">BCS+Taxjj*BCPTJJ+2*(Taxij*BCPTIJ)+BCPTII</f>
        <v>#NUM!</v>
      </c>
      <c r="AG17" s="5" t="n">
        <f aca="false">Taxij*BUTIJ+BUTII</f>
        <v>2299033.11560035</v>
      </c>
      <c r="AH17" s="2" t="e">
        <f aca="false">TaxCost+TaxUtility</f>
        <v>#NUM!</v>
      </c>
      <c r="AI17" s="2" t="e">
        <f aca="false">TaxWelfare/Size</f>
        <v>#NUM!</v>
      </c>
    </row>
    <row r="18" customFormat="false" ht="13" hidden="false" customHeight="false" outlineLevel="0" collapsed="false">
      <c r="A18" s="4" t="n">
        <f aca="false">0.024+0.0176766*LN(Size)</f>
        <v>0.179340588604702</v>
      </c>
      <c r="B18" s="4" t="n">
        <f aca="false">Tau</f>
        <v>0.179340588604702</v>
      </c>
      <c r="C18" s="2" t="n">
        <v>6554.6</v>
      </c>
      <c r="D18" s="2" t="n">
        <v>0</v>
      </c>
      <c r="E18" s="2" t="n">
        <f aca="false">Size-a</f>
        <v>6554.6</v>
      </c>
      <c r="F18" s="4" t="n">
        <f aca="false">(EXP(alpha*(Tau+OldTau+zeta-2*a*psi))*((EXP(alpha*a*psi)-EXP(alpha*b*psi))^2))/((EXP(alpha*a*psi)-EXP(alpha*(2*OldTau+b*psi)))*(alpha^2)*(psi^2))</f>
        <v>9.07532137332413</v>
      </c>
      <c r="G18" s="4" t="e">
        <f aca="false">(EXP(alpha*(zeta+(2*b-a)*psi))*(-1+EXP(alpha*(-1)*Size*psi))*(EXP(alpha*(2*(Tau+OldTau)+a*psi))-EXP(alpha*(2*(Tau+OldTau)+b*psi))))/(((EXP(alpha*a*psi)-EXP(alpha*(2*OldTau+b*psi)))^2)*(alpha^2)*(psi^2))</f>
        <v>#NUM!</v>
      </c>
      <c r="H18" s="5" t="n">
        <f aca="false">-Beta/alpha</f>
        <v>180</v>
      </c>
      <c r="I18" s="5" t="n">
        <f aca="false">(-EXP(alpha*zeta)*Beta*(-1+EXP(alpha*Size*psi)-Size*alpha*psi))/((alpha^3)*(psi^2))</f>
        <v>2296694.77497891</v>
      </c>
      <c r="J18" s="5" t="n">
        <v>0</v>
      </c>
      <c r="K18" s="5" t="n">
        <v>0</v>
      </c>
      <c r="L18" s="5" t="n">
        <v>75</v>
      </c>
      <c r="M18" s="5" t="n">
        <f aca="false">Gamma*Size</f>
        <v>0</v>
      </c>
      <c r="N18" s="5" t="n">
        <f aca="false">Size*Beta*Phi</f>
        <v>21236.904</v>
      </c>
      <c r="O18" s="5" t="n">
        <f aca="false">-(EXP(alpha*a*psi)+EXP(alpha*b*psi)*(-1+Size*psi*alpha))*(Beta*Phi)/((alpha*psi)*(EXP(alpha*a*psi)-EXP(alpha*b*psi)))</f>
        <v>21.6</v>
      </c>
      <c r="P18" s="5" t="n">
        <f aca="false">(EXP(alpha*(zeta-a*psi))*Beta*Phi*(-EXP(alpha*a*psi)*(-2+(-1)*Size*alpha*psi)+EXP(alpha*b*psi)*(-2+Size*alpha*psi)))/((alpha^3)*(psi^3))</f>
        <v>275322.772122895</v>
      </c>
      <c r="Q18" s="5" t="n">
        <f aca="false">Tau*Beta</f>
        <v>32.2813059488464</v>
      </c>
      <c r="R18" s="5" t="n">
        <f aca="false">Tau*Beta</f>
        <v>32.2813059488464</v>
      </c>
      <c r="S18" s="6" t="n">
        <f aca="false">Tau</f>
        <v>0.179340588604702</v>
      </c>
      <c r="T18" s="5" t="e">
        <f aca="false">Profit+Utility</f>
        <v>#NUM!</v>
      </c>
      <c r="U18" s="5" t="e">
        <f aca="false">(2*ij*BRIJ)+2*jj*BRJJ</f>
        <v>#NUM!</v>
      </c>
      <c r="V18" s="5" t="e">
        <f aca="false">2*(ij*BCCIJ)+(2*jj*BCCJJ)+BCS+jj*BCPTJJ+2*(ij*BCPTIJ)+BCPTII+BCk</f>
        <v>#NUM!</v>
      </c>
      <c r="W18" s="5" t="n">
        <f aca="false">ij*BUTIJ+BUTII</f>
        <v>2298328.33282611</v>
      </c>
      <c r="X18" s="5" t="e">
        <f aca="false">Revenue-Cost</f>
        <v>#NUM!</v>
      </c>
      <c r="Y18" s="5" t="n">
        <f aca="false">Size</f>
        <v>6554.6</v>
      </c>
      <c r="Z18" s="6" t="e">
        <f aca="false">Welfare/(Size)</f>
        <v>#NUM!</v>
      </c>
      <c r="AA18" s="6" t="e">
        <f aca="false">Profit/(Size)</f>
        <v>#NUM!</v>
      </c>
      <c r="AB18" s="6" t="n">
        <f aca="false">Utility/(Size)</f>
        <v>350.643568307159</v>
      </c>
      <c r="AD18" s="4" t="n">
        <f aca="false">(EXP(alpha*(zeta-2*a*psi))*((EXP(alpha*a*psi)-EXP(alpha*b*psi))^2))/((EXP(alpha*a*psi)-EXP(alpha*(b*psi)))*(alpha^2)*(psi^2))</f>
        <v>12.9907812302604</v>
      </c>
      <c r="AE18" s="4" t="e">
        <f aca="false">(EXP(alpha*(zeta+(2*b-a)*psi))*(-1+EXP(alpha*(-1)*Size*psi))*(EXP(alpha*(a*psi))-EXP(alpha*(b*psi))))/(((EXP(alpha*a*psi)-EXP(alpha*(b*psi)))^2)*(alpha^2)*(psi^2))</f>
        <v>#NUM!</v>
      </c>
      <c r="AF18" s="5" t="e">
        <f aca="false">BCS+Taxjj*BCPTJJ+2*(Taxij*BCPTIJ)+BCPTII</f>
        <v>#NUM!</v>
      </c>
      <c r="AG18" s="5" t="n">
        <f aca="false">Taxij*BUTIJ+BUTII</f>
        <v>2299033.11560035</v>
      </c>
      <c r="AH18" s="2" t="e">
        <f aca="false">TaxCost+TaxUtility</f>
        <v>#NUM!</v>
      </c>
      <c r="AI18" s="2" t="e">
        <f aca="false">TaxWelfare/Size</f>
        <v>#NUM!</v>
      </c>
    </row>
    <row r="19" customFormat="false" ht="13" hidden="false" customHeight="false" outlineLevel="0" collapsed="false">
      <c r="A19" s="4" t="n">
        <f aca="false">0.024+0.0176766*LN(Size)</f>
        <v>0.105994764472603</v>
      </c>
      <c r="B19" s="4" t="n">
        <f aca="false">Tau</f>
        <v>0.105994764472603</v>
      </c>
      <c r="C19" s="2" t="n">
        <v>103.4</v>
      </c>
      <c r="D19" s="2" t="n">
        <v>0</v>
      </c>
      <c r="E19" s="2" t="n">
        <f aca="false">Size-a</f>
        <v>103.4</v>
      </c>
      <c r="F19" s="4" t="n">
        <f aca="false">(EXP(alpha*(Tau+OldTau+zeta-2*a*psi))*((EXP(alpha*a*psi)-EXP(alpha*b*psi))^2))/((EXP(alpha*a*psi)-EXP(alpha*(2*OldTau+b*psi)))*(alpha^2)*(psi^2))</f>
        <v>10.5091911516187</v>
      </c>
      <c r="G19" s="4" t="n">
        <f aca="false">(EXP(alpha*(zeta+(2*b-a)*psi))*(-1+EXP(alpha*(-1)*Size*psi))*(EXP(alpha*(2*(Tau+OldTau)+a*psi))-EXP(alpha*(2*(Tau+OldTau)+b*psi))))/(((EXP(alpha*a*psi)-EXP(alpha*(2*OldTau+b*psi)))^2)*(alpha^2)*(psi^2))</f>
        <v>1.56169442185708E-006</v>
      </c>
      <c r="H19" s="5" t="n">
        <f aca="false">-Beta/alpha</f>
        <v>180</v>
      </c>
      <c r="I19" s="5" t="n">
        <f aca="false">(-EXP(alpha*zeta)*Beta*(-1+EXP(alpha*Size*psi)-Size*alpha*psi))/((alpha^3)*(psi^2))</f>
        <v>33929.3228467309</v>
      </c>
      <c r="J19" s="5" t="n">
        <v>0</v>
      </c>
      <c r="K19" s="5" t="n">
        <v>0</v>
      </c>
      <c r="L19" s="5" t="n">
        <v>60</v>
      </c>
      <c r="M19" s="5" t="n">
        <f aca="false">Gamma*Size</f>
        <v>0</v>
      </c>
      <c r="N19" s="5" t="n">
        <f aca="false">Size*Beta*Phi</f>
        <v>335.016</v>
      </c>
      <c r="O19" s="5" t="n">
        <f aca="false">-(EXP(alpha*a*psi)+EXP(alpha*b*psi)*(-1+Size*psi*alpha))*(Beta*Phi)/((alpha*psi)*(EXP(alpha*a*psi)-EXP(alpha*b*psi)))</f>
        <v>21.5999384598976</v>
      </c>
      <c r="P19" s="5" t="n">
        <f aca="false">(EXP(alpha*(zeta-a*psi))*Beta*Phi*(-EXP(alpha*a*psi)*(-2+(-1)*Size*alpha*psi)+EXP(alpha*b*psi)*(-2+Size*alpha*psi)))/((alpha^3)*(psi^3))</f>
        <v>3790.91871803236</v>
      </c>
      <c r="Q19" s="5" t="n">
        <f aca="false">Tau*Beta</f>
        <v>19.0790576050686</v>
      </c>
      <c r="R19" s="5" t="n">
        <f aca="false">Tau*Beta</f>
        <v>19.0790576050686</v>
      </c>
      <c r="S19" s="6" t="n">
        <f aca="false">Tau</f>
        <v>0.105994764472603</v>
      </c>
      <c r="T19" s="5" t="n">
        <f aca="false">Profit+Utility</f>
        <v>31917.0732348409</v>
      </c>
      <c r="U19" s="5" t="n">
        <f aca="false">(2*ij*BRIJ)+2*jj*BRJJ</f>
        <v>401.010986320136</v>
      </c>
      <c r="V19" s="5" t="n">
        <f aca="false">2*(ij*BCCIJ)+(2*jj*BCCJJ)+BCS+jj*BCPTJJ+2*(ij*BCPTIJ)+BCPTII+BCk</f>
        <v>4304.91500550151</v>
      </c>
      <c r="W19" s="5" t="n">
        <f aca="false">ij*BUTIJ+BUTII</f>
        <v>35820.9772540223</v>
      </c>
      <c r="X19" s="5" t="n">
        <f aca="false">Revenue-Cost</f>
        <v>-3903.90401918137</v>
      </c>
      <c r="Y19" s="5" t="n">
        <f aca="false">Size</f>
        <v>103.4</v>
      </c>
      <c r="Z19" s="6" t="n">
        <f aca="false">Welfare/(Size)</f>
        <v>308.67575662322</v>
      </c>
      <c r="AA19" s="6" t="n">
        <f aca="false">Profit/(Size)</f>
        <v>-37.7553580191622</v>
      </c>
      <c r="AB19" s="6" t="n">
        <f aca="false">Utility/(Size)</f>
        <v>346.431114642382</v>
      </c>
      <c r="AD19" s="4" t="n">
        <f aca="false">(EXP(alpha*(zeta-2*a*psi))*((EXP(alpha*a*psi)-EXP(alpha*b*psi))^2))/((EXP(alpha*a*psi)-EXP(alpha*(b*psi)))*(alpha^2)*(psi^2))</f>
        <v>12.990778843945</v>
      </c>
      <c r="AE19" s="4" t="n">
        <f aca="false">(EXP(alpha*(zeta+(2*b-a)*psi))*(-1+EXP(alpha*(-1)*Size*psi))*(EXP(alpha*(a*psi))-EXP(alpha*(b*psi))))/(((EXP(alpha*a*psi)-EXP(alpha*(b*psi)))^2)*(alpha^2)*(psi^2))</f>
        <v>2.38631545973998E-006</v>
      </c>
      <c r="AF19" s="5" t="n">
        <f aca="false">BCS+Taxjj*BCPTJJ+2*(Taxij*BCPTIJ)+BCPTII</f>
        <v>4352.11956463692</v>
      </c>
      <c r="AG19" s="5" t="n">
        <f aca="false">Taxij*BUTIJ+BUTII</f>
        <v>36267.663038641</v>
      </c>
      <c r="AH19" s="2" t="n">
        <f aca="false">TaxCost+TaxUtility</f>
        <v>40619.782603278</v>
      </c>
      <c r="AI19" s="2" t="n">
        <f aca="false">TaxWelfare/Size</f>
        <v>392.841224403075</v>
      </c>
    </row>
    <row r="20" customFormat="false" ht="13" hidden="false" customHeight="false" outlineLevel="0" collapsed="false">
      <c r="A20" s="4" t="n">
        <f aca="false">0.024+0.0176766*LN(Size)</f>
        <v>0.081995355196992</v>
      </c>
      <c r="B20" s="4" t="n">
        <f aca="false">Tau</f>
        <v>0.081995355196992</v>
      </c>
      <c r="C20" s="2" t="n">
        <v>26.6</v>
      </c>
      <c r="D20" s="2" t="n">
        <v>0</v>
      </c>
      <c r="E20" s="2" t="n">
        <f aca="false">Size-a</f>
        <v>26.6</v>
      </c>
      <c r="F20" s="4" t="n">
        <f aca="false">(EXP(alpha*(Tau+OldTau+zeta-2*a*psi))*((EXP(alpha*a*psi)-EXP(alpha*b*psi))^2))/((EXP(alpha*a*psi)-EXP(alpha*(2*OldTau+b*psi)))*(alpha^2)*(psi^2))</f>
        <v>10.7911841498486</v>
      </c>
      <c r="G20" s="4" t="n">
        <f aca="false">(EXP(alpha*(zeta+(2*b-a)*psi))*(-1+EXP(alpha*(-1)*Size*psi))*(EXP(alpha*(2*(Tau+OldTau)+a*psi))-EXP(alpha*(2*(Tau+OldTau)+b*psi))))/(((EXP(alpha*a*psi)-EXP(alpha*(2*OldTau+b*psi)))^2)*(alpha^2)*(psi^2))</f>
        <v>0.172142099212029</v>
      </c>
      <c r="H20" s="5" t="n">
        <f aca="false">-Beta/alpha</f>
        <v>180</v>
      </c>
      <c r="I20" s="5" t="n">
        <f aca="false">(-EXP(alpha*zeta)*Beta*(-1+EXP(alpha*Size*psi)-Size*alpha*psi))/((alpha^3)*(psi^2))</f>
        <v>7034.89709113769</v>
      </c>
      <c r="J20" s="5" t="n">
        <v>0</v>
      </c>
      <c r="K20" s="5" t="n">
        <v>0</v>
      </c>
      <c r="L20" s="5" t="n">
        <v>45</v>
      </c>
      <c r="M20" s="5" t="n">
        <f aca="false">Gamma*Size</f>
        <v>0</v>
      </c>
      <c r="N20" s="5" t="n">
        <f aca="false">Size*Beta*Phi</f>
        <v>86.184</v>
      </c>
      <c r="O20" s="5" t="n">
        <f aca="false">-(EXP(alpha*a*psi)+EXP(alpha*b*psi)*(-1+Size*psi*alpha))*(Beta*Phi)/((alpha*psi)*(EXP(alpha*a*psi)-EXP(alpha*b*psi)))</f>
        <v>19.9755691316252</v>
      </c>
      <c r="P20" s="5" t="n">
        <f aca="false">(EXP(alpha*(zeta-a*psi))*Beta*Phi*(-EXP(alpha*a*psi)*(-2+(-1)*Size*alpha*psi)+EXP(alpha*b*psi)*(-2+Size*alpha*psi)))/((alpha^3)*(psi^3))</f>
        <v>589.4900458102</v>
      </c>
      <c r="Q20" s="5" t="n">
        <f aca="false">Tau*Beta</f>
        <v>14.7591639354586</v>
      </c>
      <c r="R20" s="5" t="n">
        <f aca="false">Tau*Beta</f>
        <v>14.7591639354586</v>
      </c>
      <c r="S20" s="6" t="n">
        <f aca="false">Tau</f>
        <v>0.081995355196992</v>
      </c>
      <c r="T20" s="5" t="n">
        <f aca="false">Profit+Utility</f>
        <v>8220.48326640255</v>
      </c>
      <c r="U20" s="5" t="n">
        <f aca="false">(2*ij*BRIJ)+2*jj*BRJJ</f>
        <v>323.619058775604</v>
      </c>
      <c r="V20" s="5" t="n">
        <f aca="false">2*(ij*BCCIJ)+(2*jj*BCCJJ)+BCS+jj*BCPTJJ+2*(ij*BCPTIJ)+BCPTII+BCk</f>
        <v>1080.44603048349</v>
      </c>
      <c r="W20" s="5" t="n">
        <f aca="false">ij*BUTIJ+BUTII</f>
        <v>8977.31023811043</v>
      </c>
      <c r="X20" s="5" t="n">
        <f aca="false">Revenue-Cost</f>
        <v>-756.826971707882</v>
      </c>
      <c r="Y20" s="5" t="n">
        <f aca="false">Size</f>
        <v>26.6</v>
      </c>
      <c r="Z20" s="6" t="n">
        <f aca="false">Welfare/(Size)</f>
        <v>309.040724300848</v>
      </c>
      <c r="AA20" s="6" t="n">
        <f aca="false">Profit/(Size)</f>
        <v>-28.4521417935294</v>
      </c>
      <c r="AB20" s="6" t="n">
        <f aca="false">Utility/(Size)</f>
        <v>337.492866094377</v>
      </c>
      <c r="AD20" s="4" t="n">
        <f aca="false">(EXP(alpha*(zeta-2*a*psi))*((EXP(alpha*a*psi)-EXP(alpha*b*psi))^2))/((EXP(alpha*a*psi)-EXP(alpha*(b*psi)))*(alpha^2)*(psi^2))</f>
        <v>12.7504554913075</v>
      </c>
      <c r="AE20" s="4" t="n">
        <f aca="false">(EXP(alpha*(zeta+(2*b-a)*psi))*(-1+EXP(alpha*(-1)*Size*psi))*(EXP(alpha*(a*psi))-EXP(alpha*(b*psi))))/(((EXP(alpha*a*psi)-EXP(alpha*(b*psi)))^2)*(alpha^2)*(psi^2))</f>
        <v>0.240325738952931</v>
      </c>
      <c r="AF20" s="5" t="n">
        <f aca="false">BCS+Taxjj*BCPTJJ+2*(Taxij*BCPTIJ)+BCPTII</f>
        <v>1119.59748954876</v>
      </c>
      <c r="AG20" s="5" t="n">
        <f aca="false">Taxij*BUTIJ+BUTII</f>
        <v>9329.97907957303</v>
      </c>
      <c r="AH20" s="2" t="n">
        <f aca="false">TaxCost+TaxUtility</f>
        <v>10449.5765691218</v>
      </c>
      <c r="AI20" s="2" t="n">
        <f aca="false">TaxWelfare/Size</f>
        <v>392.841224403075</v>
      </c>
    </row>
    <row r="21" customFormat="false" ht="13" hidden="false" customHeight="false" outlineLevel="0" collapsed="false">
      <c r="A21" s="4" t="n">
        <f aca="false">0.024+0.0176766*LN(Size)</f>
        <v>0.065210304344415</v>
      </c>
      <c r="B21" s="4" t="n">
        <f aca="false">Tau</f>
        <v>0.065210304344415</v>
      </c>
      <c r="C21" s="2" t="n">
        <v>10.2918045434737</v>
      </c>
      <c r="D21" s="2" t="n">
        <v>0</v>
      </c>
      <c r="E21" s="2" t="n">
        <f aca="false">Size-a</f>
        <v>10.2918045434737</v>
      </c>
      <c r="F21" s="4" t="n">
        <f aca="false">(EXP(alpha*(Tau+OldTau+zeta-2*a*psi))*((EXP(alpha*a*psi)-EXP(alpha*b*psi))^2))/((EXP(alpha*a*psi)-EXP(alpha*(2*OldTau+b*psi)))*(alpha^2)*(psi^2))</f>
        <v>8.67890344826294</v>
      </c>
      <c r="G21" s="4" t="n">
        <f aca="false">(EXP(alpha*(zeta+(2*b-a)*psi))*(-1+EXP(alpha*(-1)*Size*psi))*(EXP(alpha*(2*(Tau+OldTau)+a*psi))-EXP(alpha*(2*(Tau+OldTau)+b*psi))))/(((EXP(alpha*a*psi)-EXP(alpha*(2*OldTau+b*psi)))^2)*(alpha^2)*(psi^2))</f>
        <v>2.00229433120115</v>
      </c>
      <c r="H21" s="5" t="n">
        <f aca="false">-Beta/alpha</f>
        <v>180</v>
      </c>
      <c r="I21" s="5" t="n">
        <f aca="false">(-EXP(alpha*zeta)*Beta*(-1+EXP(alpha*Size*psi)-Size*alpha*psi))/((alpha^3)*(psi^2))</f>
        <v>1770.93044283128</v>
      </c>
      <c r="J21" s="5" t="n">
        <v>0</v>
      </c>
      <c r="K21" s="5" t="n">
        <v>0</v>
      </c>
      <c r="L21" s="5" t="n">
        <v>15</v>
      </c>
      <c r="M21" s="5" t="n">
        <f aca="false">Gamma*Size</f>
        <v>0</v>
      </c>
      <c r="N21" s="5" t="n">
        <f aca="false">Size*Beta*Phi</f>
        <v>33.3454467208549</v>
      </c>
      <c r="O21" s="5" t="n">
        <f aca="false">-(EXP(alpha*a*psi)+EXP(alpha*b*psi)*(-1+Size*psi*alpha))*(Beta*Phi)/((alpha*psi)*(EXP(alpha*a*psi)-EXP(alpha*b*psi)))</f>
        <v>12.5441810268732</v>
      </c>
      <c r="P21" s="5" t="n">
        <f aca="false">(EXP(alpha*(zeta-a*psi))*Beta*Phi*(-EXP(alpha*a*psi)*(-2+(-1)*Size*alpha*psi)+EXP(alpha*b*psi)*(-2+Size*alpha*psi)))/((alpha^3)*(psi^3))</f>
        <v>84.3567280249596</v>
      </c>
      <c r="Q21" s="5" t="n">
        <f aca="false">Tau*Beta</f>
        <v>11.7378547819947</v>
      </c>
      <c r="R21" s="5" t="n">
        <f aca="false">Tau*Beta</f>
        <v>11.7378547819947</v>
      </c>
      <c r="S21" s="6" t="n">
        <f aca="false">Tau</f>
        <v>0.065210304344415</v>
      </c>
      <c r="T21" s="5" t="n">
        <f aca="false">Profit+Utility</f>
        <v>3200.01816147981</v>
      </c>
      <c r="U21" s="5" t="n">
        <f aca="false">(2*ij*BRIJ)+2*jj*BRJJ</f>
        <v>250.748696866227</v>
      </c>
      <c r="V21" s="5" t="n">
        <f aca="false">2*(ij*BCCIJ)+(2*jj*BCCJJ)+BCS+jj*BCPTJJ+2*(ij*BCPTIJ)+BCPTII+BCk</f>
        <v>383.863598905026</v>
      </c>
      <c r="W21" s="5" t="n">
        <f aca="false">ij*BUTIJ+BUTII</f>
        <v>3333.13306351861</v>
      </c>
      <c r="X21" s="5" t="n">
        <f aca="false">Revenue-Cost</f>
        <v>-133.114902038799</v>
      </c>
      <c r="Y21" s="5" t="n">
        <f aca="false">Size</f>
        <v>10.2918045434737</v>
      </c>
      <c r="Z21" s="6" t="n">
        <f aca="false">Welfare/(Size)</f>
        <v>310.928773274169</v>
      </c>
      <c r="AA21" s="6" t="n">
        <f aca="false">Profit/(Size)</f>
        <v>-12.9340682167551</v>
      </c>
      <c r="AB21" s="6" t="n">
        <f aca="false">Utility/(Size)</f>
        <v>323.862841490924</v>
      </c>
      <c r="AD21" s="4" t="n">
        <f aca="false">(EXP(alpha*(zeta-2*a*psi))*((EXP(alpha*a*psi)-EXP(alpha*b*psi))^2))/((EXP(alpha*a*psi)-EXP(alpha*(b*psi)))*(alpha^2)*(psi^2))</f>
        <v>10.2162847331563</v>
      </c>
      <c r="AE21" s="4" t="n">
        <f aca="false">(EXP(alpha*(zeta+(2*b-a)*psi))*(-1+EXP(alpha*(-1)*Size*psi))*(EXP(alpha*(a*psi))-EXP(alpha*(b*psi))))/(((EXP(alpha*a*psi)-EXP(alpha*(b*psi)))^2)*(alpha^2)*(psi^2))</f>
        <v>2.77449649710408</v>
      </c>
      <c r="AF21" s="5" t="n">
        <f aca="false">BCS+Taxjj*BCPTJJ+2*(Taxij*BCPTIJ)+BCPTII</f>
        <v>433.183403375931</v>
      </c>
      <c r="AG21" s="5" t="n">
        <f aca="false">Taxij*BUTIJ+BUTII</f>
        <v>3609.86169479942</v>
      </c>
      <c r="AH21" s="2" t="n">
        <f aca="false">TaxCost+TaxUtility</f>
        <v>4043.04509817536</v>
      </c>
      <c r="AI21" s="2" t="n">
        <f aca="false">TaxWelfare/Size</f>
        <v>392.841224403075</v>
      </c>
    </row>
    <row r="22" customFormat="false" ht="13" hidden="false" customHeight="false" outlineLevel="0" collapsed="false">
      <c r="A22" s="4" t="n">
        <f aca="false">0.024+0.0176766*LN(Size)</f>
        <v>0.0552897583176911</v>
      </c>
      <c r="B22" s="4" t="n">
        <f aca="false">Tau</f>
        <v>0.0552897583176911</v>
      </c>
      <c r="C22" s="2" t="n">
        <v>5.87157621694293</v>
      </c>
      <c r="D22" s="2" t="n">
        <v>0</v>
      </c>
      <c r="E22" s="2" t="n">
        <f aca="false">Size-a</f>
        <v>5.87157621694293</v>
      </c>
      <c r="F22" s="4" t="n">
        <f aca="false">(EXP(alpha*(Tau+OldTau+zeta-2*a*psi))*((EXP(alpha*a*psi)-EXP(alpha*b*psi))^2))/((EXP(alpha*a*psi)-EXP(alpha*(2*OldTau+b*psi)))*(alpha^2)*(psi^2))</f>
        <v>6.34027974753</v>
      </c>
      <c r="G22" s="4" t="n">
        <f aca="false">(EXP(alpha*(zeta+(2*b-a)*psi))*(-1+EXP(alpha*(-1)*Size*psi))*(EXP(alpha*(2*(Tau+OldTau)+a*psi))-EXP(alpha*(2*(Tau+OldTau)+b*psi))))/(((EXP(alpha*a*psi)-EXP(alpha*(2*OldTau+b*psi)))^2)*(alpha^2)*(psi^2))</f>
        <v>3.74106727120419</v>
      </c>
      <c r="H22" s="5" t="n">
        <f aca="false">-Beta/alpha</f>
        <v>180</v>
      </c>
      <c r="I22" s="5" t="n">
        <f aca="false">(-EXP(alpha*zeta)*Beta*(-1+EXP(alpha*Size*psi)-Size*alpha*psi))/((alpha^3)*(psi^2))</f>
        <v>690.310881290911</v>
      </c>
      <c r="J22" s="5" t="n">
        <v>0</v>
      </c>
      <c r="K22" s="5" t="n">
        <v>0</v>
      </c>
      <c r="L22" s="5" t="n">
        <v>0</v>
      </c>
      <c r="M22" s="5" t="n">
        <f aca="false">Gamma*Size</f>
        <v>0</v>
      </c>
      <c r="N22" s="5" t="n">
        <f aca="false">Size*Beta*Phi</f>
        <v>19.0239069428951</v>
      </c>
      <c r="O22" s="5" t="n">
        <f aca="false">-(EXP(alpha*a*psi)+EXP(alpha*b*psi)*(-1+Size*psi*alpha))*(Beta*Phi)/((alpha*psi)*(EXP(alpha*a*psi)-EXP(alpha*b*psi)))</f>
        <v>8.13342359104879</v>
      </c>
      <c r="P22" s="5" t="n">
        <f aca="false">(EXP(alpha*(zeta-a*psi))*Beta*Phi*(-EXP(alpha*a*psi)*(-2+(-1)*Size*alpha*psi)+EXP(alpha*b*psi)*(-2+Size*alpha*psi)))/((alpha^3)*(psi^3))</f>
        <v>20.9712824501055</v>
      </c>
      <c r="Q22" s="5" t="n">
        <f aca="false">Tau*Beta</f>
        <v>9.9521564971844</v>
      </c>
      <c r="R22" s="5" t="n">
        <f aca="false">Tau*Beta</f>
        <v>9.9521564971844</v>
      </c>
      <c r="S22" s="6" t="n">
        <f aca="false">Tau</f>
        <v>0.0552897583176911</v>
      </c>
      <c r="T22" s="5" t="n">
        <f aca="false">Profit+Utility</f>
        <v>1836.94616248262</v>
      </c>
      <c r="U22" s="5" t="n">
        <f aca="false">(2*ij*BRIJ)+2*jj*BRJJ</f>
        <v>200.662286465732</v>
      </c>
      <c r="V22" s="5" t="n">
        <f aca="false">2*(ij*BCCIJ)+(2*jj*BCCJJ)+BCS+jj*BCPTJJ+2*(ij*BCPTIJ)+BCPTII+BCk</f>
        <v>195.277359829423</v>
      </c>
      <c r="W22" s="5" t="n">
        <f aca="false">ij*BUTIJ+BUTII</f>
        <v>1831.56123584631</v>
      </c>
      <c r="X22" s="5" t="n">
        <f aca="false">Revenue-Cost</f>
        <v>5.38492663630876</v>
      </c>
      <c r="Y22" s="5" t="n">
        <f aca="false">Size</f>
        <v>5.87157621694293</v>
      </c>
      <c r="Z22" s="6" t="n">
        <f aca="false">Welfare/(Size)</f>
        <v>312.85400965791</v>
      </c>
      <c r="AA22" s="6" t="n">
        <f aca="false">Profit/(Size)</f>
        <v>0.91711772739492</v>
      </c>
      <c r="AB22" s="6" t="n">
        <f aca="false">Utility/(Size)</f>
        <v>311.936891930515</v>
      </c>
      <c r="AD22" s="4" t="n">
        <f aca="false">(EXP(alpha*(zeta-2*a*psi))*((EXP(alpha*a*psi)-EXP(alpha*b*psi))^2))/((EXP(alpha*a*psi)-EXP(alpha*(b*psi)))*(alpha^2)*(psi^2))</f>
        <v>7.60639386504968</v>
      </c>
      <c r="AE22" s="4" t="n">
        <f aca="false">(EXP(alpha*(zeta+(2*b-a)*psi))*(-1+EXP(alpha*(-1)*Size*psi))*(EXP(alpha*(a*psi))-EXP(alpha*(b*psi))))/(((EXP(alpha*a*psi)-EXP(alpha*(b*psi)))^2)*(alpha^2)*(psi^2))</f>
        <v>5.38438736521074</v>
      </c>
      <c r="AF22" s="5" t="n">
        <f aca="false">BCS+Taxjj*BCPTJJ+2*(Taxij*BCPTIJ)+BCPTII</f>
        <v>247.135413239982</v>
      </c>
      <c r="AG22" s="5" t="n">
        <f aca="false">Taxij*BUTIJ+BUTII</f>
        <v>2059.46177699985</v>
      </c>
      <c r="AH22" s="2" t="n">
        <f aca="false">TaxCost+TaxUtility</f>
        <v>2306.59719023984</v>
      </c>
      <c r="AI22" s="2" t="n">
        <f aca="false">TaxWelfare/Size</f>
        <v>392.841224403075</v>
      </c>
    </row>
    <row r="24" customFormat="false" ht="13" hidden="false" customHeight="false" outlineLevel="0" collapsed="false">
      <c r="A24" s="2" t="s">
        <v>175</v>
      </c>
      <c r="B24" s="2" t="s">
        <v>176</v>
      </c>
    </row>
    <row r="25" customFormat="false" ht="13" hidden="false" customHeight="false" outlineLevel="0" collapsed="false">
      <c r="A25" s="5" t="n">
        <v>0</v>
      </c>
      <c r="B25" s="2" t="n">
        <v>5.87157621694293</v>
      </c>
    </row>
    <row r="26" customFormat="false" ht="13" hidden="false" customHeight="false" outlineLevel="0" collapsed="false">
      <c r="A26" s="5" t="n">
        <v>15</v>
      </c>
      <c r="B26" s="2" t="n">
        <v>10.2918045434737</v>
      </c>
    </row>
    <row r="27" customFormat="false" ht="13" hidden="false" customHeight="false" outlineLevel="0" collapsed="false">
      <c r="A27" s="5" t="n">
        <v>45</v>
      </c>
      <c r="B27" s="2" t="n">
        <v>26.6</v>
      </c>
    </row>
    <row r="28" customFormat="false" ht="13" hidden="false" customHeight="false" outlineLevel="0" collapsed="false">
      <c r="A28" s="5" t="n">
        <v>60</v>
      </c>
      <c r="B28" s="2" t="n">
        <v>103.4</v>
      </c>
    </row>
    <row r="29" customFormat="false" ht="13" hidden="false" customHeight="false" outlineLevel="0" collapsed="false">
      <c r="A29" s="5" t="n">
        <v>75</v>
      </c>
      <c r="B29" s="2" t="n">
        <v>6554.6</v>
      </c>
    </row>
    <row r="30" customFormat="false" ht="13" hidden="false" customHeight="false" outlineLevel="0" collapsed="false">
      <c r="A30" s="5" t="n">
        <v>90</v>
      </c>
      <c r="B30" s="2" t="n">
        <v>6554.6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"/>
  <sheetViews>
    <sheetView showFormulas="false" showGridLines="true" showRowColHeaders="true" showZeros="true" rightToLeft="false" tabSelected="false" showOutlineSymbols="true" defaultGridColor="true" view="normal" topLeftCell="A62" colorId="64" zoomScale="100" zoomScaleNormal="100" zoomScalePageLayoutView="100" workbookViewId="0">
      <selection pane="topLeft" activeCell="N11" activeCellId="0" sqref="N11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0" width="11.05"/>
    <col collapsed="false" customWidth="true" hidden="false" outlineLevel="0" max="2" min="2" style="2" width="6.28"/>
    <col collapsed="false" customWidth="true" hidden="false" outlineLevel="0" max="3" min="3" style="2" width="7.71"/>
    <col collapsed="false" customWidth="true" hidden="false" outlineLevel="0" max="4" min="4" style="2" width="11.13"/>
    <col collapsed="false" customWidth="true" hidden="false" outlineLevel="0" max="5" min="5" style="2" width="3.56"/>
    <col collapsed="false" customWidth="true" hidden="false" outlineLevel="0" max="6" min="6" style="2" width="4.71"/>
    <col collapsed="false" customWidth="false" hidden="false" outlineLevel="0" max="7" min="7" style="3" width="8.28"/>
    <col collapsed="false" customWidth="false" hidden="false" outlineLevel="0" max="9" min="8" style="2" width="8.28"/>
    <col collapsed="false" customWidth="true" hidden="false" outlineLevel="0" max="10" min="10" style="2" width="10.14"/>
    <col collapsed="false" customWidth="false" hidden="false" outlineLevel="0" max="20" min="11" style="2" width="8.28"/>
    <col collapsed="false" customWidth="true" hidden="false" outlineLevel="0" max="21" min="21" style="2" width="9.99"/>
    <col collapsed="false" customWidth="false" hidden="false" outlineLevel="0" max="22" min="22" style="2" width="8.28"/>
    <col collapsed="false" customWidth="true" hidden="false" outlineLevel="0" max="23" min="23" style="2" width="8.99"/>
    <col collapsed="false" customWidth="true" hidden="false" outlineLevel="0" max="24" min="24" style="2" width="9.13"/>
    <col collapsed="false" customWidth="false" hidden="false" outlineLevel="0" max="257" min="25" style="2" width="8.28"/>
  </cols>
  <sheetData>
    <row r="1" customFormat="false" ht="13" hidden="false" customHeight="false" outlineLevel="0" collapsed="false">
      <c r="A1" s="2" t="s">
        <v>177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3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178</v>
      </c>
      <c r="AA1" s="2" t="s">
        <v>179</v>
      </c>
      <c r="AB1" s="2" t="s">
        <v>180</v>
      </c>
      <c r="AC1" s="2" t="s">
        <v>39</v>
      </c>
      <c r="AD1" s="2" t="s">
        <v>40</v>
      </c>
      <c r="AE1" s="2" t="s">
        <v>178</v>
      </c>
      <c r="AF1" s="2" t="s">
        <v>181</v>
      </c>
      <c r="AG1" s="2" t="s">
        <v>182</v>
      </c>
      <c r="AH1" s="2" t="s">
        <v>183</v>
      </c>
    </row>
    <row r="2" customFormat="false" ht="13" hidden="false" customHeight="false" outlineLevel="0" collapsed="false">
      <c r="A2" s="2" t="n">
        <f aca="false">Toll/Size</f>
        <v>0.00894921521992709</v>
      </c>
      <c r="B2" s="2" t="n">
        <v>8.94921521992709E-008</v>
      </c>
      <c r="C2" s="2" t="n">
        <f aca="false">Tau</f>
        <v>8.94921521992709E-008</v>
      </c>
      <c r="D2" s="7" t="n">
        <v>1E-005</v>
      </c>
      <c r="E2" s="2" t="n">
        <v>0</v>
      </c>
      <c r="F2" s="2" t="n">
        <f aca="false">Size-a</f>
        <v>1E-005</v>
      </c>
      <c r="G2" s="4" t="n">
        <f aca="false">(EXP(alpha*(Tau+OldTau+zeta-2*a*psi))*((EXP(alpha*a*psi)-EXP(alpha*b*psi))^2))/((EXP(alpha*a*psi)-EXP(alpha*(2*OldTau+b*psi)))*(alpha^2)*(psi^2))</f>
        <v>1.74088781849609E-005</v>
      </c>
      <c r="H2" s="4" t="n">
        <f aca="false">(EXP(alpha*(zeta+(2*b-a)*psi))*(-1+EXP(alpha*(-1)*Size*psi))*(EXP(alpha*(2*(Tau+OldTau)+a*psi))-EXP(alpha*(2*(Tau+OldTau)+b*psi))))/(((EXP(alpha*a*psi)-EXP(alpha*(2*OldTau+b*psi)))^2)*(alpha^2)*(psi^2))</f>
        <v>10.3686875011322</v>
      </c>
      <c r="I2" s="5" t="n">
        <f aca="false">-Beta/alpha</f>
        <v>180</v>
      </c>
      <c r="J2" s="5" t="n">
        <f aca="false">(-EXP(alpha*zeta)*Beta*(-1+EXP(alpha*Size*psi)-Size*alpha*psi))/((alpha^3)*(psi^2))</f>
        <v>2.6306363992524E-009</v>
      </c>
      <c r="K2" s="5" t="n">
        <v>0</v>
      </c>
      <c r="L2" s="5" t="n">
        <v>0</v>
      </c>
      <c r="M2" s="5" t="n">
        <v>0</v>
      </c>
      <c r="N2" s="5" t="n">
        <f aca="false">Gamma*Size</f>
        <v>0</v>
      </c>
      <c r="O2" s="5" t="n">
        <f aca="false">Size*Beta*Phi</f>
        <v>3.24E-005</v>
      </c>
      <c r="P2" s="5" t="n">
        <f aca="false">-(EXP(alpha*a*psi)+EXP(alpha*b*psi)*(-1+Size*psi*alpha))*(Beta*Phi)/((alpha*psi)*(EXP(alpha*a*psi)-EXP(alpha*b*psi)))</f>
        <v>1.61998536181835E-005</v>
      </c>
      <c r="Q2" s="5" t="n">
        <f aca="false">(EXP(alpha*(zeta-a*psi))*Beta*Phi*(-EXP(alpha*a*psi)*(-2+(-1)*Size*alpha*psi)+EXP(alpha*b*psi)*(-2+Size*alpha*psi)))/((alpha^3)*(psi^3))</f>
        <v>-0</v>
      </c>
      <c r="R2" s="5" t="n">
        <f aca="false">Tau*Beta</f>
        <v>1.61085873958688E-005</v>
      </c>
      <c r="S2" s="5" t="n">
        <f aca="false">Tau*Beta</f>
        <v>1.61085873958688E-005</v>
      </c>
      <c r="T2" s="6" t="n">
        <f aca="false">Tau</f>
        <v>8.94921521992709E-008</v>
      </c>
      <c r="U2" s="5" t="n">
        <f aca="false">Profit+Utility</f>
        <v>0.00313170504329987</v>
      </c>
      <c r="V2" s="5" t="n">
        <f aca="false">(2*ij*BRIJ)+2*jj*BRJJ</f>
        <v>0.000334050378449753</v>
      </c>
      <c r="W2" s="5" t="n">
        <f aca="false">2*(ij*BCCIJ)+(2*jj*BCCJJ)+BCS+jj*BCPTJJ+2*(ij*BCPTIJ)+BCPTII+BCk</f>
        <v>0.000335946039079241</v>
      </c>
      <c r="X2" s="5" t="n">
        <f aca="false">ij*BUTIJ+BUTII</f>
        <v>0.00313360070392936</v>
      </c>
      <c r="Y2" s="5" t="n">
        <f aca="false">Revenue-Cost</f>
        <v>-1.89566062948815E-006</v>
      </c>
      <c r="Z2" s="7" t="n">
        <f aca="false">Size</f>
        <v>1E-005</v>
      </c>
      <c r="AA2" s="6" t="n">
        <f aca="false">Welfare/(Size)</f>
        <v>313.170504329987</v>
      </c>
      <c r="AB2" s="6" t="n">
        <v>313.170618943778</v>
      </c>
      <c r="AC2" s="6" t="n">
        <f aca="false">Profit/(Size)</f>
        <v>-0.189566062948815</v>
      </c>
      <c r="AD2" s="6" t="n">
        <f aca="false">Utility/(Size)</f>
        <v>313.360070392936</v>
      </c>
      <c r="AE2" s="7" t="n">
        <f aca="false">Size</f>
        <v>1E-005</v>
      </c>
      <c r="AF2" s="2" t="n">
        <f aca="false">0.018</f>
        <v>0.018</v>
      </c>
      <c r="AG2" s="2" t="n">
        <f aca="false">2*Tau/Size</f>
        <v>0.0178984304398542</v>
      </c>
      <c r="AH2" s="2" t="n">
        <f aca="false">Tau</f>
        <v>8.94921521992709E-008</v>
      </c>
    </row>
    <row r="3" customFormat="false" ht="13" hidden="false" customHeight="false" outlineLevel="0" collapsed="false">
      <c r="A3" s="2" t="n">
        <f aca="false">Toll/Size</f>
        <v>0.00899987350387353</v>
      </c>
      <c r="B3" s="2" t="n">
        <v>8.99987350387353E-007</v>
      </c>
      <c r="C3" s="2" t="n">
        <f aca="false">Tau</f>
        <v>8.99987350387353E-007</v>
      </c>
      <c r="D3" s="7" t="n">
        <v>0.0001</v>
      </c>
      <c r="E3" s="2" t="n">
        <v>0</v>
      </c>
      <c r="F3" s="2" t="n">
        <f aca="false">Size-a</f>
        <v>0.0001</v>
      </c>
      <c r="G3" s="4" t="n">
        <f aca="false">(EXP(alpha*(Tau+OldTau+zeta-2*a*psi))*((EXP(alpha*a*psi)-EXP(alpha*b*psi))^2))/((EXP(alpha*a*psi)-EXP(alpha*(2*OldTau+b*psi)))*(alpha^2)*(psi^2))</f>
        <v>0.000173982477738819</v>
      </c>
      <c r="H3" s="4" t="n">
        <f aca="false">(EXP(alpha*(zeta+(2*b-a)*psi))*(-1+EXP(alpha*(-1)*Size*psi))*(EXP(alpha*(2*(Tau+OldTau)+a*psi))-EXP(alpha*(2*(Tau+OldTau)+b*psi))))/(((EXP(alpha*a*psi)-EXP(alpha*(2*OldTau+b*psi)))^2)*(alpha^2)*(psi^2))</f>
        <v>10.3560284698257</v>
      </c>
      <c r="I3" s="5" t="n">
        <f aca="false">-Beta/alpha</f>
        <v>180</v>
      </c>
      <c r="J3" s="5" t="n">
        <f aca="false">(-EXP(alpha*zeta)*Beta*(-1+EXP(alpha*Size*psi)-Size*alpha*psi))/((alpha^3)*(psi^2))</f>
        <v>2.63062073463583E-007</v>
      </c>
      <c r="K3" s="5" t="n">
        <v>0</v>
      </c>
      <c r="L3" s="5" t="n">
        <v>0</v>
      </c>
      <c r="M3" s="5" t="n">
        <v>0</v>
      </c>
      <c r="N3" s="5" t="n">
        <f aca="false">Gamma*Size</f>
        <v>0</v>
      </c>
      <c r="O3" s="5" t="n">
        <f aca="false">Size*Beta*Phi</f>
        <v>0.000324</v>
      </c>
      <c r="P3" s="5" t="n">
        <f aca="false">-(EXP(alpha*a*psi)+EXP(alpha*b*psi)*(-1+Size*psi*alpha))*(Beta*Phi)/((alpha*psi)*(EXP(alpha*a*psi)-EXP(alpha*b*psi)))</f>
        <v>0.000161999469800936</v>
      </c>
      <c r="Q3" s="5" t="n">
        <f aca="false">(EXP(alpha*(zeta-a*psi))*Beta*Phi*(-EXP(alpha*a*psi)*(-2+(-1)*Size*alpha*psi)+EXP(alpha*b*psi)*(-2+Size*alpha*psi)))/((alpha^3)*(psi^3))</f>
        <v>-0</v>
      </c>
      <c r="R3" s="5" t="n">
        <f aca="false">Tau*Beta</f>
        <v>0.000161997723069724</v>
      </c>
      <c r="S3" s="5" t="n">
        <f aca="false">Tau*Beta</f>
        <v>0.000161997723069724</v>
      </c>
      <c r="T3" s="6" t="n">
        <f aca="false">Tau</f>
        <v>8.99987350387353E-007</v>
      </c>
      <c r="U3" s="5" t="n">
        <f aca="false">Profit+Utility</f>
        <v>0.0313170618945435</v>
      </c>
      <c r="V3" s="5" t="n">
        <f aca="false">(2*ij*BRIJ)+2*jj*BRJJ</f>
        <v>0.00335536243384448</v>
      </c>
      <c r="W3" s="5" t="n">
        <f aca="false">2*(ij*BCCIJ)+(2*jj*BCCJJ)+BCS+jj*BCPTJJ+2*(ij*BCPTIJ)+BCPTII+BCk</f>
        <v>0.00335540959436181</v>
      </c>
      <c r="X3" s="5" t="n">
        <f aca="false">ij*BUTIJ+BUTII</f>
        <v>0.0313171090550608</v>
      </c>
      <c r="Y3" s="5" t="n">
        <f aca="false">Revenue-Cost</f>
        <v>-4.71605173355157E-008</v>
      </c>
      <c r="Z3" s="13" t="n">
        <f aca="false">Size</f>
        <v>0.0001</v>
      </c>
      <c r="AA3" s="6" t="n">
        <f aca="false">Welfare/(Size)</f>
        <v>313.170618945435</v>
      </c>
      <c r="AB3" s="6" t="n">
        <v>313.170618943778</v>
      </c>
      <c r="AC3" s="6" t="n">
        <f aca="false">Profit/(Size)</f>
        <v>-0.000471605173355157</v>
      </c>
      <c r="AD3" s="6" t="n">
        <f aca="false">Utility/(Size)</f>
        <v>313.171090550608</v>
      </c>
      <c r="AE3" s="13" t="n">
        <f aca="false">Size</f>
        <v>0.0001</v>
      </c>
      <c r="AF3" s="2" t="n">
        <f aca="false">0.018</f>
        <v>0.018</v>
      </c>
      <c r="AG3" s="2" t="n">
        <f aca="false">2*Tau/Size</f>
        <v>0.0179997470077471</v>
      </c>
      <c r="AH3" s="2" t="n">
        <f aca="false">Tau</f>
        <v>8.99987350387353E-007</v>
      </c>
    </row>
    <row r="4" customFormat="false" ht="13" hidden="false" customHeight="false" outlineLevel="0" collapsed="false">
      <c r="A4" s="2" t="n">
        <f aca="false">Toll/Size</f>
        <v>0.00899997533919245</v>
      </c>
      <c r="B4" s="2" t="n">
        <v>8.99997533919245E-006</v>
      </c>
      <c r="C4" s="2" t="n">
        <f aca="false">Tau</f>
        <v>8.99997533919245E-006</v>
      </c>
      <c r="D4" s="7" t="n">
        <v>0.001</v>
      </c>
      <c r="E4" s="2" t="n">
        <v>0</v>
      </c>
      <c r="F4" s="2" t="n">
        <f aca="false">Size-a</f>
        <v>0.001</v>
      </c>
      <c r="G4" s="4" t="n">
        <f aca="false">(EXP(alpha*(Tau+OldTau+zeta-2*a*psi))*((EXP(alpha*a*psi)-EXP(alpha*b*psi))^2))/((EXP(alpha*a*psi)-EXP(alpha*(2*OldTau+b*psi)))*(alpha^2)*(psi^2))</f>
        <v>0.0017396911437591</v>
      </c>
      <c r="H4" s="4" t="n">
        <f aca="false">(EXP(alpha*(zeta+(2*b-a)*psi))*(-1+EXP(alpha*(-1)*Size*psi))*(EXP(alpha*(2*(Tau+OldTau)+a*psi))-EXP(alpha*(2*(Tau+OldTau)+b*psi))))/(((EXP(alpha*a*psi)-EXP(alpha*(2*OldTau+b*psi)))^2)*(alpha^2)*(psi^2))</f>
        <v>10.3544376460536</v>
      </c>
      <c r="I4" s="5" t="n">
        <f aca="false">-Beta/alpha</f>
        <v>180</v>
      </c>
      <c r="J4" s="5" t="n">
        <f aca="false">(-EXP(alpha*zeta)*Beta*(-1+EXP(alpha*Size*psi)-Size*alpha*psi))/((alpha^3)*(psi^2))</f>
        <v>2.63050166960763E-005</v>
      </c>
      <c r="K4" s="5" t="n">
        <v>0</v>
      </c>
      <c r="L4" s="5" t="n">
        <v>0</v>
      </c>
      <c r="M4" s="5" t="n">
        <v>0</v>
      </c>
      <c r="N4" s="5" t="n">
        <f aca="false">Gamma*Size</f>
        <v>0</v>
      </c>
      <c r="O4" s="5" t="n">
        <f aca="false">Size*Beta*Phi</f>
        <v>0.00324</v>
      </c>
      <c r="P4" s="5" t="n">
        <f aca="false">-(EXP(alpha*a*psi)+EXP(alpha*b*psi)*(-1+Size*psi*alpha))*(Beta*Phi)/((alpha*psi)*(EXP(alpha*a*psi)-EXP(alpha*b*psi)))</f>
        <v>0.00161995948262626</v>
      </c>
      <c r="Q4" s="5" t="n">
        <f aca="false">(EXP(alpha*(zeta-a*psi))*Beta*Phi*(-EXP(alpha*a*psi)*(-2+(-1)*Size*alpha*psi)+EXP(alpha*b*psi)*(-2+Size*alpha*psi)))/((alpha^3)*(psi^3))</f>
        <v>1.57883176792232E-010</v>
      </c>
      <c r="R4" s="5" t="n">
        <f aca="false">Tau*Beta</f>
        <v>0.00161999556105464</v>
      </c>
      <c r="S4" s="5" t="n">
        <f aca="false">Tau*Beta</f>
        <v>0.00161999556105464</v>
      </c>
      <c r="T4" s="6" t="n">
        <f aca="false">Tau</f>
        <v>8.99997533919245E-006</v>
      </c>
      <c r="U4" s="5" t="n">
        <f aca="false">Profit+Utility</f>
        <v>0.313170618935415</v>
      </c>
      <c r="V4" s="5" t="n">
        <f aca="false">(2*ij*BRIJ)+2*jj*BRJJ</f>
        <v>0.0335539226315088</v>
      </c>
      <c r="W4" s="5" t="n">
        <f aca="false">2*(ij*BCCIJ)+(2*jj*BCCJJ)+BCS+jj*BCPTJJ+2*(ij*BCPTIJ)+BCPTII+BCk</f>
        <v>0.0335540145894272</v>
      </c>
      <c r="X4" s="5" t="n">
        <f aca="false">ij*BUTIJ+BUTII</f>
        <v>0.313170710893333</v>
      </c>
      <c r="Y4" s="5" t="n">
        <f aca="false">Revenue-Cost</f>
        <v>-9.19579184049946E-008</v>
      </c>
      <c r="Z4" s="4" t="n">
        <f aca="false">Size</f>
        <v>0.001</v>
      </c>
      <c r="AA4" s="6" t="n">
        <f aca="false">Welfare/(Size)</f>
        <v>313.170618935415</v>
      </c>
      <c r="AB4" s="6" t="n">
        <v>313.170618943778</v>
      </c>
      <c r="AC4" s="6" t="n">
        <f aca="false">Profit/(Size)</f>
        <v>-9.19579184049946E-005</v>
      </c>
      <c r="AD4" s="6" t="n">
        <f aca="false">Utility/(Size)</f>
        <v>313.170710893333</v>
      </c>
      <c r="AE4" s="4" t="n">
        <f aca="false">Size</f>
        <v>0.001</v>
      </c>
      <c r="AF4" s="2" t="n">
        <f aca="false">0.018</f>
        <v>0.018</v>
      </c>
      <c r="AG4" s="2" t="n">
        <f aca="false">2*Tau/Size</f>
        <v>0.0179999506783849</v>
      </c>
      <c r="AH4" s="2" t="n">
        <f aca="false">Tau</f>
        <v>8.99997533919245E-006</v>
      </c>
    </row>
    <row r="5" customFormat="false" ht="13" hidden="false" customHeight="false" outlineLevel="0" collapsed="false">
      <c r="A5" s="2" t="n">
        <f aca="false">Toll/Size</f>
        <v>0.00899999815358111</v>
      </c>
      <c r="B5" s="2" t="n">
        <v>8.99999815358111E-005</v>
      </c>
      <c r="C5" s="2" t="n">
        <f aca="false">Tau</f>
        <v>8.99999815358111E-005</v>
      </c>
      <c r="D5" s="7" t="n">
        <v>0.01</v>
      </c>
      <c r="E5" s="2" t="n">
        <v>0</v>
      </c>
      <c r="F5" s="2" t="n">
        <f aca="false">Size-a</f>
        <v>0.01</v>
      </c>
      <c r="G5" s="4" t="n">
        <f aca="false">(EXP(alpha*(Tau+OldTau+zeta-2*a*psi))*((EXP(alpha*a*psi)-EXP(alpha*b*psi))^2))/((EXP(alpha*a*psi)-EXP(alpha*(2*OldTau+b*psi)))*(alpha^2)*(psi^2))</f>
        <v>0.0173837608242022</v>
      </c>
      <c r="H5" s="4" t="n">
        <f aca="false">(EXP(alpha*(zeta+(2*b-a)*psi))*(-1+EXP(alpha*(-1)*Size*psi))*(EXP(alpha*(2*(Tau+OldTau)+a*psi))-EXP(alpha*(2*(Tau+OldTau)+b*psi))))/(((EXP(alpha*a*psi)-EXP(alpha*(2*OldTau+b*psi)))^2)*(alpha^2)*(psi^2))</f>
        <v>10.3387874618376</v>
      </c>
      <c r="I5" s="5" t="n">
        <f aca="false">-Beta/alpha</f>
        <v>180</v>
      </c>
      <c r="J5" s="5" t="n">
        <f aca="false">(-EXP(alpha*zeta)*Beta*(-1+EXP(alpha*Size*psi)-Size*alpha*psi))/((alpha^3)*(psi^2))</f>
        <v>0.00262931837564971</v>
      </c>
      <c r="K5" s="5" t="n">
        <v>0</v>
      </c>
      <c r="L5" s="5" t="n">
        <v>0</v>
      </c>
      <c r="M5" s="5" t="n">
        <v>0</v>
      </c>
      <c r="N5" s="5" t="n">
        <f aca="false">Gamma*Size</f>
        <v>0</v>
      </c>
      <c r="O5" s="5" t="n">
        <f aca="false">Size*Beta*Phi</f>
        <v>0.0324</v>
      </c>
      <c r="P5" s="5" t="n">
        <f aca="false">-(EXP(alpha*a*psi)+EXP(alpha*b*psi)*(-1+Size*psi*alpha))*(Beta*Phi)/((alpha*psi)*(EXP(alpha*a*psi)-EXP(alpha*b*psi)))</f>
        <v>0.0161959499985344</v>
      </c>
      <c r="Q5" s="5" t="n">
        <f aca="false">(EXP(alpha*(zeta-a*psi))*Beta*Phi*(-EXP(alpha*a*psi)*(-2+(-1)*Size*alpha*psi)+EXP(alpha*b*psi)*(-2+Size*alpha*psi)))/((alpha^3)*(psi^3))</f>
        <v>1.57719686083509E-007</v>
      </c>
      <c r="R5" s="5" t="n">
        <f aca="false">Tau*Beta</f>
        <v>0.016199996676446</v>
      </c>
      <c r="S5" s="5" t="n">
        <f aca="false">Tau*Beta</f>
        <v>0.016199996676446</v>
      </c>
      <c r="T5" s="6" t="n">
        <f aca="false">Tau</f>
        <v>8.99999815358111E-005</v>
      </c>
      <c r="U5" s="5" t="n">
        <f aca="false">Profit+Utility</f>
        <v>3.13170618098228</v>
      </c>
      <c r="V5" s="5" t="n">
        <f aca="false">(2*ij*BRIJ)+2*jj*BRJJ</f>
        <v>0.335539878775653</v>
      </c>
      <c r="W5" s="5" t="n">
        <f aca="false">2*(ij*BCCIJ)+(2*jj*BCCJJ)+BCS+jj*BCPTJJ+2*(ij*BCPTIJ)+BCPTII+BCk</f>
        <v>0.335539964525414</v>
      </c>
      <c r="X5" s="5" t="n">
        <f aca="false">ij*BUTIJ+BUTII</f>
        <v>3.13170626673204</v>
      </c>
      <c r="Y5" s="5" t="n">
        <f aca="false">Revenue-Cost</f>
        <v>-8.57497610695646E-008</v>
      </c>
      <c r="Z5" s="6" t="n">
        <f aca="false">Size</f>
        <v>0.01</v>
      </c>
      <c r="AA5" s="6" t="n">
        <f aca="false">Welfare/(Size)</f>
        <v>313.170618098228</v>
      </c>
      <c r="AB5" s="6" t="n">
        <v>313.170618943778</v>
      </c>
      <c r="AC5" s="6" t="n">
        <f aca="false">Profit/(Size)</f>
        <v>-8.57497610695646E-006</v>
      </c>
      <c r="AD5" s="6" t="n">
        <f aca="false">Utility/(Size)</f>
        <v>313.170626673204</v>
      </c>
      <c r="AE5" s="6" t="n">
        <f aca="false">Size</f>
        <v>0.01</v>
      </c>
      <c r="AF5" s="2" t="n">
        <f aca="false">0.018</f>
        <v>0.018</v>
      </c>
      <c r="AG5" s="2" t="n">
        <f aca="false">2*Tau/Size</f>
        <v>0.0179999963071622</v>
      </c>
      <c r="AH5" s="2" t="n">
        <f aca="false">Tau</f>
        <v>8.99999815358111E-005</v>
      </c>
    </row>
    <row r="6" customFormat="false" ht="13" hidden="false" customHeight="false" outlineLevel="0" collapsed="false">
      <c r="A6" s="2" t="n">
        <f aca="false">Toll/Size</f>
        <v>0.0089998110034021</v>
      </c>
      <c r="B6" s="2" t="n">
        <v>0.00089998110034021</v>
      </c>
      <c r="C6" s="2" t="n">
        <f aca="false">Tau</f>
        <v>0.00089998110034021</v>
      </c>
      <c r="D6" s="7" t="n">
        <v>0.1</v>
      </c>
      <c r="E6" s="2" t="n">
        <v>0</v>
      </c>
      <c r="F6" s="2" t="n">
        <f aca="false">Size-a</f>
        <v>0.1</v>
      </c>
      <c r="G6" s="4" t="n">
        <f aca="false">(EXP(alpha*(Tau+OldTau+zeta-2*a*psi))*((EXP(alpha*a*psi)-EXP(alpha*b*psi))^2))/((EXP(alpha*a*psi)-EXP(alpha*(2*OldTau+b*psi)))*(alpha^2)*(psi^2))</f>
        <v>0.17252993272717</v>
      </c>
      <c r="H6" s="4" t="n">
        <f aca="false">(EXP(alpha*(zeta+(2*b-a)*psi))*(-1+EXP(alpha*(-1)*Size*psi))*(EXP(alpha*(2*(Tau+OldTau)+a*psi))-EXP(alpha*(2*(Tau+OldTau)+b*psi))))/(((EXP(alpha*a*psi)-EXP(alpha*(2*OldTau+b*psi)))^2)*(alpha^2)*(psi^2))</f>
        <v>10.1836385329937</v>
      </c>
      <c r="I6" s="5" t="n">
        <f aca="false">-Beta/alpha</f>
        <v>180</v>
      </c>
      <c r="J6" s="5" t="n">
        <f aca="false">(-EXP(alpha*zeta)*Beta*(-1+EXP(alpha*Size*psi)-Size*alpha*psi))/((alpha^3)*(psi^2))</f>
        <v>0.261752920990026</v>
      </c>
      <c r="K6" s="5" t="n">
        <v>0</v>
      </c>
      <c r="L6" s="5" t="n">
        <v>0</v>
      </c>
      <c r="M6" s="5" t="n">
        <v>0</v>
      </c>
      <c r="N6" s="5" t="n">
        <f aca="false">Gamma*Size</f>
        <v>0</v>
      </c>
      <c r="O6" s="5" t="n">
        <f aca="false">Size*Beta*Phi</f>
        <v>0.324</v>
      </c>
      <c r="P6" s="5" t="n">
        <f aca="false">-(EXP(alpha*a*psi)+EXP(alpha*b*psi)*(-1+Size*psi*alpha))*(Beta*Phi)/((alpha*psi)*(EXP(alpha*a*psi)-EXP(alpha*b*psi)))</f>
        <v>0.161595001518824</v>
      </c>
      <c r="Q6" s="5" t="n">
        <f aca="false">(EXP(alpha*(zeta-a*psi))*Beta*Phi*(-EXP(alpha*a*psi)*(-2+(-1)*Size*alpha*psi)+EXP(alpha*b*psi)*(-2+Size*alpha*psi)))/((alpha^3)*(psi^3))</f>
        <v>0.000156659516314745</v>
      </c>
      <c r="R6" s="5" t="n">
        <f aca="false">Tau*Beta</f>
        <v>0.161996598061238</v>
      </c>
      <c r="S6" s="5" t="n">
        <f aca="false">Tau*Beta</f>
        <v>0.161996598061238</v>
      </c>
      <c r="T6" s="6" t="n">
        <f aca="false">Tau</f>
        <v>0.00089998110034021</v>
      </c>
      <c r="U6" s="5" t="n">
        <f aca="false">Profit+Utility</f>
        <v>31.3170534389838</v>
      </c>
      <c r="V6" s="5" t="n">
        <f aca="false">(2*ij*BRIJ)+2*jj*BRJJ</f>
        <v>3.3553281207917</v>
      </c>
      <c r="W6" s="5" t="n">
        <f aca="false">2*(ij*BCCIJ)+(2*jj*BCCJJ)+BCS+jj*BCPTJJ+2*(ij*BCPTIJ)+BCPTII+BCk</f>
        <v>3.35541549368846</v>
      </c>
      <c r="X6" s="5" t="n">
        <f aca="false">ij*BUTIJ+BUTII</f>
        <v>31.3171408118806</v>
      </c>
      <c r="Y6" s="5" t="n">
        <f aca="false">Revenue-Cost</f>
        <v>-8.73728967532017E-005</v>
      </c>
      <c r="Z6" s="28" t="n">
        <f aca="false">Size</f>
        <v>0.1</v>
      </c>
      <c r="AA6" s="6" t="n">
        <f aca="false">Welfare/(Size)</f>
        <v>313.170534389838</v>
      </c>
      <c r="AB6" s="6" t="n">
        <v>313.170618943778</v>
      </c>
      <c r="AC6" s="6" t="n">
        <f aca="false">Profit/(Size)</f>
        <v>-0.000873728967532017</v>
      </c>
      <c r="AD6" s="6" t="n">
        <f aca="false">Utility/(Size)</f>
        <v>313.171408118806</v>
      </c>
      <c r="AE6" s="28" t="n">
        <f aca="false">Size</f>
        <v>0.1</v>
      </c>
      <c r="AF6" s="2" t="n">
        <f aca="false">0.018</f>
        <v>0.018</v>
      </c>
      <c r="AG6" s="2" t="n">
        <f aca="false">2*Tau/Size</f>
        <v>0.0179996220068042</v>
      </c>
      <c r="AH6" s="2" t="n">
        <f aca="false">Tau</f>
        <v>0.00089998110034021</v>
      </c>
    </row>
    <row r="7" customFormat="false" ht="13" hidden="false" customHeight="false" outlineLevel="0" collapsed="false">
      <c r="A7" s="2" t="n">
        <f aca="false">Toll/Size</f>
        <v>0.00898115571789278</v>
      </c>
      <c r="B7" s="2" t="n">
        <v>0.00898115571789278</v>
      </c>
      <c r="C7" s="2" t="n">
        <f aca="false">Tau</f>
        <v>0.00898115571789278</v>
      </c>
      <c r="D7" s="7" t="n">
        <v>1</v>
      </c>
      <c r="E7" s="2" t="n">
        <v>0</v>
      </c>
      <c r="F7" s="2" t="n">
        <f aca="false">Size-a</f>
        <v>1</v>
      </c>
      <c r="G7" s="4" t="n">
        <f aca="false">(EXP(alpha*(Tau+OldTau+zeta-2*a*psi))*((EXP(alpha*a*psi)-EXP(alpha*b*psi))^2))/((EXP(alpha*a*psi)-EXP(alpha*(2*OldTau+b*psi)))*(alpha^2)*(psi^2))</f>
        <v>1.60116895295425</v>
      </c>
      <c r="H7" s="4" t="n">
        <f aca="false">(EXP(alpha*(zeta+(2*b-a)*psi))*(-1+EXP(alpha*(-1)*Size*psi))*(EXP(alpha*(2*(Tau+OldTau)+a*psi))-EXP(alpha*(2*(Tau+OldTau)+b*psi))))/(((EXP(alpha*a*psi)-EXP(alpha*(2*OldTau+b*psi)))^2)*(alpha^2)*(psi^2))</f>
        <v>8.75472248729971</v>
      </c>
      <c r="I7" s="5" t="n">
        <f aca="false">-Beta/alpha</f>
        <v>180</v>
      </c>
      <c r="J7" s="5" t="n">
        <f aca="false">(-EXP(alpha*zeta)*Beta*(-1+EXP(alpha*Size*psi)-Size*alpha*psi))/((alpha^3)*(psi^2))</f>
        <v>25.0388962482082</v>
      </c>
      <c r="K7" s="5" t="n">
        <v>0</v>
      </c>
      <c r="L7" s="5" t="n">
        <v>0</v>
      </c>
      <c r="M7" s="5" t="n">
        <v>0</v>
      </c>
      <c r="N7" s="5" t="n">
        <f aca="false">Gamma*Size</f>
        <v>0</v>
      </c>
      <c r="O7" s="5" t="n">
        <f aca="false">Size*Beta*Phi</f>
        <v>3.24</v>
      </c>
      <c r="P7" s="5" t="n">
        <f aca="false">-(EXP(alpha*a*psi)+EXP(alpha*b*psi)*(-1+Size*psi*alpha))*(Beta*Phi)/((alpha*psi)*(EXP(alpha*a*psi)-EXP(alpha*b*psi)))</f>
        <v>1.57951517936842</v>
      </c>
      <c r="Q7" s="5" t="n">
        <f aca="false">(EXP(alpha*(zeta-a*psi))*Beta*Phi*(-EXP(alpha*a*psi)*(-2+(-1)*Size*alpha*psi)+EXP(alpha*b*psi)*(-2+Size*alpha*psi)))/((alpha^3)*(psi^3))</f>
        <v>0.146515554131081</v>
      </c>
      <c r="R7" s="5" t="n">
        <f aca="false">Tau*Beta</f>
        <v>1.6166080292207</v>
      </c>
      <c r="S7" s="5" t="n">
        <f aca="false">Tau*Beta</f>
        <v>1.6166080292207</v>
      </c>
      <c r="T7" s="6" t="n">
        <f aca="false">Tau</f>
        <v>0.00898115571789278</v>
      </c>
      <c r="U7" s="5" t="n">
        <f aca="false">Profit+Utility</f>
        <v>313.162184539246</v>
      </c>
      <c r="V7" s="5" t="n">
        <f aca="false">(2*ij*BRIJ)+2*jj*BRJJ</f>
        <v>33.482834504105</v>
      </c>
      <c r="W7" s="5" t="n">
        <f aca="false">2*(ij*BCCIJ)+(2*jj*BCCJJ)+BCS+jj*BCPTJJ+2*(ij*BCPTIJ)+BCPTII+BCk</f>
        <v>33.5699577448315</v>
      </c>
      <c r="X7" s="5" t="n">
        <f aca="false">ij*BUTIJ+BUTII</f>
        <v>313.249307779973</v>
      </c>
      <c r="Y7" s="5" t="n">
        <f aca="false">Revenue-Cost</f>
        <v>-0.0871232407265126</v>
      </c>
      <c r="Z7" s="5" t="n">
        <f aca="false">Size</f>
        <v>1</v>
      </c>
      <c r="AA7" s="6" t="n">
        <f aca="false">Welfare/(Size)</f>
        <v>313.162184539246</v>
      </c>
      <c r="AB7" s="6" t="n">
        <v>313.170618943778</v>
      </c>
      <c r="AC7" s="6" t="n">
        <f aca="false">Profit/(Size)</f>
        <v>-0.0871232407265126</v>
      </c>
      <c r="AD7" s="6" t="n">
        <f aca="false">Utility/(Size)</f>
        <v>313.249307779973</v>
      </c>
      <c r="AE7" s="5" t="n">
        <f aca="false">Size</f>
        <v>1</v>
      </c>
      <c r="AF7" s="2" t="n">
        <f aca="false">0.018</f>
        <v>0.018</v>
      </c>
      <c r="AG7" s="2" t="n">
        <f aca="false">2*Tau/Size</f>
        <v>0.0179623114357856</v>
      </c>
      <c r="AH7" s="2" t="n">
        <f aca="false">Tau</f>
        <v>0.00898115571789278</v>
      </c>
    </row>
    <row r="8" customFormat="false" ht="13" hidden="false" customHeight="false" outlineLevel="0" collapsed="false">
      <c r="A8" s="2" t="n">
        <f aca="false">Toll/Size</f>
        <v>0.00752982263475313</v>
      </c>
      <c r="B8" s="2" t="n">
        <v>0.0752982263475313</v>
      </c>
      <c r="C8" s="2" t="n">
        <f aca="false">Tau</f>
        <v>0.0752982263475313</v>
      </c>
      <c r="D8" s="7" t="n">
        <v>10</v>
      </c>
      <c r="E8" s="2" t="n">
        <v>0</v>
      </c>
      <c r="F8" s="2" t="n">
        <f aca="false">Size-a</f>
        <v>10</v>
      </c>
      <c r="G8" s="4" t="n">
        <f aca="false">(EXP(alpha*(Tau+OldTau+zeta-2*a*psi))*((EXP(alpha*a*psi)-EXP(alpha*b*psi))^2))/((EXP(alpha*a*psi)-EXP(alpha*(2*OldTau+b*psi)))*(alpha^2)*(psi^2))</f>
        <v>8.3460791446945</v>
      </c>
      <c r="H8" s="4" t="n">
        <f aca="false">(EXP(alpha*(zeta+(2*b-a)*psi))*(-1+EXP(alpha*(-1)*Size*psi))*(EXP(alpha*(2*(Tau+OldTau)+a*psi))-EXP(alpha*(2*(Tau+OldTau)+b*psi))))/(((EXP(alpha*a*psi)-EXP(alpha*(2*OldTau+b*psi)))^2)*(alpha^2)*(psi^2))</f>
        <v>1.98240088481215</v>
      </c>
      <c r="I8" s="5" t="n">
        <f aca="false">-Beta/alpha</f>
        <v>180</v>
      </c>
      <c r="J8" s="5" t="n">
        <f aca="false">(-EXP(alpha*zeta)*Beta*(-1+EXP(alpha*Size*psi)-Size*alpha*psi))/((alpha^3)*(psi^2))</f>
        <v>1690.92462806846</v>
      </c>
      <c r="K8" s="5" t="n">
        <v>0</v>
      </c>
      <c r="L8" s="5" t="n">
        <v>0</v>
      </c>
      <c r="M8" s="5" t="n">
        <v>0</v>
      </c>
      <c r="N8" s="5" t="n">
        <f aca="false">Gamma*Size</f>
        <v>0</v>
      </c>
      <c r="O8" s="5" t="n">
        <f aca="false">Size*Beta*Phi</f>
        <v>32.4</v>
      </c>
      <c r="P8" s="5" t="n">
        <f aca="false">-(EXP(alpha*a*psi)+EXP(alpha*b*psi)*(-1+Size*psi*alpha))*(Beta*Phi)/((alpha*psi)*(EXP(alpha*a*psi)-EXP(alpha*b*psi)))</f>
        <v>12.2941718960407</v>
      </c>
      <c r="Q8" s="5" t="n">
        <f aca="false">(EXP(alpha*(zeta-a*psi))*Beta*Phi*(-EXP(alpha*a*psi)*(-2+(-1)*Size*alpha*psi)+EXP(alpha*b*psi)*(-2+Size*alpha*psi)))/((alpha^3)*(psi^3))</f>
        <v>78.836375998096</v>
      </c>
      <c r="R8" s="5" t="n">
        <f aca="false">Tau*Beta</f>
        <v>13.5536807425556</v>
      </c>
      <c r="S8" s="5" t="n">
        <f aca="false">Tau*Beta</f>
        <v>13.5536807425556</v>
      </c>
      <c r="T8" s="6" t="n">
        <f aca="false">Tau</f>
        <v>0.0752982263475313</v>
      </c>
      <c r="U8" s="5" t="n">
        <f aca="false">Profit+Utility</f>
        <v>3124.91428787338</v>
      </c>
      <c r="V8" s="5" t="n">
        <f aca="false">(2*ij*BRIJ)+2*jj*BRJJ</f>
        <v>279.97784175159</v>
      </c>
      <c r="W8" s="5" t="n">
        <f aca="false">2*(ij*BCCIJ)+(2*jj*BCCJJ)+BCS+jj*BCPTJJ+2*(ij*BCPTIJ)+BCPTII+BCk</f>
        <v>348.282427991678</v>
      </c>
      <c r="X8" s="5" t="n">
        <f aca="false">ij*BUTIJ+BUTII</f>
        <v>3193.21887411347</v>
      </c>
      <c r="Y8" s="5" t="n">
        <f aca="false">Revenue-Cost</f>
        <v>-68.3045862400888</v>
      </c>
      <c r="Z8" s="5" t="n">
        <f aca="false">Size</f>
        <v>10</v>
      </c>
      <c r="AA8" s="6" t="n">
        <f aca="false">Welfare/(Size)</f>
        <v>312.491428787338</v>
      </c>
      <c r="AB8" s="6" t="n">
        <v>313.170618943778</v>
      </c>
      <c r="AC8" s="6" t="n">
        <f aca="false">Profit/(Size)</f>
        <v>-6.83045862400888</v>
      </c>
      <c r="AD8" s="6" t="n">
        <f aca="false">Utility/(Size)</f>
        <v>319.321887411347</v>
      </c>
      <c r="AE8" s="5" t="n">
        <f aca="false">Size</f>
        <v>10</v>
      </c>
      <c r="AF8" s="2" t="n">
        <f aca="false">0.018</f>
        <v>0.018</v>
      </c>
      <c r="AG8" s="2" t="n">
        <f aca="false">2*Tau/Size</f>
        <v>0.0150596452695063</v>
      </c>
      <c r="AH8" s="2" t="n">
        <f aca="false">Tau</f>
        <v>0.0752982263475313</v>
      </c>
    </row>
    <row r="9" customFormat="false" ht="13" hidden="false" customHeight="false" outlineLevel="0" collapsed="false">
      <c r="A9" s="2" t="n">
        <f aca="false">Toll/Size</f>
        <v>0.001200710425445</v>
      </c>
      <c r="B9" s="2" t="n">
        <v>0.1200710425445</v>
      </c>
      <c r="C9" s="2" t="n">
        <f aca="false">Tau</f>
        <v>0.1200710425445</v>
      </c>
      <c r="D9" s="7" t="n">
        <v>100</v>
      </c>
      <c r="E9" s="2" t="n">
        <v>0</v>
      </c>
      <c r="F9" s="2" t="n">
        <f aca="false">Size-a</f>
        <v>100</v>
      </c>
      <c r="G9" s="4" t="n">
        <f aca="false">(EXP(alpha*(Tau+OldTau+zeta-2*a*psi))*((EXP(alpha*a*psi)-EXP(alpha*b*psi))^2))/((EXP(alpha*a*psi)-EXP(alpha*(2*OldTau+b*psi)))*(alpha^2)*(psi^2))</f>
        <v>10.2174548082902</v>
      </c>
      <c r="H9" s="4" t="n">
        <f aca="false">(EXP(alpha*(zeta+(2*b-a)*psi))*(-1+EXP(alpha*(-1)*Size*psi))*(EXP(alpha*(2*(Tau+OldTau)+a*psi))-EXP(alpha*(2*(Tau+OldTau)+b*psi))))/(((EXP(alpha*a*psi)-EXP(alpha*(2*OldTau+b*psi)))^2)*(alpha^2)*(psi^2))</f>
        <v>2.45829059162146E-006</v>
      </c>
      <c r="I9" s="5" t="n">
        <f aca="false">-Beta/alpha</f>
        <v>180</v>
      </c>
      <c r="J9" s="5" t="n">
        <f aca="false">(-EXP(alpha*zeta)*Beta*(-1+EXP(alpha*Size*psi)-Size*alpha*psi))/((alpha^3)*(psi^2))</f>
        <v>32736.7694155601</v>
      </c>
      <c r="K9" s="5" t="n">
        <v>0</v>
      </c>
      <c r="L9" s="5" t="n">
        <v>0</v>
      </c>
      <c r="M9" s="5" t="n">
        <v>0</v>
      </c>
      <c r="N9" s="5" t="n">
        <f aca="false">Gamma*Size</f>
        <v>0</v>
      </c>
      <c r="O9" s="5" t="n">
        <f aca="false">Size*Beta*Phi</f>
        <v>324</v>
      </c>
      <c r="P9" s="5" t="n">
        <f aca="false">-(EXP(alpha*a*psi)+EXP(alpha*b*psi)*(-1+Size*psi*alpha))*(Beta*Phi)/((alpha*psi)*(EXP(alpha*a*psi)-EXP(alpha*b*psi)))</f>
        <v>21.5999008876178</v>
      </c>
      <c r="Q9" s="5" t="n">
        <f aca="false">(EXP(alpha*(zeta-a*psi))*Beta*Phi*(-EXP(alpha*a*psi)*(-2+(-1)*Size*alpha*psi)+EXP(alpha*b*psi)*(-2+Size*alpha*psi)))/((alpha^3)*(psi^3))</f>
        <v>3647.81282867692</v>
      </c>
      <c r="R9" s="5" t="n">
        <f aca="false">Tau*Beta</f>
        <v>21.61278765801</v>
      </c>
      <c r="S9" s="5" t="n">
        <f aca="false">Tau*Beta</f>
        <v>21.61278765801</v>
      </c>
      <c r="T9" s="6" t="n">
        <f aca="false">Tau</f>
        <v>0.1200710425445</v>
      </c>
      <c r="U9" s="5" t="n">
        <f aca="false">Profit+Utility</f>
        <v>30928.3611021385</v>
      </c>
      <c r="V9" s="5" t="n">
        <f aca="false">(2*ij*BRIJ)+2*jj*BRJJ</f>
        <v>441.655468614802</v>
      </c>
      <c r="W9" s="5" t="n">
        <f aca="false">2*(ij*BCCIJ)+(2*jj*BCCJJ)+BCS+jj*BCPTJJ+2*(ij*BCPTIJ)+BCPTII+BCk</f>
        <v>4089.20564752864</v>
      </c>
      <c r="X9" s="5" t="n">
        <f aca="false">ij*BUTIJ+BUTII</f>
        <v>34575.9112810523</v>
      </c>
      <c r="Y9" s="5" t="n">
        <f aca="false">Revenue-Cost</f>
        <v>-3647.55017891384</v>
      </c>
      <c r="Z9" s="5" t="n">
        <f aca="false">Size</f>
        <v>100</v>
      </c>
      <c r="AA9" s="6" t="n">
        <f aca="false">Welfare/(Size)</f>
        <v>309.283611021385</v>
      </c>
      <c r="AB9" s="6" t="n">
        <v>313.170618943778</v>
      </c>
      <c r="AC9" s="6" t="n">
        <f aca="false">Profit/(Size)</f>
        <v>-36.4755017891384</v>
      </c>
      <c r="AD9" s="6" t="n">
        <f aca="false">Utility/(Size)</f>
        <v>345.759112810523</v>
      </c>
      <c r="AE9" s="5" t="n">
        <f aca="false">Size</f>
        <v>100</v>
      </c>
      <c r="AF9" s="2" t="n">
        <f aca="false">0.018</f>
        <v>0.018</v>
      </c>
      <c r="AG9" s="2" t="n">
        <f aca="false">2*Tau/Size</f>
        <v>0.00240142085089</v>
      </c>
      <c r="AH9" s="2" t="n">
        <f aca="false">Tau</f>
        <v>0.1200710425445</v>
      </c>
    </row>
    <row r="10" customFormat="false" ht="13" hidden="false" customHeight="false" outlineLevel="0" collapsed="false">
      <c r="A10" s="2" t="n">
        <f aca="false">Toll/Size</f>
        <v>0.000120071218370615</v>
      </c>
      <c r="B10" s="2" t="n">
        <v>0.120071218370615</v>
      </c>
      <c r="C10" s="2" t="n">
        <f aca="false">Tau</f>
        <v>0.120071218370615</v>
      </c>
      <c r="D10" s="7" t="n">
        <v>1000</v>
      </c>
      <c r="E10" s="2" t="n">
        <v>0</v>
      </c>
      <c r="F10" s="2" t="n">
        <f aca="false">Size-a</f>
        <v>1000</v>
      </c>
      <c r="G10" s="4" t="n">
        <f aca="false">(EXP(alpha*(Tau+OldTau+zeta-2*a*psi))*((EXP(alpha*a*psi)-EXP(alpha*b*psi))^2))/((EXP(alpha*a*psi)-EXP(alpha*(2*OldTau+b*psi)))*(alpha^2)*(psi^2))</f>
        <v>10.2174550080963</v>
      </c>
      <c r="H10" s="4" t="n">
        <f aca="false">(EXP(alpha*(zeta+(2*b-a)*psi))*(-1+EXP(alpha*(-1)*Size*psi))*(EXP(alpha*(2*(Tau+OldTau)+a*psi))-EXP(alpha*(2*(Tau+OldTau)+b*psi))))/(((EXP(alpha*a*psi)-EXP(alpha*(2*OldTau+b*psi)))^2)*(alpha^2)*(psi^2))</f>
        <v>5.76604348552571E-065</v>
      </c>
      <c r="I10" s="5" t="n">
        <f aca="false">-Beta/alpha</f>
        <v>180</v>
      </c>
      <c r="J10" s="5" t="n">
        <f aca="false">(-EXP(alpha*zeta)*Beta*(-1+EXP(alpha*Size*psi)-Size*alpha*psi))/((alpha^3)*(psi^2))</f>
        <v>348412.752595584</v>
      </c>
      <c r="K10" s="5" t="n">
        <v>0</v>
      </c>
      <c r="L10" s="5" t="n">
        <v>0</v>
      </c>
      <c r="M10" s="5" t="n">
        <v>0</v>
      </c>
      <c r="N10" s="5" t="n">
        <f aca="false">Gamma*Size</f>
        <v>0</v>
      </c>
      <c r="O10" s="5" t="n">
        <f aca="false">Size*Beta*Phi</f>
        <v>3240</v>
      </c>
      <c r="P10" s="5" t="n">
        <f aca="false">-(EXP(alpha*a*psi)+EXP(alpha*b*psi)*(-1+Size*psi*alpha))*(Beta*Phi)/((alpha*psi)*(EXP(alpha*a*psi)-EXP(alpha*b*psi)))</f>
        <v>21.6</v>
      </c>
      <c r="Q10" s="5" t="n">
        <f aca="false">(EXP(alpha*(zeta-a*psi))*Beta*Phi*(-EXP(alpha*a*psi)*(-2+(-1)*Size*alpha*psi)+EXP(alpha*b*psi)*(-2+Size*alpha*psi)))/((alpha^3)*(psi^3))</f>
        <v>41528.9294368965</v>
      </c>
      <c r="R10" s="5" t="n">
        <f aca="false">Tau*Beta</f>
        <v>21.6128193067107</v>
      </c>
      <c r="S10" s="5" t="n">
        <f aca="false">Tau*Beta</f>
        <v>21.6128193067107</v>
      </c>
      <c r="T10" s="6" t="n">
        <f aca="false">Tau</f>
        <v>0.120071218370615</v>
      </c>
      <c r="U10" s="5" t="n">
        <f aca="false">Profit+Utility</f>
        <v>308723.227021524</v>
      </c>
      <c r="V10" s="5" t="n">
        <f aca="false">(2*ij*BRIJ)+2*jj*BRJJ</f>
        <v>441.656017728864</v>
      </c>
      <c r="W10" s="5" t="n">
        <f aca="false">2*(ij*BCCIJ)+(2*jj*BCCJJ)+BCS+jj*BCPTJJ+2*(ij*BCPTIJ)+BCPTII+BCk</f>
        <v>41970.3234932463</v>
      </c>
      <c r="X10" s="5" t="n">
        <f aca="false">ij*BUTIJ+BUTII</f>
        <v>350251.894497042</v>
      </c>
      <c r="Y10" s="5" t="n">
        <f aca="false">Revenue-Cost</f>
        <v>-41528.6674755174</v>
      </c>
      <c r="Z10" s="5" t="n">
        <f aca="false">Size</f>
        <v>1000</v>
      </c>
      <c r="AA10" s="6" t="n">
        <f aca="false">Welfare/(Size)</f>
        <v>308.723227021524</v>
      </c>
      <c r="AB10" s="6" t="n">
        <v>313.170618943778</v>
      </c>
      <c r="AC10" s="6" t="n">
        <f aca="false">Profit/(Size)</f>
        <v>-41.5286674755174</v>
      </c>
      <c r="AD10" s="6" t="n">
        <f aca="false">Utility/(Size)</f>
        <v>350.251894497042</v>
      </c>
      <c r="AE10" s="5" t="n">
        <f aca="false">Size</f>
        <v>1000</v>
      </c>
      <c r="AF10" s="2" t="n">
        <f aca="false">0.018</f>
        <v>0.018</v>
      </c>
      <c r="AG10" s="2" t="n">
        <f aca="false">2*Tau/Size</f>
        <v>0.00024014243674123</v>
      </c>
      <c r="AH10" s="2" t="n">
        <f aca="false">Tau</f>
        <v>0.120071218370615</v>
      </c>
    </row>
    <row r="11" customFormat="false" ht="13" hidden="false" customHeight="false" outlineLevel="0" collapsed="false">
      <c r="D11" s="7"/>
      <c r="G11" s="2"/>
    </row>
    <row r="12" customFormat="false" ht="13" hidden="false" customHeight="false" outlineLevel="0" collapsed="false">
      <c r="G12" s="2"/>
    </row>
    <row r="13" customFormat="false" ht="13" hidden="false" customHeight="false" outlineLevel="0" collapsed="false">
      <c r="G13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" zoomScaleNormal="10" zoomScalePageLayoutView="10" workbookViewId="0">
      <selection pane="topLeft" activeCell="A1" activeCellId="0" sqref="A1"/>
    </sheetView>
  </sheetViews>
  <sheetFormatPr defaultColWidth="9.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1999-04-11T04:54:22Z</dcterms:created>
  <dc:creator>David M. Levinson</dc:creator>
  <dc:description/>
  <dc:language>en-AU</dc:language>
  <cp:lastModifiedBy>David Levinson</cp:lastModifiedBy>
  <cp:revision>0</cp:revision>
  <dc:subject/>
  <dc:title>Welfare Analysis, Iteration 3</dc:title>
</cp:coreProperties>
</file>